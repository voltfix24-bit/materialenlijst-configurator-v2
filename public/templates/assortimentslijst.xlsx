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alliander-my.sharepoint.com/personal/roland_scheffer_alliander_com/Documents/Desktop/"/>
    </mc:Choice>
  </mc:AlternateContent>
  <xr:revisionPtr revIDLastSave="0" documentId="8_{713FA133-93D7-4F38-830A-3629677A3B93}" xr6:coauthVersionLast="47" xr6:coauthVersionMax="47" xr10:uidLastSave="{00000000-0000-0000-0000-000000000000}"/>
  <bookViews>
    <workbookView xWindow="-120" yWindow="-120" windowWidth="29040" windowHeight="15720" tabRatio="805" activeTab="1" xr2:uid="{00000000-000D-0000-FFFF-FFFF00000000}"/>
  </bookViews>
  <sheets>
    <sheet name="Aanvulling" sheetId="1" r:id="rId1"/>
    <sheet name="Verbruik" sheetId="13" r:id="rId2"/>
    <sheet name="Prognoses" sheetId="17" r:id="rId3"/>
    <sheet name="Lijst toegestaan" sheetId="14" r:id="rId4"/>
    <sheet name="Lijst verwijderd" sheetId="15" r:id="rId5"/>
    <sheet name="Adres Tel" sheetId="5" state="hidden" r:id="rId6"/>
    <sheet name="Omschrijving Besteltekst" sheetId="8" state="hidden" r:id="rId7"/>
  </sheets>
  <definedNames>
    <definedName name="_xlnm._FilterDatabase" localSheetId="0" hidden="1">Aanvulling!$A$13:$P$837</definedName>
    <definedName name="_xlnm._FilterDatabase" localSheetId="5" hidden="1">'Adres Tel'!$F$1:$G$47</definedName>
    <definedName name="_xlnm._FilterDatabase" localSheetId="3" hidden="1">'Lijst toegestaan'!$A$1:$E$821</definedName>
    <definedName name="_xlnm._FilterDatabase" localSheetId="4" hidden="1">'Lijst verwijderd'!$A$1:$F$108</definedName>
    <definedName name="_xlnm._FilterDatabase" localSheetId="6" hidden="1">'Omschrijving Besteltekst'!$A$1:$C$1</definedName>
    <definedName name="_xlnm._FilterDatabase" localSheetId="2" hidden="1">Prognoses!$A$3:$W$87</definedName>
    <definedName name="_xlnm._FilterDatabase" localSheetId="1" hidden="1">Verbruik!$A$13:$P$721</definedName>
    <definedName name="a0">Aanvulling!#REF!</definedName>
    <definedName name="a1\">#REF!</definedName>
    <definedName name="à14">Aanvulling!$B$14:$B$588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0" i="17" l="1"/>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H77"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 r="H105" i="13"/>
  <c r="H106" i="13"/>
  <c r="H107" i="13"/>
  <c r="H108" i="13"/>
  <c r="H109" i="13"/>
  <c r="H110" i="13"/>
  <c r="H111" i="13"/>
  <c r="H112" i="13"/>
  <c r="H113" i="13"/>
  <c r="H114" i="13"/>
  <c r="H115" i="13"/>
  <c r="H116" i="13"/>
  <c r="H117" i="13"/>
  <c r="H118" i="13"/>
  <c r="H119" i="13"/>
  <c r="H120" i="13"/>
  <c r="H121" i="13"/>
  <c r="H122" i="13"/>
  <c r="H123" i="13"/>
  <c r="H124" i="13"/>
  <c r="H125" i="13"/>
  <c r="H126" i="13"/>
  <c r="H127" i="13"/>
  <c r="H128" i="13"/>
  <c r="H129" i="13"/>
  <c r="H130" i="13"/>
  <c r="H131" i="13"/>
  <c r="H132" i="13"/>
  <c r="H133" i="13"/>
  <c r="H134" i="13"/>
  <c r="H135" i="13"/>
  <c r="H136" i="13"/>
  <c r="H137" i="13"/>
  <c r="H138"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200" i="13"/>
  <c r="H201" i="13"/>
  <c r="H202" i="13"/>
  <c r="H203" i="13"/>
  <c r="H204" i="13"/>
  <c r="H205" i="13"/>
  <c r="H206" i="13"/>
  <c r="H207" i="13"/>
  <c r="H208" i="13"/>
  <c r="H209" i="13"/>
  <c r="H210" i="13"/>
  <c r="H211" i="13"/>
  <c r="H212" i="13"/>
  <c r="H213" i="13"/>
  <c r="H214" i="13"/>
  <c r="H215" i="13"/>
  <c r="H216" i="13"/>
  <c r="H217" i="13"/>
  <c r="H218" i="13"/>
  <c r="H219" i="13"/>
  <c r="H220" i="13"/>
  <c r="H221" i="13"/>
  <c r="H222" i="13"/>
  <c r="H223" i="13"/>
  <c r="H224" i="13"/>
  <c r="H225" i="13"/>
  <c r="H226" i="13"/>
  <c r="H227" i="13"/>
  <c r="H228" i="13"/>
  <c r="H229" i="13"/>
  <c r="H230" i="13"/>
  <c r="H231" i="13"/>
  <c r="H232" i="13"/>
  <c r="H233" i="13"/>
  <c r="H234" i="13"/>
  <c r="H235" i="13"/>
  <c r="H236" i="13"/>
  <c r="H237" i="13"/>
  <c r="H238" i="13"/>
  <c r="H239" i="13"/>
  <c r="H240" i="13"/>
  <c r="H241" i="13"/>
  <c r="H242" i="13"/>
  <c r="H243" i="13"/>
  <c r="H244" i="13"/>
  <c r="H245" i="13"/>
  <c r="H246" i="13"/>
  <c r="H247" i="13"/>
  <c r="H248" i="13"/>
  <c r="H249" i="13"/>
  <c r="H250" i="13"/>
  <c r="H251" i="13"/>
  <c r="H252" i="13"/>
  <c r="H253" i="13"/>
  <c r="H254" i="13"/>
  <c r="H255" i="13"/>
  <c r="H256" i="13"/>
  <c r="H257" i="13"/>
  <c r="H258" i="13"/>
  <c r="H259" i="13"/>
  <c r="H260" i="13"/>
  <c r="H261" i="13"/>
  <c r="H262" i="13"/>
  <c r="H263" i="13"/>
  <c r="H264" i="13"/>
  <c r="H265" i="13"/>
  <c r="H266" i="13"/>
  <c r="H267" i="13"/>
  <c r="H268" i="13"/>
  <c r="H269" i="13"/>
  <c r="H270" i="13"/>
  <c r="H271" i="13"/>
  <c r="H272" i="13"/>
  <c r="H273" i="13"/>
  <c r="H274" i="13"/>
  <c r="H275" i="13"/>
  <c r="H276" i="13"/>
  <c r="H277" i="13"/>
  <c r="H278" i="13"/>
  <c r="H279" i="13"/>
  <c r="H280" i="13"/>
  <c r="H281" i="13"/>
  <c r="H282" i="13"/>
  <c r="H283" i="13"/>
  <c r="H284" i="13"/>
  <c r="H285" i="13"/>
  <c r="H286" i="13"/>
  <c r="H287" i="13"/>
  <c r="H288" i="13"/>
  <c r="H289" i="13"/>
  <c r="H290" i="13"/>
  <c r="H291" i="13"/>
  <c r="H292" i="13"/>
  <c r="H293" i="13"/>
  <c r="H294" i="13"/>
  <c r="H295" i="13"/>
  <c r="H296" i="13"/>
  <c r="H297" i="13"/>
  <c r="H298" i="13"/>
  <c r="H299" i="13"/>
  <c r="H300" i="13"/>
  <c r="H301" i="13"/>
  <c r="H302" i="13"/>
  <c r="H303" i="13"/>
  <c r="H304" i="13"/>
  <c r="H305" i="13"/>
  <c r="H306" i="13"/>
  <c r="H307" i="13"/>
  <c r="H308" i="13"/>
  <c r="H309" i="13"/>
  <c r="H310" i="13"/>
  <c r="H311" i="13"/>
  <c r="H312" i="13"/>
  <c r="H313" i="13"/>
  <c r="H314" i="13"/>
  <c r="H315" i="13"/>
  <c r="H316" i="13"/>
  <c r="H317" i="13"/>
  <c r="H318" i="13"/>
  <c r="H319" i="13"/>
  <c r="H320" i="13"/>
  <c r="H321" i="13"/>
  <c r="H322" i="13"/>
  <c r="H323" i="13"/>
  <c r="H324" i="13"/>
  <c r="H325" i="13"/>
  <c r="H326" i="13"/>
  <c r="H327" i="13"/>
  <c r="H328" i="13"/>
  <c r="H329" i="13"/>
  <c r="H330" i="13"/>
  <c r="H331" i="13"/>
  <c r="H332" i="13"/>
  <c r="H333" i="13"/>
  <c r="H334" i="13"/>
  <c r="H335" i="13"/>
  <c r="H336" i="13"/>
  <c r="H337" i="13"/>
  <c r="H338" i="13"/>
  <c r="H339" i="13"/>
  <c r="H340" i="13"/>
  <c r="H341" i="13"/>
  <c r="H342" i="13"/>
  <c r="H343" i="13"/>
  <c r="H344" i="13"/>
  <c r="H345" i="13"/>
  <c r="H346" i="13"/>
  <c r="H347" i="13"/>
  <c r="H348" i="13"/>
  <c r="H349" i="13"/>
  <c r="H350" i="13"/>
  <c r="H351" i="13"/>
  <c r="H352" i="13"/>
  <c r="H353" i="13"/>
  <c r="H354" i="13"/>
  <c r="H355" i="13"/>
  <c r="H356" i="13"/>
  <c r="H357" i="13"/>
  <c r="H358" i="13"/>
  <c r="H359" i="13"/>
  <c r="H360" i="13"/>
  <c r="H361" i="13"/>
  <c r="H362" i="13"/>
  <c r="H363" i="13"/>
  <c r="H364" i="13"/>
  <c r="H365" i="13"/>
  <c r="H366" i="13"/>
  <c r="H367" i="13"/>
  <c r="H368" i="13"/>
  <c r="H369" i="13"/>
  <c r="H370" i="13"/>
  <c r="H371" i="13"/>
  <c r="H372" i="13"/>
  <c r="H373" i="13"/>
  <c r="H374" i="13"/>
  <c r="H375" i="13"/>
  <c r="H376" i="13"/>
  <c r="H377" i="13"/>
  <c r="H378" i="13"/>
  <c r="H379" i="13"/>
  <c r="H380" i="13"/>
  <c r="H381" i="13"/>
  <c r="H382" i="13"/>
  <c r="H383" i="13"/>
  <c r="H384" i="13"/>
  <c r="H385" i="13"/>
  <c r="H386" i="13"/>
  <c r="H387" i="13"/>
  <c r="H388" i="13"/>
  <c r="H389" i="13"/>
  <c r="H390" i="13"/>
  <c r="H391" i="13"/>
  <c r="H392" i="13"/>
  <c r="H393" i="13"/>
  <c r="H394" i="13"/>
  <c r="H395" i="13"/>
  <c r="H396" i="13"/>
  <c r="H397" i="13"/>
  <c r="H398" i="13"/>
  <c r="H399" i="13"/>
  <c r="H400" i="13"/>
  <c r="H401" i="13"/>
  <c r="H402" i="13"/>
  <c r="H403" i="13"/>
  <c r="H404" i="13"/>
  <c r="H405" i="13"/>
  <c r="H406" i="13"/>
  <c r="H407" i="13"/>
  <c r="H408" i="13"/>
  <c r="H409" i="13"/>
  <c r="H410" i="13"/>
  <c r="H411" i="13"/>
  <c r="H412" i="13"/>
  <c r="H413" i="13"/>
  <c r="H414" i="13"/>
  <c r="H415" i="13"/>
  <c r="H416" i="13"/>
  <c r="H417" i="13"/>
  <c r="H418" i="13"/>
  <c r="H419" i="13"/>
  <c r="H420" i="13"/>
  <c r="H421" i="13"/>
  <c r="H422" i="13"/>
  <c r="H423" i="13"/>
  <c r="H424" i="13"/>
  <c r="H425" i="13"/>
  <c r="H426" i="13"/>
  <c r="H427" i="13"/>
  <c r="H428" i="13"/>
  <c r="H429" i="13"/>
  <c r="H430" i="13"/>
  <c r="H431" i="13"/>
  <c r="H432" i="13"/>
  <c r="H433" i="13"/>
  <c r="H434" i="13"/>
  <c r="H435" i="13"/>
  <c r="H436" i="13"/>
  <c r="H437" i="13"/>
  <c r="H438" i="13"/>
  <c r="H439" i="13"/>
  <c r="H440" i="13"/>
  <c r="H441" i="13"/>
  <c r="H442" i="13"/>
  <c r="H443" i="13"/>
  <c r="H444" i="13"/>
  <c r="H445" i="13"/>
  <c r="H446" i="13"/>
  <c r="H447" i="13"/>
  <c r="H448" i="13"/>
  <c r="H449" i="13"/>
  <c r="H450" i="13"/>
  <c r="H451" i="13"/>
  <c r="H452" i="13"/>
  <c r="H453" i="13"/>
  <c r="H454" i="13"/>
  <c r="H455" i="13"/>
  <c r="H456" i="13"/>
  <c r="H457" i="13"/>
  <c r="H458" i="13"/>
  <c r="H459" i="13"/>
  <c r="H460" i="13"/>
  <c r="H461" i="13"/>
  <c r="H462" i="13"/>
  <c r="H463" i="13"/>
  <c r="H464" i="13"/>
  <c r="H465" i="13"/>
  <c r="H466" i="13"/>
  <c r="H467" i="13"/>
  <c r="H468" i="13"/>
  <c r="H469" i="13"/>
  <c r="H470" i="13"/>
  <c r="H471" i="13"/>
  <c r="H472" i="13"/>
  <c r="H473" i="13"/>
  <c r="H474" i="13"/>
  <c r="H475" i="13"/>
  <c r="H476" i="13"/>
  <c r="H477" i="13"/>
  <c r="H478" i="13"/>
  <c r="H479" i="13"/>
  <c r="H480" i="13"/>
  <c r="H481" i="13"/>
  <c r="H482" i="13"/>
  <c r="H483" i="13"/>
  <c r="H484" i="13"/>
  <c r="H485" i="13"/>
  <c r="H486" i="13"/>
  <c r="H487" i="13"/>
  <c r="H488" i="13"/>
  <c r="H489" i="13"/>
  <c r="H490" i="13"/>
  <c r="H491" i="13"/>
  <c r="H492" i="13"/>
  <c r="H493" i="13"/>
  <c r="H494" i="13"/>
  <c r="H495" i="13"/>
  <c r="H496" i="13"/>
  <c r="H497" i="13"/>
  <c r="H498" i="13"/>
  <c r="H499" i="13"/>
  <c r="H500" i="13"/>
  <c r="H501" i="13"/>
  <c r="H502" i="13"/>
  <c r="H503" i="13"/>
  <c r="H504" i="13"/>
  <c r="H505" i="13"/>
  <c r="H506" i="13"/>
  <c r="H507" i="13"/>
  <c r="H508" i="13"/>
  <c r="H509" i="13"/>
  <c r="H510" i="13"/>
  <c r="H511" i="13"/>
  <c r="H512" i="13"/>
  <c r="H513" i="13"/>
  <c r="H514" i="13"/>
  <c r="H515" i="13"/>
  <c r="H516" i="13"/>
  <c r="H517" i="13"/>
  <c r="H518" i="13"/>
  <c r="H519" i="13"/>
  <c r="H520" i="13"/>
  <c r="H521" i="13"/>
  <c r="H522" i="13"/>
  <c r="H523" i="13"/>
  <c r="H524" i="13"/>
  <c r="H525" i="13"/>
  <c r="H526" i="13"/>
  <c r="H527" i="13"/>
  <c r="H528" i="13"/>
  <c r="H529" i="13"/>
  <c r="H530" i="13"/>
  <c r="H531" i="13"/>
  <c r="H532" i="13"/>
  <c r="H533" i="13"/>
  <c r="H534" i="13"/>
  <c r="H535" i="13"/>
  <c r="H536" i="13"/>
  <c r="H537" i="13"/>
  <c r="H538" i="13"/>
  <c r="H539" i="13"/>
  <c r="H540" i="13"/>
  <c r="H541" i="13"/>
  <c r="H542" i="13"/>
  <c r="H543" i="13"/>
  <c r="H544" i="13"/>
  <c r="H545" i="13"/>
  <c r="H546" i="13"/>
  <c r="H547" i="13"/>
  <c r="H548" i="13"/>
  <c r="H549" i="13"/>
  <c r="H550" i="13"/>
  <c r="H551" i="13"/>
  <c r="H552" i="13"/>
  <c r="H553" i="13"/>
  <c r="H554" i="13"/>
  <c r="H555" i="13"/>
  <c r="H556" i="13"/>
  <c r="H557" i="13"/>
  <c r="H558" i="13"/>
  <c r="H559" i="13"/>
  <c r="H560" i="13"/>
  <c r="H561" i="13"/>
  <c r="H562" i="13"/>
  <c r="H563" i="13"/>
  <c r="H564" i="13"/>
  <c r="H565" i="13"/>
  <c r="H566" i="13"/>
  <c r="H567" i="13"/>
  <c r="H568" i="13"/>
  <c r="H569" i="13"/>
  <c r="H570" i="13"/>
  <c r="H571" i="13"/>
  <c r="H572" i="13"/>
  <c r="H573" i="13"/>
  <c r="H574" i="13"/>
  <c r="H575" i="13"/>
  <c r="H576" i="13"/>
  <c r="H577" i="13"/>
  <c r="H578" i="13"/>
  <c r="H579" i="13"/>
  <c r="H580" i="13"/>
  <c r="H581" i="13"/>
  <c r="H582" i="13"/>
  <c r="H583" i="13"/>
  <c r="H584" i="13"/>
  <c r="H585" i="13"/>
  <c r="H586" i="13"/>
  <c r="H587" i="13"/>
  <c r="H588" i="13"/>
  <c r="H589" i="13"/>
  <c r="H590" i="13"/>
  <c r="H591" i="13"/>
  <c r="H592" i="13"/>
  <c r="H593" i="13"/>
  <c r="H594" i="13"/>
  <c r="H595" i="13"/>
  <c r="H596" i="13"/>
  <c r="H597" i="13"/>
  <c r="H598" i="13"/>
  <c r="H599" i="13"/>
  <c r="H600" i="13"/>
  <c r="H601" i="13"/>
  <c r="H602" i="13"/>
  <c r="H603" i="13"/>
  <c r="H604" i="13"/>
  <c r="H605" i="13"/>
  <c r="H606" i="13"/>
  <c r="H607" i="13"/>
  <c r="H608" i="13"/>
  <c r="H609" i="13"/>
  <c r="H610" i="13"/>
  <c r="H611" i="13"/>
  <c r="H612" i="13"/>
  <c r="H613" i="13"/>
  <c r="H614" i="13"/>
  <c r="H615" i="13"/>
  <c r="H616" i="13"/>
  <c r="H617" i="13"/>
  <c r="H618" i="13"/>
  <c r="H619" i="13"/>
  <c r="H620" i="13"/>
  <c r="H621" i="13"/>
  <c r="H622" i="13"/>
  <c r="H623" i="13"/>
  <c r="H624" i="13"/>
  <c r="H625" i="13"/>
  <c r="H626" i="13"/>
  <c r="H627" i="13"/>
  <c r="H628" i="13"/>
  <c r="H629" i="13"/>
  <c r="H630" i="13"/>
  <c r="H631" i="13"/>
  <c r="H632" i="13"/>
  <c r="H633" i="13"/>
  <c r="H634" i="13"/>
  <c r="H635" i="13"/>
  <c r="H636" i="13"/>
  <c r="H637" i="13"/>
  <c r="H638" i="13"/>
  <c r="H639" i="13"/>
  <c r="H640" i="13"/>
  <c r="H641" i="13"/>
  <c r="H642" i="13"/>
  <c r="H643" i="13"/>
  <c r="H644" i="13"/>
  <c r="H645" i="13"/>
  <c r="H646" i="13"/>
  <c r="H647" i="13"/>
  <c r="H648" i="13"/>
  <c r="H649" i="13"/>
  <c r="H650" i="13"/>
  <c r="H651" i="13"/>
  <c r="H652" i="13"/>
  <c r="H653" i="13"/>
  <c r="H654" i="13"/>
  <c r="H655" i="13"/>
  <c r="H656" i="13"/>
  <c r="H657" i="13"/>
  <c r="H658" i="13"/>
  <c r="H659" i="13"/>
  <c r="H660" i="13"/>
  <c r="H661" i="13"/>
  <c r="H662" i="13"/>
  <c r="H663" i="13"/>
  <c r="H664" i="13"/>
  <c r="H665" i="13"/>
  <c r="H666" i="13"/>
  <c r="H667" i="13"/>
  <c r="H668" i="13"/>
  <c r="H669" i="13"/>
  <c r="H670" i="13"/>
  <c r="H671" i="13"/>
  <c r="H672" i="13"/>
  <c r="H673" i="13"/>
  <c r="H674" i="13"/>
  <c r="H675" i="13"/>
  <c r="H676" i="13"/>
  <c r="H677" i="13"/>
  <c r="H678" i="13"/>
  <c r="H679" i="13"/>
  <c r="H680" i="13"/>
  <c r="H681" i="13"/>
  <c r="H682" i="13"/>
  <c r="H683" i="13"/>
  <c r="H684" i="13"/>
  <c r="H685" i="13"/>
  <c r="H686" i="13"/>
  <c r="H687" i="13"/>
  <c r="H688" i="13"/>
  <c r="H689" i="13"/>
  <c r="H690" i="13"/>
  <c r="H691" i="13"/>
  <c r="H692" i="13"/>
  <c r="H693" i="13"/>
  <c r="H694" i="13"/>
  <c r="H695" i="13"/>
  <c r="H696" i="13"/>
  <c r="H697" i="13"/>
  <c r="H698" i="13"/>
  <c r="H699" i="13"/>
  <c r="H700" i="13"/>
  <c r="H701" i="13"/>
  <c r="H702" i="13"/>
  <c r="H703" i="13"/>
  <c r="H704" i="13"/>
  <c r="H705" i="13"/>
  <c r="H706" i="13"/>
  <c r="H707" i="13"/>
  <c r="H708" i="13"/>
  <c r="H709" i="13"/>
  <c r="H710" i="13"/>
  <c r="H711" i="13"/>
  <c r="H712" i="13"/>
  <c r="H713" i="13"/>
  <c r="H714" i="13"/>
  <c r="H715" i="13"/>
  <c r="H716" i="13"/>
  <c r="H717" i="13"/>
  <c r="H718" i="13"/>
  <c r="H719" i="13"/>
  <c r="H720" i="13"/>
  <c r="H721" i="13"/>
  <c r="H722" i="13"/>
  <c r="H723" i="13"/>
  <c r="H724" i="13"/>
  <c r="H725" i="13"/>
  <c r="H726" i="13"/>
  <c r="H727" i="13"/>
  <c r="H728" i="13"/>
  <c r="H729" i="13"/>
  <c r="H730" i="13"/>
  <c r="H731" i="13"/>
  <c r="H732" i="13"/>
  <c r="H733" i="13"/>
  <c r="H734" i="13"/>
  <c r="H735" i="13"/>
  <c r="H736" i="13"/>
  <c r="H737" i="13"/>
  <c r="H738" i="13"/>
  <c r="H739" i="13"/>
  <c r="H740" i="13"/>
  <c r="H741" i="13"/>
  <c r="H742" i="13"/>
  <c r="H743" i="13"/>
  <c r="H744" i="13"/>
  <c r="H745" i="13"/>
  <c r="H746" i="13"/>
  <c r="H747" i="13"/>
  <c r="H748" i="13"/>
  <c r="H749" i="13"/>
  <c r="H750" i="13"/>
  <c r="H751" i="13"/>
  <c r="H752" i="13"/>
  <c r="H753" i="13"/>
  <c r="H754" i="13"/>
  <c r="H755" i="13"/>
  <c r="H756" i="13"/>
  <c r="H757" i="13"/>
  <c r="H758" i="13"/>
  <c r="H759" i="13"/>
  <c r="H760" i="13"/>
  <c r="H761" i="13"/>
  <c r="H762" i="13"/>
  <c r="H763" i="13"/>
  <c r="H764" i="13"/>
  <c r="H765" i="13"/>
  <c r="H766" i="13"/>
  <c r="H767" i="13"/>
  <c r="H768" i="13"/>
  <c r="H769" i="13"/>
  <c r="H770" i="13"/>
  <c r="H771" i="13"/>
  <c r="H772" i="13"/>
  <c r="H773" i="13"/>
  <c r="H774" i="13"/>
  <c r="H775" i="13"/>
  <c r="H776" i="13"/>
  <c r="H777" i="13"/>
  <c r="H778" i="13"/>
  <c r="H779" i="13"/>
  <c r="H780" i="13"/>
  <c r="H781" i="13"/>
  <c r="H782" i="13"/>
  <c r="H783" i="13"/>
  <c r="H784" i="13"/>
  <c r="H785" i="13"/>
  <c r="H786" i="13"/>
  <c r="H787" i="13"/>
  <c r="H788" i="13"/>
  <c r="H789" i="13"/>
  <c r="H790" i="13"/>
  <c r="H791" i="13"/>
  <c r="H792" i="13"/>
  <c r="H793" i="13"/>
  <c r="H794" i="13"/>
  <c r="H795" i="13"/>
  <c r="H796" i="13"/>
  <c r="H797" i="13"/>
  <c r="H798" i="13"/>
  <c r="H799" i="13"/>
  <c r="H800" i="13"/>
  <c r="H801" i="13"/>
  <c r="H802" i="13"/>
  <c r="H803" i="13"/>
  <c r="H804" i="13"/>
  <c r="H805" i="13"/>
  <c r="H806" i="13"/>
  <c r="H807" i="13"/>
  <c r="H808" i="13"/>
  <c r="H809" i="13"/>
  <c r="H810" i="13"/>
  <c r="H811" i="13"/>
  <c r="H812" i="13"/>
  <c r="H813" i="13"/>
  <c r="H814" i="13"/>
  <c r="H815" i="13"/>
  <c r="H816" i="13"/>
  <c r="H817" i="13"/>
  <c r="H818" i="13"/>
  <c r="H819" i="13"/>
  <c r="H820" i="13"/>
  <c r="H821" i="13"/>
  <c r="H822" i="13"/>
  <c r="H823" i="13"/>
  <c r="H824" i="13"/>
  <c r="H825" i="13"/>
  <c r="H826" i="13"/>
  <c r="H827" i="13"/>
  <c r="H828" i="13"/>
  <c r="H829" i="13"/>
  <c r="H830" i="13"/>
  <c r="H831" i="13"/>
  <c r="H832" i="13"/>
  <c r="H833" i="13"/>
  <c r="H834" i="13"/>
  <c r="H835" i="13"/>
  <c r="H836" i="13"/>
  <c r="H837" i="13"/>
  <c r="H838" i="13"/>
  <c r="H839" i="13"/>
  <c r="H840" i="13"/>
  <c r="H841" i="13"/>
  <c r="H842" i="13"/>
  <c r="H843" i="13"/>
  <c r="H844" i="13"/>
  <c r="H845" i="13"/>
  <c r="H846" i="13"/>
  <c r="H847" i="13"/>
  <c r="H848" i="13"/>
  <c r="H849" i="13"/>
  <c r="H850" i="13"/>
  <c r="H851" i="13"/>
  <c r="H852" i="13"/>
  <c r="H853" i="13"/>
  <c r="H854" i="13"/>
  <c r="H855" i="13"/>
  <c r="H856" i="13"/>
  <c r="H857" i="13"/>
  <c r="H858" i="13"/>
  <c r="H859" i="13"/>
  <c r="H829" i="1"/>
  <c r="H830" i="1"/>
  <c r="H831" i="1"/>
  <c r="H832" i="1"/>
  <c r="H833" i="1"/>
  <c r="H834" i="1"/>
  <c r="H835" i="1"/>
  <c r="H836" i="1"/>
  <c r="H837" i="1"/>
  <c r="H828"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K52" i="17" l="1"/>
  <c r="L52" i="17"/>
  <c r="M52" i="17"/>
  <c r="N52" i="17"/>
  <c r="P52" i="17"/>
  <c r="Q52" i="17"/>
  <c r="R52" i="17"/>
  <c r="E52" i="17"/>
  <c r="K53" i="17"/>
  <c r="L53" i="17"/>
  <c r="M53" i="17"/>
  <c r="N53" i="17"/>
  <c r="P53" i="17"/>
  <c r="Q53" i="17"/>
  <c r="R53" i="17"/>
  <c r="E53" i="17"/>
  <c r="K54" i="17"/>
  <c r="L54" i="17"/>
  <c r="M54" i="17"/>
  <c r="N54" i="17"/>
  <c r="E54" i="17"/>
  <c r="O53" i="17" l="1"/>
  <c r="O52" i="17"/>
  <c r="O54" i="17"/>
  <c r="D6" i="13" l="1"/>
  <c r="H14" i="13"/>
  <c r="E89" i="17"/>
  <c r="K89" i="17"/>
  <c r="L89" i="17"/>
  <c r="M89" i="17"/>
  <c r="N89" i="17"/>
  <c r="P89" i="17"/>
  <c r="Q89" i="17"/>
  <c r="R89" i="17"/>
  <c r="E90" i="17"/>
  <c r="K90" i="17"/>
  <c r="L90" i="17"/>
  <c r="M90" i="17"/>
  <c r="N90" i="17"/>
  <c r="P90" i="17"/>
  <c r="Q90" i="17"/>
  <c r="R90" i="17"/>
  <c r="E91" i="17"/>
  <c r="K91" i="17"/>
  <c r="L91" i="17"/>
  <c r="M91" i="17"/>
  <c r="N91" i="17"/>
  <c r="P91" i="17"/>
  <c r="Q91" i="17"/>
  <c r="R91" i="17"/>
  <c r="E92" i="17"/>
  <c r="K92" i="17"/>
  <c r="L92" i="17"/>
  <c r="M92" i="17"/>
  <c r="N92" i="17"/>
  <c r="P92" i="17"/>
  <c r="Q92" i="17"/>
  <c r="R92" i="17"/>
  <c r="E93" i="17"/>
  <c r="K93" i="17"/>
  <c r="L93" i="17"/>
  <c r="M93" i="17"/>
  <c r="N93" i="17"/>
  <c r="P93" i="17"/>
  <c r="Q93" i="17"/>
  <c r="R93" i="17"/>
  <c r="E94" i="17"/>
  <c r="K94" i="17"/>
  <c r="L94" i="17"/>
  <c r="M94" i="17"/>
  <c r="N94" i="17"/>
  <c r="P94" i="17"/>
  <c r="Q94" i="17"/>
  <c r="R94" i="17"/>
  <c r="E95" i="17"/>
  <c r="K95" i="17"/>
  <c r="L95" i="17"/>
  <c r="M95" i="17"/>
  <c r="N95" i="17"/>
  <c r="P95" i="17"/>
  <c r="Q95" i="17"/>
  <c r="R95" i="17"/>
  <c r="E96" i="17"/>
  <c r="K96" i="17"/>
  <c r="L96" i="17"/>
  <c r="M96" i="17"/>
  <c r="N96" i="17"/>
  <c r="P96" i="17"/>
  <c r="Q96" i="17"/>
  <c r="R96" i="17"/>
  <c r="E97" i="17"/>
  <c r="K97" i="17"/>
  <c r="L97" i="17"/>
  <c r="M97" i="17"/>
  <c r="N97" i="17"/>
  <c r="P97" i="17"/>
  <c r="Q97" i="17"/>
  <c r="R97" i="17"/>
  <c r="E98" i="17"/>
  <c r="K98" i="17"/>
  <c r="L98" i="17"/>
  <c r="M98" i="17"/>
  <c r="N98" i="17"/>
  <c r="P98" i="17"/>
  <c r="Q98" i="17"/>
  <c r="R98" i="17"/>
  <c r="E99" i="17"/>
  <c r="K99" i="17"/>
  <c r="L99" i="17"/>
  <c r="M99" i="17"/>
  <c r="N99" i="17"/>
  <c r="P99" i="17"/>
  <c r="Q99" i="17"/>
  <c r="R99" i="17"/>
  <c r="E100" i="17"/>
  <c r="K100" i="17"/>
  <c r="L100" i="17"/>
  <c r="M100" i="17"/>
  <c r="N100" i="17"/>
  <c r="P100" i="17"/>
  <c r="Q100" i="17"/>
  <c r="R100" i="17"/>
  <c r="E88" i="17"/>
  <c r="K88" i="17"/>
  <c r="L88" i="17"/>
  <c r="M88" i="17"/>
  <c r="N88" i="17"/>
  <c r="P88" i="17"/>
  <c r="Q88" i="17"/>
  <c r="R88" i="17"/>
  <c r="K87" i="17"/>
  <c r="L87" i="17"/>
  <c r="M87" i="17"/>
  <c r="N87" i="17"/>
  <c r="P87" i="17"/>
  <c r="Q87" i="17"/>
  <c r="R87" i="17"/>
  <c r="E87" i="17"/>
  <c r="K86" i="17"/>
  <c r="L86" i="17"/>
  <c r="M86" i="17"/>
  <c r="N86" i="17"/>
  <c r="K62" i="17"/>
  <c r="L62" i="17"/>
  <c r="M62" i="17"/>
  <c r="N62" i="17"/>
  <c r="P62" i="17"/>
  <c r="Q62" i="17"/>
  <c r="R62" i="17"/>
  <c r="K61" i="17"/>
  <c r="L61" i="17"/>
  <c r="M61" i="17"/>
  <c r="N61" i="17"/>
  <c r="P61" i="17"/>
  <c r="Q61" i="17"/>
  <c r="R61" i="17"/>
  <c r="K67" i="17"/>
  <c r="L67" i="17"/>
  <c r="M67" i="17"/>
  <c r="N67" i="17"/>
  <c r="P67" i="17"/>
  <c r="Q67" i="17"/>
  <c r="R67" i="17"/>
  <c r="K64" i="17"/>
  <c r="L64" i="17"/>
  <c r="M64" i="17"/>
  <c r="N64" i="17"/>
  <c r="P64" i="17"/>
  <c r="Q64" i="17"/>
  <c r="R64" i="17"/>
  <c r="K65" i="17"/>
  <c r="L65" i="17"/>
  <c r="M65" i="17"/>
  <c r="N65" i="17"/>
  <c r="P65" i="17"/>
  <c r="Q65" i="17"/>
  <c r="R65" i="17"/>
  <c r="K73" i="17"/>
  <c r="L73" i="17"/>
  <c r="M73" i="17"/>
  <c r="N73" i="17"/>
  <c r="P73" i="17"/>
  <c r="Q73" i="17"/>
  <c r="R73" i="17"/>
  <c r="K58" i="17"/>
  <c r="L58" i="17"/>
  <c r="M58" i="17"/>
  <c r="N58" i="17"/>
  <c r="P58" i="17"/>
  <c r="Q58" i="17"/>
  <c r="R58" i="17"/>
  <c r="K56" i="17"/>
  <c r="L56" i="17"/>
  <c r="M56" i="17"/>
  <c r="N56" i="17"/>
  <c r="P56" i="17"/>
  <c r="Q56" i="17"/>
  <c r="R56" i="17"/>
  <c r="K70" i="17"/>
  <c r="L70" i="17"/>
  <c r="M70" i="17"/>
  <c r="N70" i="17"/>
  <c r="P70" i="17"/>
  <c r="Q70" i="17"/>
  <c r="R70" i="17"/>
  <c r="K71" i="17"/>
  <c r="L71" i="17"/>
  <c r="M71" i="17"/>
  <c r="N71" i="17"/>
  <c r="P71" i="17"/>
  <c r="Q71" i="17"/>
  <c r="R71" i="17"/>
  <c r="K63" i="17"/>
  <c r="L63" i="17"/>
  <c r="M63" i="17"/>
  <c r="N63" i="17"/>
  <c r="P63" i="17"/>
  <c r="Q63" i="17"/>
  <c r="R63" i="17"/>
  <c r="K69" i="17"/>
  <c r="L69" i="17"/>
  <c r="M69" i="17"/>
  <c r="N69" i="17"/>
  <c r="P69" i="17"/>
  <c r="Q69" i="17"/>
  <c r="R69" i="17"/>
  <c r="K59" i="17"/>
  <c r="L59" i="17"/>
  <c r="M59" i="17"/>
  <c r="N59" i="17"/>
  <c r="P59" i="17"/>
  <c r="Q59" i="17"/>
  <c r="R59" i="17"/>
  <c r="K66" i="17"/>
  <c r="L66" i="17"/>
  <c r="M66" i="17"/>
  <c r="N66" i="17"/>
  <c r="P66" i="17"/>
  <c r="Q66" i="17"/>
  <c r="R66" i="17"/>
  <c r="K55" i="17"/>
  <c r="L55" i="17"/>
  <c r="M55" i="17"/>
  <c r="N55" i="17"/>
  <c r="P55" i="17"/>
  <c r="Q55" i="17"/>
  <c r="R55" i="17"/>
  <c r="K68" i="17"/>
  <c r="L68" i="17"/>
  <c r="M68" i="17"/>
  <c r="N68" i="17"/>
  <c r="P68" i="17"/>
  <c r="Q68" i="17"/>
  <c r="R68" i="17"/>
  <c r="K72" i="17"/>
  <c r="L72" i="17"/>
  <c r="M72" i="17"/>
  <c r="N72" i="17"/>
  <c r="P72" i="17"/>
  <c r="Q72" i="17"/>
  <c r="R72" i="17"/>
  <c r="K57" i="17"/>
  <c r="L57" i="17"/>
  <c r="M57" i="17"/>
  <c r="N57" i="17"/>
  <c r="P57" i="17"/>
  <c r="Q57" i="17"/>
  <c r="R57" i="17"/>
  <c r="K60" i="17"/>
  <c r="L60" i="17"/>
  <c r="M60" i="17"/>
  <c r="N60" i="17"/>
  <c r="P60" i="17"/>
  <c r="Q60" i="17"/>
  <c r="R60" i="17"/>
  <c r="E60" i="17"/>
  <c r="E57" i="17"/>
  <c r="E72" i="17"/>
  <c r="E68" i="17"/>
  <c r="E55" i="17"/>
  <c r="E66" i="17"/>
  <c r="E59" i="17"/>
  <c r="E69" i="17"/>
  <c r="E63" i="17"/>
  <c r="E71" i="17"/>
  <c r="E70" i="17"/>
  <c r="E56" i="17"/>
  <c r="E58" i="17"/>
  <c r="E73" i="17"/>
  <c r="E65" i="17"/>
  <c r="E64" i="17"/>
  <c r="E67" i="17"/>
  <c r="E61" i="17"/>
  <c r="E62" i="17"/>
  <c r="H5" i="13"/>
  <c r="H5" i="1"/>
  <c r="R4" i="17"/>
  <c r="R5" i="17"/>
  <c r="R6" i="17"/>
  <c r="R7"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74" i="17"/>
  <c r="R75" i="17"/>
  <c r="R76" i="17"/>
  <c r="R77" i="17"/>
  <c r="R78" i="17"/>
  <c r="R79" i="17"/>
  <c r="R80" i="17"/>
  <c r="R81" i="17"/>
  <c r="R82" i="17"/>
  <c r="R83" i="17"/>
  <c r="R84" i="17"/>
  <c r="R85"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74" i="17"/>
  <c r="Q75" i="17"/>
  <c r="Q76" i="17"/>
  <c r="Q77" i="17"/>
  <c r="Q78" i="17"/>
  <c r="Q79" i="17"/>
  <c r="Q80" i="17"/>
  <c r="Q81" i="17"/>
  <c r="Q82" i="17"/>
  <c r="Q83" i="17"/>
  <c r="Q84" i="17"/>
  <c r="Q85" i="17"/>
  <c r="I4" i="17"/>
  <c r="L8" i="17"/>
  <c r="K9" i="17"/>
  <c r="K10" i="17"/>
  <c r="K11" i="17"/>
  <c r="K14" i="17"/>
  <c r="L16" i="17"/>
  <c r="M18" i="17"/>
  <c r="L20" i="17"/>
  <c r="G4" i="17"/>
  <c r="E4" i="17"/>
  <c r="E5" i="17"/>
  <c r="E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40" i="17"/>
  <c r="E41" i="17"/>
  <c r="E42" i="17"/>
  <c r="E43" i="17"/>
  <c r="E44" i="17"/>
  <c r="E45" i="17"/>
  <c r="E46" i="17"/>
  <c r="E47" i="17"/>
  <c r="E48" i="17"/>
  <c r="E49" i="17"/>
  <c r="E50" i="17"/>
  <c r="E51" i="17"/>
  <c r="E74" i="17"/>
  <c r="E75" i="17"/>
  <c r="E76" i="17"/>
  <c r="E77" i="17"/>
  <c r="E78" i="17"/>
  <c r="E79" i="17"/>
  <c r="E80" i="17"/>
  <c r="E81" i="17"/>
  <c r="E82" i="17"/>
  <c r="E83" i="17"/>
  <c r="E84" i="17"/>
  <c r="E85"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74" i="17"/>
  <c r="P75" i="17"/>
  <c r="P76" i="17"/>
  <c r="P77" i="17"/>
  <c r="P78" i="17"/>
  <c r="P79" i="17"/>
  <c r="P80" i="17"/>
  <c r="P81" i="17"/>
  <c r="P82" i="17"/>
  <c r="P83" i="17"/>
  <c r="P84" i="17"/>
  <c r="P85" i="17"/>
  <c r="K4" i="17"/>
  <c r="L4" i="17"/>
  <c r="M4" i="17"/>
  <c r="N4" i="17"/>
  <c r="K5" i="17"/>
  <c r="L5" i="17"/>
  <c r="M5" i="17"/>
  <c r="N5" i="17"/>
  <c r="K6" i="17"/>
  <c r="L6" i="17"/>
  <c r="M6" i="17"/>
  <c r="N6" i="17"/>
  <c r="K7" i="17"/>
  <c r="L7" i="17"/>
  <c r="M7" i="17"/>
  <c r="N7" i="17"/>
  <c r="M9" i="17"/>
  <c r="L11" i="17"/>
  <c r="N11" i="17"/>
  <c r="K12" i="17"/>
  <c r="L12" i="17"/>
  <c r="M12" i="17"/>
  <c r="N12" i="17"/>
  <c r="K13" i="17"/>
  <c r="L13" i="17"/>
  <c r="M13" i="17"/>
  <c r="N13" i="17"/>
  <c r="L14" i="17"/>
  <c r="M14" i="17"/>
  <c r="N14" i="17"/>
  <c r="K15" i="17"/>
  <c r="L15" i="17"/>
  <c r="M15" i="17"/>
  <c r="N15" i="17"/>
  <c r="K16" i="17"/>
  <c r="M16" i="17"/>
  <c r="N16" i="17"/>
  <c r="K17" i="17"/>
  <c r="L17" i="17"/>
  <c r="M17" i="17"/>
  <c r="N17" i="17"/>
  <c r="K18" i="17"/>
  <c r="L18" i="17"/>
  <c r="N18" i="17"/>
  <c r="K19" i="17"/>
  <c r="L19" i="17"/>
  <c r="M19" i="17"/>
  <c r="N19" i="17"/>
  <c r="N20" i="17"/>
  <c r="K21" i="17"/>
  <c r="L21" i="17"/>
  <c r="M21" i="17"/>
  <c r="N21" i="17"/>
  <c r="K22" i="17"/>
  <c r="L22" i="17"/>
  <c r="M22" i="17"/>
  <c r="N22" i="17"/>
  <c r="K23" i="17"/>
  <c r="L23" i="17"/>
  <c r="M23" i="17"/>
  <c r="N23" i="17"/>
  <c r="K24" i="17"/>
  <c r="L24" i="17"/>
  <c r="M24" i="17"/>
  <c r="N24" i="17"/>
  <c r="K25" i="17"/>
  <c r="L25" i="17"/>
  <c r="M25" i="17"/>
  <c r="N25" i="17"/>
  <c r="K26" i="17"/>
  <c r="L26" i="17"/>
  <c r="M26" i="17"/>
  <c r="N26" i="17"/>
  <c r="K27" i="17"/>
  <c r="L27" i="17"/>
  <c r="M27" i="17"/>
  <c r="N27" i="17"/>
  <c r="K28" i="17"/>
  <c r="L28" i="17"/>
  <c r="M28" i="17"/>
  <c r="N28" i="17"/>
  <c r="K29" i="17"/>
  <c r="L29" i="17"/>
  <c r="M29" i="17"/>
  <c r="N29" i="17"/>
  <c r="K30" i="17"/>
  <c r="L30" i="17"/>
  <c r="M30" i="17"/>
  <c r="N30" i="17"/>
  <c r="K31" i="17"/>
  <c r="L31" i="17"/>
  <c r="M31" i="17"/>
  <c r="N31" i="17"/>
  <c r="K32" i="17"/>
  <c r="L32" i="17"/>
  <c r="M32" i="17"/>
  <c r="N32" i="17"/>
  <c r="K33" i="17"/>
  <c r="L33" i="17"/>
  <c r="M33" i="17"/>
  <c r="N33" i="17"/>
  <c r="K34" i="17"/>
  <c r="L34" i="17"/>
  <c r="M34" i="17"/>
  <c r="N34" i="17"/>
  <c r="K35" i="17"/>
  <c r="L35" i="17"/>
  <c r="M35" i="17"/>
  <c r="N35" i="17"/>
  <c r="K36" i="17"/>
  <c r="L36" i="17"/>
  <c r="M36" i="17"/>
  <c r="N36" i="17"/>
  <c r="K37" i="17"/>
  <c r="L37" i="17"/>
  <c r="M37" i="17"/>
  <c r="N37" i="17"/>
  <c r="K38" i="17"/>
  <c r="L38" i="17"/>
  <c r="M38" i="17"/>
  <c r="N38" i="17"/>
  <c r="K39" i="17"/>
  <c r="L39" i="17"/>
  <c r="M39" i="17"/>
  <c r="N39" i="17"/>
  <c r="K40" i="17"/>
  <c r="L40" i="17"/>
  <c r="M40" i="17"/>
  <c r="N40" i="17"/>
  <c r="K41" i="17"/>
  <c r="L41" i="17"/>
  <c r="M41" i="17"/>
  <c r="N41" i="17"/>
  <c r="K42" i="17"/>
  <c r="L42" i="17"/>
  <c r="M42" i="17"/>
  <c r="N42" i="17"/>
  <c r="K43" i="17"/>
  <c r="L43" i="17"/>
  <c r="M43" i="17"/>
  <c r="N43" i="17"/>
  <c r="K44" i="17"/>
  <c r="L44" i="17"/>
  <c r="M44" i="17"/>
  <c r="N44" i="17"/>
  <c r="K45" i="17"/>
  <c r="L45" i="17"/>
  <c r="M45" i="17"/>
  <c r="N45" i="17"/>
  <c r="K46" i="17"/>
  <c r="L46" i="17"/>
  <c r="M46" i="17"/>
  <c r="N46" i="17"/>
  <c r="K47" i="17"/>
  <c r="L47" i="17"/>
  <c r="M47" i="17"/>
  <c r="N47" i="17"/>
  <c r="K48" i="17"/>
  <c r="L48" i="17"/>
  <c r="M48" i="17"/>
  <c r="N48" i="17"/>
  <c r="K49" i="17"/>
  <c r="L49" i="17"/>
  <c r="M49" i="17"/>
  <c r="N49" i="17"/>
  <c r="K50" i="17"/>
  <c r="L50" i="17"/>
  <c r="M50" i="17"/>
  <c r="N50" i="17"/>
  <c r="K51" i="17"/>
  <c r="L51" i="17"/>
  <c r="M51" i="17"/>
  <c r="N51" i="17"/>
  <c r="K74" i="17"/>
  <c r="L74" i="17"/>
  <c r="M74" i="17"/>
  <c r="N74" i="17"/>
  <c r="K75" i="17"/>
  <c r="L75" i="17"/>
  <c r="M75" i="17"/>
  <c r="N75" i="17"/>
  <c r="K76" i="17"/>
  <c r="L76" i="17"/>
  <c r="M76" i="17"/>
  <c r="N76" i="17"/>
  <c r="K77" i="17"/>
  <c r="L77" i="17"/>
  <c r="M77" i="17"/>
  <c r="N77" i="17"/>
  <c r="K78" i="17"/>
  <c r="L78" i="17"/>
  <c r="M78" i="17"/>
  <c r="N78" i="17"/>
  <c r="K79" i="17"/>
  <c r="L79" i="17"/>
  <c r="M79" i="17"/>
  <c r="N79" i="17"/>
  <c r="K80" i="17"/>
  <c r="L80" i="17"/>
  <c r="M80" i="17"/>
  <c r="N80" i="17"/>
  <c r="K81" i="17"/>
  <c r="L81" i="17"/>
  <c r="M81" i="17"/>
  <c r="N81" i="17"/>
  <c r="K82" i="17"/>
  <c r="L82" i="17"/>
  <c r="M82" i="17"/>
  <c r="N82" i="17"/>
  <c r="K83" i="17"/>
  <c r="L83" i="17"/>
  <c r="M83" i="17"/>
  <c r="N83" i="17"/>
  <c r="K84" i="17"/>
  <c r="L84" i="17"/>
  <c r="M84" i="17"/>
  <c r="N84" i="17"/>
  <c r="K85" i="17"/>
  <c r="L85" i="17"/>
  <c r="M85" i="17"/>
  <c r="N85" i="17"/>
  <c r="M8" i="17"/>
  <c r="K8" i="17"/>
  <c r="L9" i="17"/>
  <c r="N8" i="17"/>
  <c r="K20" i="17"/>
  <c r="M11" i="17"/>
  <c r="N10" i="17"/>
  <c r="M20" i="17"/>
  <c r="N9" i="17"/>
  <c r="M10" i="17"/>
  <c r="L10" i="17"/>
  <c r="H14" i="1"/>
  <c r="Q86" i="17"/>
  <c r="R86" i="17"/>
  <c r="P86" i="17"/>
  <c r="E86" i="17"/>
  <c r="O8" i="17" l="1"/>
  <c r="O30" i="17"/>
  <c r="O28" i="17"/>
  <c r="O81" i="17"/>
  <c r="O6" i="17"/>
  <c r="O97" i="17"/>
  <c r="O93" i="17"/>
  <c r="O82" i="17"/>
  <c r="O45" i="17"/>
  <c r="O29" i="17"/>
  <c r="O57" i="17"/>
  <c r="O55" i="17"/>
  <c r="O21" i="17"/>
  <c r="O65" i="17"/>
  <c r="O62" i="17"/>
  <c r="O59" i="17"/>
  <c r="O84" i="17"/>
  <c r="O42" i="17"/>
  <c r="O36" i="17"/>
  <c r="O22" i="17"/>
  <c r="O7" i="17"/>
  <c r="O5" i="17"/>
  <c r="O14" i="17"/>
  <c r="O26" i="17"/>
  <c r="O24" i="17"/>
  <c r="O4" i="17"/>
  <c r="O63" i="17"/>
  <c r="O67" i="17"/>
  <c r="O77" i="17"/>
  <c r="O32" i="17"/>
  <c r="O79" i="17"/>
  <c r="O75" i="17"/>
  <c r="O38" i="17"/>
  <c r="O34" i="17"/>
  <c r="O73" i="17"/>
  <c r="O88" i="17"/>
  <c r="O91" i="17"/>
  <c r="O64" i="17"/>
  <c r="O87" i="17"/>
  <c r="O100" i="17"/>
  <c r="O98" i="17"/>
  <c r="O96" i="17"/>
  <c r="O94" i="17"/>
  <c r="O92" i="17"/>
  <c r="O90" i="17"/>
  <c r="O40" i="17"/>
  <c r="O86" i="17"/>
  <c r="O83" i="17"/>
  <c r="O20" i="17"/>
  <c r="O49" i="17"/>
  <c r="O33" i="17"/>
  <c r="O16" i="17"/>
  <c r="O46" i="17"/>
  <c r="O50" i="17"/>
  <c r="O60" i="17"/>
  <c r="O17" i="17"/>
  <c r="O47" i="17"/>
  <c r="O31" i="17"/>
  <c r="O12" i="17"/>
  <c r="O85" i="17"/>
  <c r="O10" i="17"/>
  <c r="O72" i="17"/>
  <c r="O68" i="17"/>
  <c r="O66" i="17"/>
  <c r="O71" i="17"/>
  <c r="O61" i="17"/>
  <c r="O99" i="17"/>
  <c r="O95" i="17"/>
  <c r="O80" i="17"/>
  <c r="O78" i="17"/>
  <c r="O76" i="17"/>
  <c r="O74" i="17"/>
  <c r="O51" i="17"/>
  <c r="O43" i="17"/>
  <c r="O41" i="17"/>
  <c r="O39" i="17"/>
  <c r="O37" i="17"/>
  <c r="O35" i="17"/>
  <c r="O27" i="17"/>
  <c r="O25" i="17"/>
  <c r="O23" i="17"/>
  <c r="O18" i="17"/>
  <c r="O11" i="17"/>
  <c r="O70" i="17"/>
  <c r="O56" i="17"/>
  <c r="O89" i="17"/>
  <c r="O9" i="17"/>
  <c r="O13" i="17"/>
  <c r="O69" i="17"/>
  <c r="O44" i="17"/>
  <c r="O15" i="17"/>
  <c r="O48" i="17"/>
  <c r="O19" i="17"/>
  <c r="O58" i="17"/>
  <c r="Q54" i="17" l="1"/>
  <c r="R54" i="17"/>
  <c r="P54"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Ron van Nuland</author>
  </authors>
  <commentList>
    <comment ref="D1" authorId="0" shapeId="0" xr:uid="{424F8193-47B5-43AA-A2E6-F3488B5E47A0}">
      <text>
        <r>
          <rPr>
            <b/>
            <sz val="9"/>
            <color indexed="81"/>
            <rFont val="Tahoma"/>
            <family val="2"/>
          </rPr>
          <t>Ron van Nuland:</t>
        </r>
        <r>
          <rPr>
            <sz val="9"/>
            <color indexed="81"/>
            <rFont val="Tahoma"/>
            <family val="2"/>
          </rPr>
          <t xml:space="preserve">
T.b.v. VD01/VD02 WMS Goederenontvanger</t>
        </r>
      </text>
    </comment>
  </commentList>
</comments>
</file>

<file path=xl/sharedStrings.xml><?xml version="1.0" encoding="utf-8"?>
<sst xmlns="http://schemas.openxmlformats.org/spreadsheetml/2006/main" count="25776" uniqueCount="11807">
  <si>
    <t>Aanvraagdatum:</t>
  </si>
  <si>
    <t>Datum aanvraag</t>
  </si>
  <si>
    <t>Aanvrager:</t>
  </si>
  <si>
    <t>Bedrijf (aannemer)</t>
  </si>
  <si>
    <t xml:space="preserve">vul hier artikelnummer in t.b.v. uitgebreide(re) tekst   =&gt;   </t>
  </si>
  <si>
    <t>Contactpersoon:</t>
  </si>
  <si>
    <t>Naam &amp; 06# contactpersoon (CP)</t>
  </si>
  <si>
    <t>Ontvanger:</t>
  </si>
  <si>
    <t>optioneel bij andere ontvanger dan CP</t>
  </si>
  <si>
    <t>Afleverlocatie</t>
  </si>
  <si>
    <t>Locatie (en toevoeging)</t>
  </si>
  <si>
    <t>Leverdatum:</t>
  </si>
  <si>
    <t>Gewenste leverdatum</t>
  </si>
  <si>
    <t xml:space="preserve">Casenummer: </t>
  </si>
  <si>
    <t># Case</t>
  </si>
  <si>
    <t xml:space="preserve">PE-order: </t>
  </si>
  <si>
    <t># PE-order</t>
  </si>
  <si>
    <t>klant</t>
  </si>
  <si>
    <t>Klant</t>
  </si>
  <si>
    <t>Liander</t>
  </si>
  <si>
    <t>Hoeveelheid</t>
  </si>
  <si>
    <t>Eenheid</t>
  </si>
  <si>
    <t>Artikelnummer</t>
  </si>
  <si>
    <t>Korte omschrijving</t>
  </si>
  <si>
    <t>Aantal in verpakking</t>
  </si>
  <si>
    <t>status</t>
  </si>
  <si>
    <t>(eventueel) alternatief art.nr.</t>
  </si>
  <si>
    <t>Basis Eenheid</t>
  </si>
  <si>
    <t>Categorie</t>
  </si>
  <si>
    <t>Opmerking</t>
  </si>
  <si>
    <t>Als de regel chargenummer geel wordt:</t>
  </si>
  <si>
    <t>Voor artikelnummers met:</t>
  </si>
  <si>
    <t>- 200xxxxx gaat het om haspelnummers.</t>
  </si>
  <si>
    <t>- 260xxxxx gaat het om keuze</t>
  </si>
  <si>
    <t xml:space="preserve">   NIEUW of GEREVISEERD</t>
  </si>
  <si>
    <t>PE-activiteit code</t>
  </si>
  <si>
    <t># Taak of activiteitscode</t>
  </si>
  <si>
    <t>M</t>
  </si>
  <si>
    <t>Chargenummer</t>
  </si>
  <si>
    <t>Charge</t>
  </si>
  <si>
    <t>Prognoses</t>
  </si>
  <si>
    <t>Q1</t>
  </si>
  <si>
    <t>Q2</t>
  </si>
  <si>
    <t>Q3</t>
  </si>
  <si>
    <t>Q4</t>
  </si>
  <si>
    <t>Liander Q1</t>
  </si>
  <si>
    <t>Liander Q2</t>
  </si>
  <si>
    <t>Liander Q3</t>
  </si>
  <si>
    <t>Liander Q4</t>
  </si>
  <si>
    <t>Liander totaal</t>
  </si>
  <si>
    <t>20005263</t>
  </si>
  <si>
    <t>20005264</t>
  </si>
  <si>
    <t>20005265</t>
  </si>
  <si>
    <t>20005266</t>
  </si>
  <si>
    <t>20009217</t>
  </si>
  <si>
    <t>20009692</t>
  </si>
  <si>
    <t>20009964</t>
  </si>
  <si>
    <t>20019481</t>
  </si>
  <si>
    <t>20019483</t>
  </si>
  <si>
    <t>20019484</t>
  </si>
  <si>
    <t>20019485</t>
  </si>
  <si>
    <t>20020033</t>
  </si>
  <si>
    <t>20020034</t>
  </si>
  <si>
    <t>20020036</t>
  </si>
  <si>
    <t>20020037</t>
  </si>
  <si>
    <t>20020038</t>
  </si>
  <si>
    <t>20020042</t>
  </si>
  <si>
    <t>20020048</t>
  </si>
  <si>
    <t>20020070</t>
  </si>
  <si>
    <t>20027905</t>
  </si>
  <si>
    <t>20027989</t>
  </si>
  <si>
    <t>20027992</t>
  </si>
  <si>
    <t>20028838</t>
  </si>
  <si>
    <t>20028839</t>
  </si>
  <si>
    <t>20029657</t>
  </si>
  <si>
    <t>20030299</t>
  </si>
  <si>
    <t>20030300</t>
  </si>
  <si>
    <t>20032124</t>
  </si>
  <si>
    <t>20032532</t>
  </si>
  <si>
    <t>20032539</t>
  </si>
  <si>
    <t>20032541</t>
  </si>
  <si>
    <t>20034708</t>
  </si>
  <si>
    <t>20036268</t>
  </si>
  <si>
    <t>20036269</t>
  </si>
  <si>
    <t>20040028</t>
  </si>
  <si>
    <t>20040998</t>
  </si>
  <si>
    <t>20041589</t>
  </si>
  <si>
    <t>20041590</t>
  </si>
  <si>
    <t>20041591</t>
  </si>
  <si>
    <t>20041592</t>
  </si>
  <si>
    <t>20041593</t>
  </si>
  <si>
    <t>20041651</t>
  </si>
  <si>
    <t>20041652</t>
  </si>
  <si>
    <t>20041933</t>
  </si>
  <si>
    <t>20041934</t>
  </si>
  <si>
    <t>20042170</t>
  </si>
  <si>
    <t>20042171</t>
  </si>
  <si>
    <t>20042172</t>
  </si>
  <si>
    <t>26000637</t>
  </si>
  <si>
    <t>26000641</t>
  </si>
  <si>
    <t>26000642</t>
  </si>
  <si>
    <t>26000643</t>
  </si>
  <si>
    <t>26000645</t>
  </si>
  <si>
    <t>26000646</t>
  </si>
  <si>
    <t>26000647</t>
  </si>
  <si>
    <t>26000648</t>
  </si>
  <si>
    <t>26000649</t>
  </si>
  <si>
    <t>26000651</t>
  </si>
  <si>
    <t>26000653</t>
  </si>
  <si>
    <t>26000655</t>
  </si>
  <si>
    <t>26000657</t>
  </si>
  <si>
    <t>26000658</t>
  </si>
  <si>
    <t>26000659</t>
  </si>
  <si>
    <t>26000661</t>
  </si>
  <si>
    <t>26000663</t>
  </si>
  <si>
    <t>26000664</t>
  </si>
  <si>
    <t>26000665</t>
  </si>
  <si>
    <t>26000721</t>
  </si>
  <si>
    <t>26000725</t>
  </si>
  <si>
    <t>26000729</t>
  </si>
  <si>
    <t>26000733</t>
  </si>
  <si>
    <t>26000737</t>
  </si>
  <si>
    <t>26000741</t>
  </si>
  <si>
    <t>26000745</t>
  </si>
  <si>
    <t>26000753</t>
  </si>
  <si>
    <t>26000757</t>
  </si>
  <si>
    <t>26001090</t>
  </si>
  <si>
    <t>26001120</t>
  </si>
  <si>
    <t>26001150</t>
  </si>
  <si>
    <t>26000276</t>
  </si>
  <si>
    <t>26000639</t>
  </si>
  <si>
    <t>26000640</t>
  </si>
  <si>
    <t>26000644</t>
  </si>
  <si>
    <t>26000650</t>
  </si>
  <si>
    <t>d.d.</t>
  </si>
  <si>
    <t>Wie</t>
  </si>
  <si>
    <t>Team D&amp;C</t>
  </si>
  <si>
    <t>Dennis Roke</t>
  </si>
  <si>
    <t>H.Wedda</t>
  </si>
  <si>
    <t>H.Wedda (TNL &gt; 20043079)</t>
  </si>
  <si>
    <t>Johan B/vd Heuvel</t>
  </si>
  <si>
    <t>R. Luimes</t>
  </si>
  <si>
    <t>Bob van Beek</t>
  </si>
  <si>
    <t>Remko Luimes</t>
  </si>
  <si>
    <t>R.Luimes</t>
  </si>
  <si>
    <t>Hans Wedda</t>
  </si>
  <si>
    <t>H. Wedda</t>
  </si>
  <si>
    <t>Bestandsbeheer (DR)</t>
  </si>
  <si>
    <t>E. Mombarg</t>
  </si>
  <si>
    <t>J. Akkerman</t>
  </si>
  <si>
    <t>J. Lamberts W. Molenaar</t>
  </si>
  <si>
    <t>Fout ontstaat door status H i.v.m. inrichting opvolgend artikel</t>
  </si>
  <si>
    <t>J.Akkerman</t>
  </si>
  <si>
    <t>Bob van Beek (chat JohanB)</t>
  </si>
  <si>
    <t>B.van Beek</t>
  </si>
  <si>
    <t>J.Bultstra (tijd. vervanging 20005863)</t>
  </si>
  <si>
    <t>Bestandsbeheer</t>
  </si>
  <si>
    <t>20036848</t>
  </si>
  <si>
    <t>Vanwege split frames en hoeklijn</t>
  </si>
  <si>
    <t>Rechtstreekse opvolger van 26000065, 26000310</t>
  </si>
  <si>
    <t>Bestandsbeheer (akkoord R.Luimes)</t>
  </si>
  <si>
    <t>Bestandsbeheer (ws vergeten)</t>
  </si>
  <si>
    <t>Op de lijst gezet door langlopend issue met aanwezigheid in ASP's maar nooit officieel toegestaan</t>
  </si>
  <si>
    <t>26000281</t>
  </si>
  <si>
    <t>Toegevoegd als opvolger 26000699</t>
  </si>
  <si>
    <t>Mark Meilink</t>
  </si>
  <si>
    <t>Jermo Sietsema</t>
  </si>
  <si>
    <t>Goedkeuring Remko na bestellen zonder assortiment</t>
  </si>
  <si>
    <t>Johan Akkerman</t>
  </si>
  <si>
    <t>Goedkeuring Johan</t>
  </si>
  <si>
    <t>Omcodering</t>
  </si>
  <si>
    <t>Infasering</t>
  </si>
  <si>
    <t>Als vervanger voor 20006758</t>
  </si>
  <si>
    <t>Als vervanger voor 20041612</t>
  </si>
  <si>
    <t>Aanwezig in assortiment</t>
  </si>
  <si>
    <t>Toegevoegd verzoek van Dennis S</t>
  </si>
  <si>
    <t>Dennis  Scheer</t>
  </si>
  <si>
    <t>Opmaken vd voorrraad</t>
  </si>
  <si>
    <t>20050482</t>
  </si>
  <si>
    <t>20050485</t>
  </si>
  <si>
    <t>20050486</t>
  </si>
  <si>
    <t>20050483</t>
  </si>
  <si>
    <t>Fout ontstaat door verwijdering status H en de status leeg laten (19.11.2025 RS)</t>
  </si>
  <si>
    <t>Dennis Scheer</t>
  </si>
  <si>
    <t>20050314</t>
  </si>
  <si>
    <t>20050462</t>
  </si>
  <si>
    <t>20050484</t>
  </si>
  <si>
    <t>Roland Scheffer</t>
  </si>
  <si>
    <t>20044291</t>
  </si>
  <si>
    <t xml:space="preserve">Bestandsbeheer  </t>
  </si>
  <si>
    <t>20050423</t>
  </si>
  <si>
    <t>Opvolgend artikelnummer</t>
  </si>
  <si>
    <t>Uitloop zonder voldoende voorraad</t>
  </si>
  <si>
    <t>GEBR 20036380</t>
  </si>
  <si>
    <t>Op verzoek van Voorraadbeheer, Herinzet</t>
  </si>
  <si>
    <t>-</t>
  </si>
  <si>
    <t>Vervallen</t>
  </si>
  <si>
    <t>Opvolger geactiveerd</t>
  </si>
  <si>
    <t>Uitloop, gebruik 20042093</t>
  </si>
  <si>
    <t xml:space="preserve">Uitloop, gebruik 20042675 </t>
  </si>
  <si>
    <t>Uitfasering, alternatief is 20026030 (aanwezig)</t>
  </si>
  <si>
    <t>Uitfasering, geen alternatief voor dit artikel</t>
  </si>
  <si>
    <t>GEEN OPVOLGER</t>
  </si>
  <si>
    <t>Uitfasering, alternatief is 26000653</t>
  </si>
  <si>
    <t>Overgang naar 20043308 (eenheid ST)</t>
  </si>
  <si>
    <t>Uitloopartikel</t>
  </si>
  <si>
    <t>GEBR NEONVOLT</t>
  </si>
  <si>
    <t>Vrije voorraad DC op</t>
  </si>
  <si>
    <t>Weggereserveerde resterende voorraad</t>
  </si>
  <si>
    <t xml:space="preserve">Vervallen </t>
  </si>
  <si>
    <t>Vervallen zonder opvolger</t>
  </si>
  <si>
    <t xml:space="preserve">Uitloop zonder voorraad </t>
  </si>
  <si>
    <t>Uitfasering</t>
  </si>
  <si>
    <t>20043763/20043768</t>
  </si>
  <si>
    <t>20043765/20043767</t>
  </si>
  <si>
    <t>Uitfaseren</t>
  </si>
  <si>
    <t>Uitvallijst BB</t>
  </si>
  <si>
    <t>Artikelnummer (zonder voorloopnullen)</t>
  </si>
  <si>
    <t>Artikelomschrijving</t>
  </si>
  <si>
    <t>.</t>
  </si>
  <si>
    <t>Intern transp huur</t>
  </si>
  <si>
    <t>ST</t>
  </si>
  <si>
    <t>Stuks</t>
  </si>
  <si>
    <t>Doos</t>
  </si>
  <si>
    <t>Kopp. 2-dlg Ms gas wrt 2"   x bu R1.1/2"</t>
  </si>
  <si>
    <t>Actief</t>
  </si>
  <si>
    <t>Kilogram</t>
  </si>
  <si>
    <t>Meter</t>
  </si>
  <si>
    <t>Pak</t>
  </si>
  <si>
    <t>Rol</t>
  </si>
  <si>
    <t>Set</t>
  </si>
  <si>
    <t>Vel</t>
  </si>
  <si>
    <t>X</t>
  </si>
  <si>
    <t>Zak</t>
  </si>
  <si>
    <t>Lasbocht St 90° 3S  60,3x2,9mm afgesch</t>
  </si>
  <si>
    <t>Append. staal/giet.</t>
  </si>
  <si>
    <t>Lasbocht St 90° 3S  88,9x3,2mm afgesch</t>
  </si>
  <si>
    <t>Lasbocht St 90° 5S 114,3x3,6mm afgesch</t>
  </si>
  <si>
    <t>Leidingen PE</t>
  </si>
  <si>
    <t>Schuifafsluiter ST 219,1mm PN16 L-L</t>
  </si>
  <si>
    <t>Lasbocht St 90° 5D 168,3x4,0mm afgesch</t>
  </si>
  <si>
    <t>Straatbezem B=410mm met steel</t>
  </si>
  <si>
    <t>Generiek gereedschap</t>
  </si>
  <si>
    <t>Borstel koper 4-rij</t>
  </si>
  <si>
    <t>Borstel staal 4-rij</t>
  </si>
  <si>
    <t>Purschuimpistool</t>
  </si>
  <si>
    <t>MRO algemeen</t>
  </si>
  <si>
    <t>Pleistertroffel L=140mm rond #Melkmeisje</t>
  </si>
  <si>
    <t>Plamuurmes breedte=8cm</t>
  </si>
  <si>
    <t>Gereedschapsbak kunststof</t>
  </si>
  <si>
    <t>Houtboor 13mm</t>
  </si>
  <si>
    <t>Houtboor 16mm</t>
  </si>
  <si>
    <t>Houtboor 18mm</t>
  </si>
  <si>
    <t>Houtboor 28mm</t>
  </si>
  <si>
    <t>Houtboor 35mm</t>
  </si>
  <si>
    <t>Tapkrukje ratel voor 2,4-5,5mm</t>
  </si>
  <si>
    <t>Tapkrukje ratel voor M5- M12</t>
  </si>
  <si>
    <t>Slijpschijf v afbramen D=125mm</t>
  </si>
  <si>
    <t>Slijpschijf doorslijpen D=125mm d=2,5mm</t>
  </si>
  <si>
    <t>Slijpschijf doorslijpen D=230mm d=2,5mm</t>
  </si>
  <si>
    <t>Handzaag 22"</t>
  </si>
  <si>
    <t>Handzaag #Multi Eclipse 72-66</t>
  </si>
  <si>
    <t>Schrobzaag 12"</t>
  </si>
  <si>
    <t>Beugelzaag v metaal 150mm Junior</t>
  </si>
  <si>
    <t>Beugelzaag v metaal 300mm groot</t>
  </si>
  <si>
    <t>Koudbeitel L=200mm</t>
  </si>
  <si>
    <t>Koudbeitel L=300mm #Gedore 95-300</t>
  </si>
  <si>
    <t>Kabelmes m houten heft</t>
  </si>
  <si>
    <t>Zakmes #Herder</t>
  </si>
  <si>
    <t>Combinatietang 200mm</t>
  </si>
  <si>
    <t>Griptang 10"</t>
  </si>
  <si>
    <t>Knijptang (vlechtdraadtang)</t>
  </si>
  <si>
    <t>+Pijpensnijder 6 - 60 mm tbv Staal en RV</t>
  </si>
  <si>
    <t>Geblokkeerd</t>
  </si>
  <si>
    <t>Buigveer m binnenkabel v inst.buis  5/8"</t>
  </si>
  <si>
    <t>Buigveer m binnenkabel v inst.buis  3/4"</t>
  </si>
  <si>
    <t>Popnageltang</t>
  </si>
  <si>
    <t>Ratelsleutel v dopsleutels 1/2"</t>
  </si>
  <si>
    <t>Dopsleutel 1/4" - 6-kant 10mm</t>
  </si>
  <si>
    <t>Dopsleutel 1/4" - 6-kant 13mm</t>
  </si>
  <si>
    <t>Dopsleutel 1/2" - 6-kant 10mm</t>
  </si>
  <si>
    <t>Dopsleutel 1/2" - 6-kant 11mm</t>
  </si>
  <si>
    <t>Dopsleutel 1/2" - 6-kant 13mm</t>
  </si>
  <si>
    <t>Dopsleutel 1/2" - 6-kant 16mm</t>
  </si>
  <si>
    <t>Dopsleutel 1/2" - 6-kant 17mm</t>
  </si>
  <si>
    <t>Dopsleutel 1/2" - 6-kant 18mm</t>
  </si>
  <si>
    <t>Dopsleutel 1/2" - 6-kant 19mm</t>
  </si>
  <si>
    <t>Dopsleutel 1/2" - 6-kant 24mm</t>
  </si>
  <si>
    <t>Dopsleutel 1/2" - 6-kant 27mm</t>
  </si>
  <si>
    <t>Dopsleutel 1/2" - 6-kant 30mm</t>
  </si>
  <si>
    <t>Dopsleutel 1/2" - 6-kant 32mm</t>
  </si>
  <si>
    <t>Verlengstuk v ratel 1/2" v dopsleutel</t>
  </si>
  <si>
    <t>Sleutel verstelbaar  6" (Bahco)</t>
  </si>
  <si>
    <t>Sleutel verstelbaar  8" (Bahco)</t>
  </si>
  <si>
    <t>Sleutel verstelbaar 12" (Bahco)</t>
  </si>
  <si>
    <t>Blaas  60- 80mm nr.1 #Kleiss P3 MSD-500</t>
  </si>
  <si>
    <t>Blaas  80-120mm nr.2 #Kleiss P3 MSD-500</t>
  </si>
  <si>
    <t>Meetlint 50m kunststof</t>
  </si>
  <si>
    <t>Waterpas L=400mm metaal magnetisch</t>
  </si>
  <si>
    <t>Waterpas L=250mm m 2 libellen</t>
  </si>
  <si>
    <t>Schuifmaat bereik=150mm</t>
  </si>
  <si>
    <t>Rubberdop v moker 1,5 kg</t>
  </si>
  <si>
    <t>Stootijzer vierkant m beitel+knop L=1400</t>
  </si>
  <si>
    <t>Centerpons</t>
  </si>
  <si>
    <t>Priem</t>
  </si>
  <si>
    <t>Kraspen m hardmetalen punt</t>
  </si>
  <si>
    <t>ROL</t>
  </si>
  <si>
    <t>Knie mall 90° bi-bu 1.1/2" nr 92</t>
  </si>
  <si>
    <t>Sok verl mall bi-bi 2"   x1.1/2"  nr240</t>
  </si>
  <si>
    <t>MS garnituren</t>
  </si>
  <si>
    <t>KG</t>
  </si>
  <si>
    <t>Bevestigingsmiddelen</t>
  </si>
  <si>
    <t>Beschermkap PE v kunst.buis 160mm</t>
  </si>
  <si>
    <t>LS garnituren</t>
  </si>
  <si>
    <t>Mespatroon  10A DIN-000 gG</t>
  </si>
  <si>
    <t>MS beveiliging</t>
  </si>
  <si>
    <t>Kroonsteen 12 x 2,5 mm2 (per strip)</t>
  </si>
  <si>
    <t>Passchroef 20A S2</t>
  </si>
  <si>
    <t>Schroefpatroon 16A NDZ snel</t>
  </si>
  <si>
    <t>Schroefpatroon 25A NDZ snel</t>
  </si>
  <si>
    <t>Lijm Bison Tix Bus v 750ml</t>
  </si>
  <si>
    <t>BUS</t>
  </si>
  <si>
    <t>Lasverloop ST 168,3x 60,3mm</t>
  </si>
  <si>
    <t>Drukregelaar+B-kl hks bi-wrtm.MK 3/4"</t>
  </si>
  <si>
    <t>Komaansteker</t>
  </si>
  <si>
    <t>Duimstok kunststof 10-delig 1m wit</t>
  </si>
  <si>
    <t>Steel v bezem L=170</t>
  </si>
  <si>
    <t>E-gereedschap</t>
  </si>
  <si>
    <t>ZAK</t>
  </si>
  <si>
    <t>Ruitontdooier De-icer triggerflacon500ml</t>
  </si>
  <si>
    <t>FL</t>
  </si>
  <si>
    <t>Mespatroon 200A DIN-2 gG</t>
  </si>
  <si>
    <t>Mespatroon 250A DIN-2 gG</t>
  </si>
  <si>
    <t>Append. &amp; leid. rest</t>
  </si>
  <si>
    <t>Afdichtplug  57x 24- 26mm v mantelb.  63</t>
  </si>
  <si>
    <t>IJskrabber</t>
  </si>
  <si>
    <t>Sticker "OPEN VUUR VERBODEN" 200mm</t>
  </si>
  <si>
    <t>Drukwerk</t>
  </si>
  <si>
    <t>Drukregelaar bi-bi 1"    recht #JEA J48</t>
  </si>
  <si>
    <t>Voorlasflens St 273,0mm PN16</t>
  </si>
  <si>
    <t>Knie verl mall 90° bi-bi 2" x1.1/2"nr90</t>
  </si>
  <si>
    <t>Nippel dubb verl mall1.1/2"x1.1/4"nr245</t>
  </si>
  <si>
    <t>/L-profiel hoekstaaf 40x40x5mm (L=6m)</t>
  </si>
  <si>
    <t>Lengte</t>
  </si>
  <si>
    <t>Lasdop 12-24mm2 Ds=15st #Conex</t>
  </si>
  <si>
    <t>LS-install.drd.&amp;snr.</t>
  </si>
  <si>
    <t>Beugel 32mm gemenied</t>
  </si>
  <si>
    <t>MS voedingsstations</t>
  </si>
  <si>
    <t>Appendages PE</t>
  </si>
  <si>
    <t>Batterij blok 9V  #6LR61</t>
  </si>
  <si>
    <t>Batterij (camping)blok 6V  #4R25</t>
  </si>
  <si>
    <t>Handzaag-blad 18-tand 12" v kunstst p.st</t>
  </si>
  <si>
    <t>Uitloop</t>
  </si>
  <si>
    <t>Kabelmantelzaag VDE</t>
  </si>
  <si>
    <t>Beugelzaag v metaal 300mm VDE groot</t>
  </si>
  <si>
    <t>Draadstriptang 160mm VDE</t>
  </si>
  <si>
    <t>Zijkniptang VDE L=160mm</t>
  </si>
  <si>
    <t>Mes #Jokari</t>
  </si>
  <si>
    <t>Kabelmes papier 160mm VDE +besch.kap</t>
  </si>
  <si>
    <t>Steeksleutel VDE 17mm</t>
  </si>
  <si>
    <t>Inbussleutel stift haaks VDE 5mm</t>
  </si>
  <si>
    <t>Inbussleutel stift haaks VDE 6mm</t>
  </si>
  <si>
    <t>Passchroefsleutel VDE</t>
  </si>
  <si>
    <t>Sleutel verstelbaar VDE 12" (Bahco)</t>
  </si>
  <si>
    <t>Blazenpomp +slangen +sn.kopp#Kleiss 511</t>
  </si>
  <si>
    <t>Waterpas L=400mm teakhout</t>
  </si>
  <si>
    <t>Splitswig spreid nylon glad VDE</t>
  </si>
  <si>
    <t>Blokkeringsplaat groot Ms VDE         !K</t>
  </si>
  <si>
    <t>Kruipolie #IMAL (spuitbus=300ml)</t>
  </si>
  <si>
    <t>Siliconenspray #Motip (spuitbus=400ml)</t>
  </si>
  <si>
    <t>Schuurlinnen 314D 50mm x 25m K240</t>
  </si>
  <si>
    <t>Teflonspray (spuitbus=300ml)</t>
  </si>
  <si>
    <t>Zink Reparatiespray Motip</t>
  </si>
  <si>
    <t>Afdichtplug  57x 32mm v mantelb.  63</t>
  </si>
  <si>
    <t>Afdichtplug  68x 32- 34mm v mantelb.  75</t>
  </si>
  <si>
    <t>Afdichtplug  68x 34- 36mm v mantelb.  75</t>
  </si>
  <si>
    <t>Afdichtplug  68x 40- 42mm v mantelb.  75</t>
  </si>
  <si>
    <t>Afdichtplug 103x 63mm v mantelb 110</t>
  </si>
  <si>
    <t>Cement snel hardend 12,5kg #Cebar</t>
  </si>
  <si>
    <t>Paal 4KT  9,7x9,7x215cm kunststof m punt</t>
  </si>
  <si>
    <t>G metertoebehoren</t>
  </si>
  <si>
    <t>Zegelkap 54/59 MK2"-G10/16+MIC63xPE32 KZ</t>
  </si>
  <si>
    <t>Voorlasflens St 219,1mm PN16</t>
  </si>
  <si>
    <t>Nippel dubb mall bu-bu 1.1/4" nr 280</t>
  </si>
  <si>
    <t>Bocht PVC-SV 30°x315mm Kl.33</t>
  </si>
  <si>
    <t>Appendages PVC</t>
  </si>
  <si>
    <t>Zadel PE100 aft el-las  75x 32mm</t>
  </si>
  <si>
    <t>Afdichtplug 103x 48- 50mm v mantelb. 110</t>
  </si>
  <si>
    <t>Schuifafsluiter ST  88,9mm PN16 L-L</t>
  </si>
  <si>
    <t>Schuifafsluiter ST 114,3mm PN16 L-L</t>
  </si>
  <si>
    <t>Schuifafsluiter ST 168,3mm PN16 L-L</t>
  </si>
  <si>
    <t>Schuifafsluiter ST 273,0mm PN16 L-L</t>
  </si>
  <si>
    <t>Schuifafsluiter ST  60,3mm PN16 L-L</t>
  </si>
  <si>
    <t>Afsluitplug PVC-SV 1.1/2" v aftzad WAVIN</t>
  </si>
  <si>
    <t>Afsluitplug PVC-SV 1.1/2" v blsgtz POLS</t>
  </si>
  <si>
    <t>&gt;G-mtr B G25   40m3 2"    x400 2-py</t>
  </si>
  <si>
    <t>Amperemeter 0-6A v railmontage</t>
  </si>
  <si>
    <t>MS schakelinstallati</t>
  </si>
  <si>
    <t>G-bevestigingsmidd.</t>
  </si>
  <si>
    <t>DS</t>
  </si>
  <si>
    <t>Install.draad VDS  1,5mm2 zwart soepel</t>
  </si>
  <si>
    <t>Install.draad VDS  6mm2 groen/gl soepel</t>
  </si>
  <si>
    <t>LS kabels</t>
  </si>
  <si>
    <t>Draad 50mm2 massief vertind (rol=22,4m)</t>
  </si>
  <si>
    <t>Perskabelschoen  16mm2 Cu gat=M12 Telcon</t>
  </si>
  <si>
    <t>Perskabelschoen  70mm2 Cu   gat=11mm DIN</t>
  </si>
  <si>
    <t>Perskabelschoen  95mm2 Alsm gat=13mm DIN</t>
  </si>
  <si>
    <t>Perskabelschoen 150mm2 Alsm gat=13mm DIN</t>
  </si>
  <si>
    <t>Perskabelschoen 150mm2 Cu   gat=13mm DIN</t>
  </si>
  <si>
    <t>Perskabelschoen 185mm2 Cu   gat=M12 DIN</t>
  </si>
  <si>
    <t>Perskabelschoen 185mm2 Cu   gat=21mm DIN</t>
  </si>
  <si>
    <t>Ringklem 3x 35+1x25Cu / 4x6Cu-50Al</t>
  </si>
  <si>
    <t>Rolbandveer 24-37mm  RF 3</t>
  </si>
  <si>
    <t>Rolbandveer 40-70mm  RF 5</t>
  </si>
  <si>
    <t>/Aftakklem geisoleerd 16-70mm2 / 6-35mm2</t>
  </si>
  <si>
    <t>Lasdop  3-12,5mm2 isoliet Ds=50st #Conex</t>
  </si>
  <si>
    <t>Mespatroon 200A DIN-1 gG</t>
  </si>
  <si>
    <t>Mespatroon 224A of 225A DIN-1 gG</t>
  </si>
  <si>
    <t>Mespatroon 250A DIN-1 gG</t>
  </si>
  <si>
    <t>Mespatroon 355A DIN-2 gG</t>
  </si>
  <si>
    <t>Mespatroon 100A DIN-2 gG</t>
  </si>
  <si>
    <t>Mespatroon 315A DIN-2 gG</t>
  </si>
  <si>
    <t>Mespatroon  35A DIN-1 gG</t>
  </si>
  <si>
    <t>Mespatroon  50A DIN-1 gG</t>
  </si>
  <si>
    <t>Mespatroon  63A DIN-1 gG</t>
  </si>
  <si>
    <t>Mespatroon  80A DIN-1 gG</t>
  </si>
  <si>
    <t>Mespatroon 100A DIN-1 gG</t>
  </si>
  <si>
    <t>Mespatroon 125A DIN-1 gG</t>
  </si>
  <si>
    <t>Mespatroon 160A DIN-1 gG</t>
  </si>
  <si>
    <t>Mespatroon 400A DIN-3 gG</t>
  </si>
  <si>
    <t>Mespatroon 400A DIN-2 gG</t>
  </si>
  <si>
    <t>Mespatroon 500A DIN-3 gG</t>
  </si>
  <si>
    <t>Mespatroon 630A DIN-3 gG</t>
  </si>
  <si>
    <t>Mespatroon 100A DIN-000 gG</t>
  </si>
  <si>
    <t>Mespatroon  35A DIN-000 gG</t>
  </si>
  <si>
    <t>Schroefpatroon  6A NDZ snel</t>
  </si>
  <si>
    <t>Schroefpatroon 10A NDZ snel</t>
  </si>
  <si>
    <t>Schroefpatroonhouder D2 grondplaat 1-p</t>
  </si>
  <si>
    <t>Beschermkap PE rood v kunst.buis 110mm</t>
  </si>
  <si>
    <t>Stroomtrafo  400/5A       5VA 3     '30</t>
  </si>
  <si>
    <t>MS/LS transformator.</t>
  </si>
  <si>
    <t>Beugel 19mm verzinkt</t>
  </si>
  <si>
    <t>Beugel 26mm verzinkt</t>
  </si>
  <si>
    <t>Sok v installatiebuis 5/8" slagvast</t>
  </si>
  <si>
    <t>Sok v installatiebuis 3/4" slagvast</t>
  </si>
  <si>
    <t>Buispatroon 12kV 25A m slagst Fullrange</t>
  </si>
  <si>
    <t>Mespatroon 125A DIN-2 gG</t>
  </si>
  <si>
    <t>Schroefpatroon 16A D2  snel</t>
  </si>
  <si>
    <t>Schroefpatroon  6A D2 snel</t>
  </si>
  <si>
    <t>Schroefpatroon 10A D2  snel</t>
  </si>
  <si>
    <t>Schroefpatroon 35A D2 traag</t>
  </si>
  <si>
    <t>Schroefpatroon 25A D2 traag</t>
  </si>
  <si>
    <t>Schroefpatroon 35A D3 traag</t>
  </si>
  <si>
    <t>Schroefpatroon 50A D3 traag</t>
  </si>
  <si>
    <t>Schroefpatroon 63A D3 traag</t>
  </si>
  <si>
    <t>Verlengmes v oude mespatronen v Holec</t>
  </si>
  <si>
    <t>Schroefkop K2 max. 25A</t>
  </si>
  <si>
    <t>Schroefkop K3 max. 63A</t>
  </si>
  <si>
    <t>Passchroef  6A S2</t>
  </si>
  <si>
    <t>Passchroef 10A S2</t>
  </si>
  <si>
    <t>Passchroef 16A S2</t>
  </si>
  <si>
    <t>Passchroef 25A S2</t>
  </si>
  <si>
    <t>Passchroef 35A S3</t>
  </si>
  <si>
    <t>Passchroef 50A S3</t>
  </si>
  <si>
    <t>Passchroef 63A S3</t>
  </si>
  <si>
    <t>Reduceerhuls patroon D2 in schroefkop K3</t>
  </si>
  <si>
    <t>Doorverbindingsmes  400A DIN-2</t>
  </si>
  <si>
    <t>Doorverbindingsmes  250A DIN-1</t>
  </si>
  <si>
    <t>Doorverbindingsmes  630A DIN-3</t>
  </si>
  <si>
    <t>Knie mall 90° bi-bi   3/4" nr 90</t>
  </si>
  <si>
    <t>Knie mall 90° bi-bi 1.1/4" nr 90</t>
  </si>
  <si>
    <t>Knie mall 90° bi-bi 1.1/2" nr 90</t>
  </si>
  <si>
    <t>Knie mall 90° bi-bu   3/4" nr 92</t>
  </si>
  <si>
    <t>Sok verl mall bi-bi 1"    x  3/4"  nr240</t>
  </si>
  <si>
    <t>Sok verl mall bi-bi 1.1/4"x1"     nr240</t>
  </si>
  <si>
    <t>Sok verl mall bi-bi 1.1/2"x1.1/4" nr240</t>
  </si>
  <si>
    <t>Sok verl mall bi-bi 2"    x 1.1/4" nr240</t>
  </si>
  <si>
    <t>Ring verl mall bu-bi 1"    x  3/4" nr241</t>
  </si>
  <si>
    <t>Ring verl mall bu-bi 1.1/2"x1.1/4" nr241</t>
  </si>
  <si>
    <t>Ring verl mall bu-bi 2"    x1.1/4" nr241</t>
  </si>
  <si>
    <t>Ring verl mall bu-bi 2"    x1.1/2" nr241</t>
  </si>
  <si>
    <t>Soknippel verl mall 1.1/4"x1"     nr.246</t>
  </si>
  <si>
    <t>Soknippel verl mall 1.1/2"x1.1/4" nr.246</t>
  </si>
  <si>
    <t>Soknippel verl mall 2"    x1.1/2" nr.246</t>
  </si>
  <si>
    <t>Sok mall bi-bi   3/4"   nr 270</t>
  </si>
  <si>
    <t>Sok mall bi-bi 1.1/4"   nr 270</t>
  </si>
  <si>
    <t>Sok mall bi-bi 1.1/2"   nr 270</t>
  </si>
  <si>
    <t>Nippel dubb mall bu-bu 1.1/2" nr 280</t>
  </si>
  <si>
    <t>Stop mall bu   1/2" nr 290</t>
  </si>
  <si>
    <t>Stop mall bu   3/4" nr 290</t>
  </si>
  <si>
    <t>Stop mall bu 1"    nr 290</t>
  </si>
  <si>
    <t>Stop mall bu 1.1/4" nr 290</t>
  </si>
  <si>
    <t>Stop mall bu 1.1/2" nr 290</t>
  </si>
  <si>
    <t>Stop mall bu 2"     nr 290</t>
  </si>
  <si>
    <t>Kopp. 3-dlg mall bi-bi   3/4" nr 340</t>
  </si>
  <si>
    <t>Kopp. 3-dlg mall bi-bi 1"     nr 340</t>
  </si>
  <si>
    <t>Kopp. 3-dlg mall bi-bi 1.1/4" nr 340</t>
  </si>
  <si>
    <t>Kopp. 3-dlg mall bi-bi 1.1/2" nr 340</t>
  </si>
  <si>
    <t>Kopp. 3-dlg mall bi-bi 2"     nr 340</t>
  </si>
  <si>
    <t>Kopp. 3-dlg mall bi-bu 1"     nr 341</t>
  </si>
  <si>
    <t>Kopp. 3-dlg mall bi/bu 2"     nr 341</t>
  </si>
  <si>
    <t>Kopp. mall St 1.1/4"xPE40 TV+bus SDR17,6</t>
  </si>
  <si>
    <t>Kopp. mall St 1.1/2"xPE50 TV+bus SDR17,6</t>
  </si>
  <si>
    <t>Gasmeterkopp R Ms wrt GM3/4"xbu R3/4"#G4</t>
  </si>
  <si>
    <t>Afdichtplug  68x 48- 50mm v mantelb.  75</t>
  </si>
  <si>
    <t>Mof PVC-SV  63mm Kl.33</t>
  </si>
  <si>
    <t>Mof PVC-SV 110mm Kl.33</t>
  </si>
  <si>
    <t>Mof PVC-SV 160mm Kl.33</t>
  </si>
  <si>
    <t>Mof PVC-SV 200mm Kl.33</t>
  </si>
  <si>
    <t>Mof PVC-SV 250mm Kl.33</t>
  </si>
  <si>
    <t>Mof PVC-SV 315mm Kl.33</t>
  </si>
  <si>
    <t>Mof overschuif PVC-SV  63mm Kl.33</t>
  </si>
  <si>
    <t>Mof overschuif PVC-SV  75mm Kl.33</t>
  </si>
  <si>
    <t>Mof overschuif PVC-SV  90mm Kl.33</t>
  </si>
  <si>
    <t>Mof overschuif PVC-SV 110mm Kl.33</t>
  </si>
  <si>
    <t>Mof overschuif PVC-SV 160mm Kl.33</t>
  </si>
  <si>
    <t>Mof overschuif PVC-SV 200mm Kl.33</t>
  </si>
  <si>
    <t>Mof overschuif PVC-SV 250mm Kl.33</t>
  </si>
  <si>
    <t>Mof overschuif PVC-SV 315mm Kl.33</t>
  </si>
  <si>
    <t>Spie verloop PVC-SV  75x 50mm</t>
  </si>
  <si>
    <t>Spie verloop PVC-SV 200x160mm</t>
  </si>
  <si>
    <t>Spie verloop PVC-SV 250x200mm</t>
  </si>
  <si>
    <t>Bocht PVC-SV 11°x 63mm Kl.33</t>
  </si>
  <si>
    <t>Bocht PVC-SV 22°x 63mm Kl.33</t>
  </si>
  <si>
    <t>Bocht PVC-SV 45°x 63mm Kl.33</t>
  </si>
  <si>
    <t>Bocht PVC-SV 90°x 63mm Kl.33</t>
  </si>
  <si>
    <t>Bocht PVC-SV 11°x110mm Kl.33</t>
  </si>
  <si>
    <t>Bocht PVC-SV 22°x110mm Kl.33</t>
  </si>
  <si>
    <t>Bocht PVC-SV 30°x110mm Kl.33</t>
  </si>
  <si>
    <t>Bocht PVC-SV 45°x110mm Kl.33</t>
  </si>
  <si>
    <t>Bocht PVC-SV 90°x110mm Kl.33</t>
  </si>
  <si>
    <t>Bocht PVC-SV 11°x160mm Kl.33</t>
  </si>
  <si>
    <t>Bocht PVC-SV 22°x160mm Kl.33</t>
  </si>
  <si>
    <t>Bocht PVC-SV 30°x160mm Kl.33</t>
  </si>
  <si>
    <t>Bocht PVC-SV 45°x160mm Kl.33</t>
  </si>
  <si>
    <t>Bocht PVC-SV 90°x160mm Kl.33</t>
  </si>
  <si>
    <t>Bocht PVC-SV 11°x200mm Kl.33</t>
  </si>
  <si>
    <t>Bocht PVC-SV 22°x200mm Kl.33</t>
  </si>
  <si>
    <t>Bocht PVC-SV 30°x200mm Kl.33</t>
  </si>
  <si>
    <t>Bocht PVC-SV 45°x200mm Kl.33</t>
  </si>
  <si>
    <t>Bocht PVC-SV 90°x200mm Kl.33</t>
  </si>
  <si>
    <t>Bocht PVC-SV 11°x250mm Kl.33</t>
  </si>
  <si>
    <t>Bocht PVC-SV 22°x250mm Kl.33</t>
  </si>
  <si>
    <t>Bocht PVC-SV 30°x250mm Kl.33</t>
  </si>
  <si>
    <t>Bocht PVC-SV 45°x250mm Kl.33</t>
  </si>
  <si>
    <t>Bocht PVC-SV 90°x250mm Kl.33</t>
  </si>
  <si>
    <t>Bocht PVC-SV 22°x315mm Kl.33</t>
  </si>
  <si>
    <t>Bocht PVC-SV 45°x315mm Kl.33</t>
  </si>
  <si>
    <t>Bocht PVC-SV 90°x315mm Kl.33</t>
  </si>
  <si>
    <t>T-stuk MMB PVC-SV 200x110x200mm Kl.33</t>
  </si>
  <si>
    <t>T-stuk MMB PVC-SV 200x200x200mm Kl.33</t>
  </si>
  <si>
    <t>T-stuk MMB PVC-SV  63x 63x 63mm Kl.33</t>
  </si>
  <si>
    <t>T-stuk MMB PVC-SV  75x 75x 75mm Kl.33</t>
  </si>
  <si>
    <t>T-stuk MMB PVC-SV 110x 63x110mm Kl.33</t>
  </si>
  <si>
    <t>T-stuk MMB PVC-SV 110x110x110mm Kl.33</t>
  </si>
  <si>
    <t>T-stuk MMB PVC-SV 160x110x160mm Kl.33</t>
  </si>
  <si>
    <t>T-stuk MMB PVC-SV 160x160x160mm Kl.33</t>
  </si>
  <si>
    <t>Eindkap PVC-SV  63mm Kl.33</t>
  </si>
  <si>
    <t>Eindkap PVC-SV  75mm Kl.33</t>
  </si>
  <si>
    <t>Eindkap PVC-SV 110mm Kl.33</t>
  </si>
  <si>
    <t>Eindkap PVC-SV 160mm Kl.33</t>
  </si>
  <si>
    <t>Eindkap PVC-SV 200mm Kl.33</t>
  </si>
  <si>
    <t>Eindkap PVC-SV 250mm Kl.33</t>
  </si>
  <si>
    <t>Eindkap PVC-SV 315mm Kl.33</t>
  </si>
  <si>
    <t>Spie verloop PVC-SV  75x 63mm</t>
  </si>
  <si>
    <t>Opzetstuk PVC-SV BG 1.1/2" Polsafe</t>
  </si>
  <si>
    <t>Opzetstuk PVC-SV BG 2 "    Polsafe</t>
  </si>
  <si>
    <t>Opzetstuk PVC-SV KR 40mmx1.1/2" SDR17,6</t>
  </si>
  <si>
    <t>Zadel PVC-SV aft-blsgt  63mmx1.1/2</t>
  </si>
  <si>
    <t>Zadel PVC-SV aft-blsgt  75mmx1.1/2</t>
  </si>
  <si>
    <t>Zadel PVC-SV aft-blsgt  90mmx1.1/2</t>
  </si>
  <si>
    <t>Zadel PVC-SV aft-blsgt 110mmx1.1/2</t>
  </si>
  <si>
    <t>Zadel PVC-SV aft 160mmx1.1/2"</t>
  </si>
  <si>
    <t>Zadel PVC-SV aft 200mmx1.1/2"</t>
  </si>
  <si>
    <t>Zadel PVC-SV aft 250mmx1.1/2"</t>
  </si>
  <si>
    <t>Zadel PVC-SV aft 315mmx1.1/2"</t>
  </si>
  <si>
    <t>Zadel PVC-SV aft-blsgt 160mmx2"</t>
  </si>
  <si>
    <t>Zadel PVC-SV aft-blsgt 200mmx2"</t>
  </si>
  <si>
    <t>Zadel PVC-SV aft 250mmx2"</t>
  </si>
  <si>
    <t>Zadel PVC-SV aft 315mmx2"</t>
  </si>
  <si>
    <t>Afsluitplug PVC-SV 2"     v blsgtz POLS</t>
  </si>
  <si>
    <t>Mof verloop PVC 107 x 110mm</t>
  </si>
  <si>
    <t>Mof verloop PE100 EL-las  75x50mm SDR11</t>
  </si>
  <si>
    <t>Mof PE100 EL-las  50mm SDR11</t>
  </si>
  <si>
    <t>Mof PE100 EL-las  63mm SDR11</t>
  </si>
  <si>
    <t>Mof PE100 EL-las  75mm SDR11</t>
  </si>
  <si>
    <t>Mof PE100 EL-las 110mm SDR11</t>
  </si>
  <si>
    <t>Mof PE100 EL-las 160mm SDR11</t>
  </si>
  <si>
    <t>Lasbocht St 90° 3S  33,7x2,6mm afgesch</t>
  </si>
  <si>
    <t>Lasbocht St 90° 3S  42,4x2,6mm afgesch</t>
  </si>
  <si>
    <t>Lasbocht St 90° 3S  48,3x2,6mm afgesch</t>
  </si>
  <si>
    <t>Lasbocht St 90° 3S 114,3x3,3mm afgesch</t>
  </si>
  <si>
    <t>Lasbocht St 90° 3D 168,3x4,0mm afgesch</t>
  </si>
  <si>
    <t>Lasbocht St 90° 3D 219,1x4,5mm afgesch</t>
  </si>
  <si>
    <t>Las-T-stuk St  33,7x 33,7mm</t>
  </si>
  <si>
    <t>Las-T-stuk St  42,4x 42,4mm</t>
  </si>
  <si>
    <t>Las-T-stuk St  48,3x 48,3mm</t>
  </si>
  <si>
    <t>Las-T-stuk St  60,3x 60,3mm</t>
  </si>
  <si>
    <t>Las-T-stuk verl St  60,3x 33,7mm</t>
  </si>
  <si>
    <t>Las-T-stuk verl St  88,9x 60,3mm</t>
  </si>
  <si>
    <t>Las-T-stuk St  88,9x 88,9mm</t>
  </si>
  <si>
    <t>Las-T-stuk verl St 114,3x 60,3mm</t>
  </si>
  <si>
    <t>Las-T-stuk St 114,3x114,3mm</t>
  </si>
  <si>
    <t>Las-T-stuk verl St 114,3x 88,9mm</t>
  </si>
  <si>
    <t>Las-T-stuk verl St 168,3x 88,9mm</t>
  </si>
  <si>
    <t>Las-T-stuk St 168,3x168,3mm</t>
  </si>
  <si>
    <t>Las-T-stuk verl St 168,3x114,3mm</t>
  </si>
  <si>
    <t>Las-T-stuk St 219,1x219,1mm</t>
  </si>
  <si>
    <t>Las-T-stuk verl St 219,1x114,3mm</t>
  </si>
  <si>
    <t>Las-T-stuk verl St 219,1x168,3mm</t>
  </si>
  <si>
    <t>Las-T-stuk verl St 273,0x168,3mm</t>
  </si>
  <si>
    <t>Las-T-stuk St 273,0x273,0mm</t>
  </si>
  <si>
    <t>Las-T-stuk verl St 323,9x168,3mm</t>
  </si>
  <si>
    <t>Las-T-stuk St 323,9x323,9mm</t>
  </si>
  <si>
    <t>Las-T-stuk verl St 406,4x168,3mm</t>
  </si>
  <si>
    <t>Lasverloop St  33,7x 26,9mm</t>
  </si>
  <si>
    <t>Lasverloop St  42,4x 33,7mm</t>
  </si>
  <si>
    <t>Lasverloop St  48,3x 42,4mm</t>
  </si>
  <si>
    <t>Lasverloop St  48,3x 33,7mm</t>
  </si>
  <si>
    <t>Lasverloop St  60,3x 33,7mm</t>
  </si>
  <si>
    <t>Lasverloop St  60,3x 48,3mm</t>
  </si>
  <si>
    <t>Lasverloop St  60,3x 42,4mm</t>
  </si>
  <si>
    <t>Lasverloop St  88,9x 60,3mm</t>
  </si>
  <si>
    <t>Lasverloop St 114,3x108,0mm</t>
  </si>
  <si>
    <t>Lasverloop St 114,3x 88,9mm</t>
  </si>
  <si>
    <t>Lasverloop St 114,3x 60,3mm</t>
  </si>
  <si>
    <t>Lasverloop St 168,3x 88,9mm</t>
  </si>
  <si>
    <t>Lasverloop St 219,1x168,3mm</t>
  </si>
  <si>
    <t>Lasverloop St 168,3x114,3mm</t>
  </si>
  <si>
    <t>Lasverloop St 273,0x219,1mm</t>
  </si>
  <si>
    <t>Lasverloop St 273,0x168,3mm</t>
  </si>
  <si>
    <t>Lasverloop St 323,9x168,3mm</t>
  </si>
  <si>
    <t>Lasverloop St 323,9x219,1mm</t>
  </si>
  <si>
    <t>Lasverloop St 323,9x273,0mm</t>
  </si>
  <si>
    <t>Lasbodem bol St  42,4mm DIN28011</t>
  </si>
  <si>
    <t>Lasbodem bol St  48,3mm DIN28011</t>
  </si>
  <si>
    <t>Lasbodem bol St  60,3mm DIN28011</t>
  </si>
  <si>
    <t>Lasbodem bol St  88,9mm DIN28011</t>
  </si>
  <si>
    <t>Lasbodem bol St 114,3mm</t>
  </si>
  <si>
    <t>Lasbodem bol St 168,3mm</t>
  </si>
  <si>
    <t>Lasbodem bol St 219,1mm</t>
  </si>
  <si>
    <t>Lasbodem bol St 273,0mm</t>
  </si>
  <si>
    <t>Lasbodem bol St 323,9mm</t>
  </si>
  <si>
    <t>Lassok St   1/2" DIN2986</t>
  </si>
  <si>
    <t>Lassok St   3/4" DIN2986</t>
  </si>
  <si>
    <t>Lassok St 1"     DIN2986</t>
  </si>
  <si>
    <t>Lassok St 1.1/4" DIN2986</t>
  </si>
  <si>
    <t>Lassok St 1.1/2" DIN2986</t>
  </si>
  <si>
    <t>Lassok St 2"     DIN2986</t>
  </si>
  <si>
    <t>Isolatiestuk las/las  33,7 - 1" L=250</t>
  </si>
  <si>
    <t>Isolatiestuk las/las  60,3 - 2" L=350</t>
  </si>
  <si>
    <t>Isolatiestuk las/las  88,9 - 3" L=288</t>
  </si>
  <si>
    <t>Isolatiestuk las/las 114,3 - 4" L=400</t>
  </si>
  <si>
    <t>Isolatiestuk las/las 168,3 - 6" L=500</t>
  </si>
  <si>
    <t>Isolatiestuk las/las 219,1 - 8" L=500</t>
  </si>
  <si>
    <t>Isolatiestuk las/las 273,0 - 10" L=700</t>
  </si>
  <si>
    <t>Weldolet St 114,3x 60,3mm   4x2"</t>
  </si>
  <si>
    <t>Weldolet St 168,3x 60,3mm   6x2"</t>
  </si>
  <si>
    <t>Weldolet St 219,1/273,0x 60,3mm  8/10x2"</t>
  </si>
  <si>
    <t>Voorlasflens St 219,1mm PN10</t>
  </si>
  <si>
    <t>Voorlasflens St 273,0mm PN10</t>
  </si>
  <si>
    <t>Voorlasflens St 323,9mm PN10</t>
  </si>
  <si>
    <t>Voorlasflens St  60,3mm PN16</t>
  </si>
  <si>
    <t>Voorlasflens St  88,9mm PN16</t>
  </si>
  <si>
    <t>Voorlasflens St 114,3mm PN16</t>
  </si>
  <si>
    <t>Voorlasflens St 168,3mm PN16</t>
  </si>
  <si>
    <t>Blindflens St  DN50 PN16 DIN2527-B</t>
  </si>
  <si>
    <t>Blindflens St  DN80 PN16 DIN2527-B</t>
  </si>
  <si>
    <t>Blindflens St DN100 PN16 DIN2527-B</t>
  </si>
  <si>
    <t>Blindflens St DN150 PN16 DIN2527-B</t>
  </si>
  <si>
    <t>&gt;Gasm.flex DN40 Bi/Bu 1.1/2" L470</t>
  </si>
  <si>
    <t>&gt;Gasm.flex DN50 Bi/Bu 2" L520 ST</t>
  </si>
  <si>
    <t>Schaaldeel DN100 L=1m (1 deel) rood</t>
  </si>
  <si>
    <t>Spindel v afsluiter  DN50 v KK14 #AVK</t>
  </si>
  <si>
    <t>Spindel v afsluiter  DN65/80 v KK17 #AVK</t>
  </si>
  <si>
    <t>Spindel v afsluiter DN100 v KK19 #AVK</t>
  </si>
  <si>
    <t>Spindel v afsluiter DN125/150 v KK19#AVK</t>
  </si>
  <si>
    <t>Spindel v afsluiter DN200 v KK24 #AVK</t>
  </si>
  <si>
    <t>Spindel v afsluiter DN250 v KK27 #AVK</t>
  </si>
  <si>
    <t>Spindel v afsluiter DN300 v KK27 #AVK</t>
  </si>
  <si>
    <t>Kogelkraan ms bi/bi Rp ¾" PN16</t>
  </si>
  <si>
    <t>Kogelkraan ms bi/bi Rp1"  PN16</t>
  </si>
  <si>
    <t>Kogelkraan ms bi/bi Rp1¼" PN16</t>
  </si>
  <si>
    <t>Kogelkraan ms bi/bi Rp1½" PN16</t>
  </si>
  <si>
    <t>Kogelkraan ms bi/bi Rp2" PN16</t>
  </si>
  <si>
    <t>Kogelkraan ms bi/bu Rp1" x G1¼"</t>
  </si>
  <si>
    <t>Vlinderafsluiter GGG  DN50 PN16 FL-FL</t>
  </si>
  <si>
    <t>Vlinderafsluiter GGG  DN80 PN16 FL-FL</t>
  </si>
  <si>
    <t>Vlinderafsluiter GGG DN100 PN16 FL-FL</t>
  </si>
  <si>
    <t>Spie verloop PVC-SV 110x 90mm</t>
  </si>
  <si>
    <t>Beproevingskap v opzetst KR SDR17,6 #POL</t>
  </si>
  <si>
    <t>Filterelement gas  94x 49x167mm #GS-5000</t>
  </si>
  <si>
    <t>Filterelement gas 123x 69x212mm #GS-5002</t>
  </si>
  <si>
    <t>Filterelement gas 168x 86x260mm #GS-5006</t>
  </si>
  <si>
    <t>Drukregelaar+B-kl 3/4"+FL gasvoer.bgl</t>
  </si>
  <si>
    <t>Drukregelaar bi-bi 1.1/4" haaks #Sperryn</t>
  </si>
  <si>
    <t>Drukregelaar bi-bi 1.1/2" haaks #JEA J48</t>
  </si>
  <si>
    <t>&gt;Drukregelaar bi 1.1/2" recht #DONKIN226</t>
  </si>
  <si>
    <t>Drukregelaar bi-bi 2"     recht #JEA J48</t>
  </si>
  <si>
    <t>Manometerkraan bi-bi BSP1/2"xBSP1/2"</t>
  </si>
  <si>
    <t>Flenspakking  DN25 PN10-40 #KLINGER SIL</t>
  </si>
  <si>
    <t>Flenspakking  DN32 PN10-40 #KLINGER SIL</t>
  </si>
  <si>
    <t>Flenspakking  DN40 PN10-40 #KLINGER SIL</t>
  </si>
  <si>
    <t>Flenspakking  DN50 PN10-40 #KLINGER SIL</t>
  </si>
  <si>
    <t>Flenspakking  DN80 PN10-40 #KLINGER SIL</t>
  </si>
  <si>
    <t>Flenspakking DN100 PN10-16 #KLINGER SIL</t>
  </si>
  <si>
    <t>Flenspakking DN150 PN10-16 #KLINGER SIL</t>
  </si>
  <si>
    <t>Flenspakking DN200 PN10-16 #KLINGER SIL</t>
  </si>
  <si>
    <t>Flenspakking DN250 PN10    #KLINGER SIL</t>
  </si>
  <si>
    <t>Stopbuspakking Dspindel=18mm #Permatight</t>
  </si>
  <si>
    <t>Stopbuspakking Dspindel=22mm #Permatight</t>
  </si>
  <si>
    <t>Stopbuspakking Dspindel=30mm #Permatight</t>
  </si>
  <si>
    <t>Kit v opvullen 500 gr. #DENSOLEEN</t>
  </si>
  <si>
    <t>Isolatieband  30mm #DENSOLEEN S10</t>
  </si>
  <si>
    <t>Isolatieband  50mm #Densoleen S10</t>
  </si>
  <si>
    <t>Isolatieband 19mm geel/groen</t>
  </si>
  <si>
    <t>Isolatieband 19mm geel</t>
  </si>
  <si>
    <t>Isolatieband 19mm rood</t>
  </si>
  <si>
    <t>Isolatieband 19mm blauw</t>
  </si>
  <si>
    <t>Isolatieband 19mm zwart</t>
  </si>
  <si>
    <t>Hangslot cil v vergrendelkap #Abus 65/40</t>
  </si>
  <si>
    <t>Sloten</t>
  </si>
  <si>
    <t>Lasbocht St 90° 5S  33,7x2,6mm afgesch</t>
  </si>
  <si>
    <t>Lasbocht St 90° 5D 219,1x4,5mm afgesch</t>
  </si>
  <si>
    <t>Zaalbezem met steel</t>
  </si>
  <si>
    <t>Kabelschop m opstapje &amp; steel</t>
  </si>
  <si>
    <t>Steekschop half smal m steel</t>
  </si>
  <si>
    <t>Steekbats (schop) 000 m steel 100cm</t>
  </si>
  <si>
    <t>Hark 14-tanden m steel (v asfalt)</t>
  </si>
  <si>
    <t>Bokkepootkwast 35mm</t>
  </si>
  <si>
    <t>Radiatorkwast 50mm gebogen</t>
  </si>
  <si>
    <t>Patentkwast (wegwerp) nr. 6</t>
  </si>
  <si>
    <t>Patentkwast (wegwerp) nr. 8</t>
  </si>
  <si>
    <t>Patentkwast (wegwerp) nr.12</t>
  </si>
  <si>
    <t>Borstel RVS   4-rij</t>
  </si>
  <si>
    <t>Kitpistool #Stopaq</t>
  </si>
  <si>
    <t>PURschuim v. pistool (patroon=700ml)</t>
  </si>
  <si>
    <t>Reiniger v PURschuim (v pistool) 500ml</t>
  </si>
  <si>
    <t>Flesje voor lekzoekspray (fl=0,5ltr)</t>
  </si>
  <si>
    <t>Bankschroef 120mm</t>
  </si>
  <si>
    <t>Pincet instrumentmaker 100mm gebogen pnt</t>
  </si>
  <si>
    <t>Insteekthermometer 200 graden Celcius</t>
  </si>
  <si>
    <t>Kabelkruis hout</t>
  </si>
  <si>
    <t>Jerrycan 10 liter met kraan</t>
  </si>
  <si>
    <t>Koffer kunststof v wikkelmof 295x540x300</t>
  </si>
  <si>
    <t>Kabellastent L2,50xB2,00xH1,90meter</t>
  </si>
  <si>
    <t>Paraplu tbv montagewerk 220cm</t>
  </si>
  <si>
    <t>Ragebol met stok</t>
  </si>
  <si>
    <t>Handstoffer 29cm kokos bruin ongelakt</t>
  </si>
  <si>
    <t>Stofblik kunststof</t>
  </si>
  <si>
    <t>Papierrol mini #Tork</t>
  </si>
  <si>
    <t>Papierrolhouder mini-box #Tork300080</t>
  </si>
  <si>
    <t>Zeepautomaat wandmodel #Stoko mat</t>
  </si>
  <si>
    <t>Handzeep 2ltr RH  #Stoko Solopol Classic</t>
  </si>
  <si>
    <t>Emmer inhoud=12 liter</t>
  </si>
  <si>
    <t>Afdekzeil 4x6m met ogen</t>
  </si>
  <si>
    <t>Afvalzak HDPE zwart 90x125cm dkt=25mu</t>
  </si>
  <si>
    <t>Zak blauw 80*110cm (rol=20zak) HDPE</t>
  </si>
  <si>
    <t>Betonboor  5,0x160mm #SDS+</t>
  </si>
  <si>
    <t>Betonboor 12,0x160mm #SDS+</t>
  </si>
  <si>
    <t>Betonboor 14,0x160mm #SDS+</t>
  </si>
  <si>
    <t>Betonboor 16,0x210mm #SDS+</t>
  </si>
  <si>
    <t>Betonboor 18,0x210mm #SDS+</t>
  </si>
  <si>
    <t>Betonboor 25,0x250mm #SDS+</t>
  </si>
  <si>
    <t>Betonboor 35,0x520mm #SDS-MAX</t>
  </si>
  <si>
    <t>Betonboor 55,0x390/550mm #SDS-MAX</t>
  </si>
  <si>
    <t>Betonboor 65,0x390/550mm #SDS-MAX</t>
  </si>
  <si>
    <t>Houtboor 30mm</t>
  </si>
  <si>
    <t>Tap M 3 hand/machine</t>
  </si>
  <si>
    <t>Tap M 4 hand/machine</t>
  </si>
  <si>
    <t>Tap M 5 hand/machine</t>
  </si>
  <si>
    <t>Tap M 6 hand/machine</t>
  </si>
  <si>
    <t>Tap M 8 hand/machine</t>
  </si>
  <si>
    <t>Tap M10 hand/machine</t>
  </si>
  <si>
    <t>Tap M12 hand/machine</t>
  </si>
  <si>
    <t>Tap M16 hand/machine</t>
  </si>
  <si>
    <t>Tap M20 hand/machine</t>
  </si>
  <si>
    <t>Wringijzer nr.1 M1 - M10</t>
  </si>
  <si>
    <t>Wringijzer nr.2 M3,5-M12</t>
  </si>
  <si>
    <t>Slijpschijf v afbramen D=230mm</t>
  </si>
  <si>
    <t>Hoefrasp klein</t>
  </si>
  <si>
    <t>Schraapstaal driekant hol</t>
  </si>
  <si>
    <t>Vijl plat zoet 10"</t>
  </si>
  <si>
    <t>Vijl plat basterd 10"</t>
  </si>
  <si>
    <t>Vijl halfrond basterd 10"</t>
  </si>
  <si>
    <t>Vijl rond basterd 10"</t>
  </si>
  <si>
    <t>Vijl rond basterd 12"</t>
  </si>
  <si>
    <t>Snoeizaag 6-tands</t>
  </si>
  <si>
    <t>Zaagblad 24-tands 12" v metaal (per stuk</t>
  </si>
  <si>
    <t>Koudbeitel L=400mm</t>
  </si>
  <si>
    <t>Steekbeitel hout B=10mm</t>
  </si>
  <si>
    <t>Steekbeitel hout B=16mm</t>
  </si>
  <si>
    <t>Steekbeitel hout B=22mm</t>
  </si>
  <si>
    <t>Reservemes recht vStanley-mes ds=bliste</t>
  </si>
  <si>
    <t>Sleutel v indraaien draadeinden #Flamco</t>
  </si>
  <si>
    <t>Striptang Weidmuller Stripax 0,08-6,0 mm</t>
  </si>
  <si>
    <t>Borgveertang binnen recht</t>
  </si>
  <si>
    <t>Borgveertang buiten recht 19-60mm L=175</t>
  </si>
  <si>
    <t>Buigtang met slede voor buis RVS/Cu 10mm</t>
  </si>
  <si>
    <t>Buigtang met slede voor buis Cu 15mm</t>
  </si>
  <si>
    <t>Buigtang met slede voor buis Cu 22mm</t>
  </si>
  <si>
    <t>Hoekpijptang  1"     (Zweedse tang)</t>
  </si>
  <si>
    <t>Hoekpijptang  1.1/2" (Zweedse tang)</t>
  </si>
  <si>
    <t>Hoekpijptang  2"     (Zweedse tang)</t>
  </si>
  <si>
    <t>Hoekpijptang  3"     (Zweedse tang)</t>
  </si>
  <si>
    <t>Kettingtang  50-150mm voor gy pijp</t>
  </si>
  <si>
    <t>Rolkettingtang voor Lovink moffen</t>
  </si>
  <si>
    <t>Platbektang L=160mm</t>
  </si>
  <si>
    <t>Telefoontang recht 200mm</t>
  </si>
  <si>
    <t>Telefoontang gebogen 45graden 200mm</t>
  </si>
  <si>
    <t>Waterpomptang L=300mm drukknop</t>
  </si>
  <si>
    <t>Waterpomptang L=400mm drukknop</t>
  </si>
  <si>
    <t>Zijkniptang L=200mm</t>
  </si>
  <si>
    <t>Reservemes v pijpensnijder 6 - 60 mm</t>
  </si>
  <si>
    <t>Pijpensnijder 25 -79 mm tbv Staal en RVS</t>
  </si>
  <si>
    <t>Reservemes v pijpensnijder 25 - 79 mm</t>
  </si>
  <si>
    <t>Reservemes v pijpensnijder 6 - 35 mm</t>
  </si>
  <si>
    <t>Snijmoer M 8</t>
  </si>
  <si>
    <t>Snijmoer M10</t>
  </si>
  <si>
    <t>Betonschaar klein 600mm</t>
  </si>
  <si>
    <t>Betonschaar groot 900mm</t>
  </si>
  <si>
    <t>Combischaar (allesknipper) 190mm</t>
  </si>
  <si>
    <t>Lijmtang L=200mm</t>
  </si>
  <si>
    <t>Spantang v bundelbanden (Colson)</t>
  </si>
  <si>
    <t>Pijpsleutelset 6-32mm</t>
  </si>
  <si>
    <t>Dopsleutel 1/2" - 6-kant 21mm</t>
  </si>
  <si>
    <t>Dopsleutel 1/2" - 6-kant 22mm</t>
  </si>
  <si>
    <t>Dopsleutel 3/4" - 6-kant 41mm</t>
  </si>
  <si>
    <t>Verloopstuk v dopsleutels 1/2"-3/4"</t>
  </si>
  <si>
    <t>Inbussleutelset recht 2,5-10 met. houder</t>
  </si>
  <si>
    <t>Inbussleutel stift haaks 14mm</t>
  </si>
  <si>
    <t>Inbussleutelset haaks 5/64"-3/8"</t>
  </si>
  <si>
    <t>Inbussleutel stift T-model 3x100/150mm</t>
  </si>
  <si>
    <t>Inbussleutel stift T-model 4x150/180mm</t>
  </si>
  <si>
    <t>Sleutel verstelbaar 18" (Bahco)</t>
  </si>
  <si>
    <t>Dopsleutel 8x9mm m knie-gewricht</t>
  </si>
  <si>
    <t>Sleutel afsluiter water</t>
  </si>
  <si>
    <t>Sleutel dienstkraan water</t>
  </si>
  <si>
    <t>Sleutel afsluiter gas</t>
  </si>
  <si>
    <t>Kruissleutel v lichtmasten + sectiekast</t>
  </si>
  <si>
    <t>Kruissleutel v lichtmasten</t>
  </si>
  <si>
    <t>Blaas 120-170mm nr.3 #Kleiss P3 MSD-500</t>
  </si>
  <si>
    <t>Blaas 140-215mm nr.4 #Kleiss P3 MSD-500</t>
  </si>
  <si>
    <t>Blaas 190-270mm nr.5 #Kleiss P3 MSD-500</t>
  </si>
  <si>
    <t>Blaas 240-315mm nr.6 #Kleiss P3 MSD-500</t>
  </si>
  <si>
    <t>Blaas 400mm     nr.7 #Kleiss P3 MSD-500</t>
  </si>
  <si>
    <t>Afpersstop  1/2"</t>
  </si>
  <si>
    <t>Afpersstop  3/4"</t>
  </si>
  <si>
    <t>Afpersstop 1"</t>
  </si>
  <si>
    <t>Afpersstop 1.1/4"</t>
  </si>
  <si>
    <t>Afpersstop 1.1/2"</t>
  </si>
  <si>
    <t>Afpersstop 2"</t>
  </si>
  <si>
    <t>Afsluitstop  3" m enkele ring</t>
  </si>
  <si>
    <t>Afsluitstop  3.1/2" m enkele ring</t>
  </si>
  <si>
    <t>Afsluitstop 10" m dubbele ring</t>
  </si>
  <si>
    <t>Drukmeter digitaal v gas 0-1000mbar   !C</t>
  </si>
  <si>
    <t>Drukmeter digitaal v gas 0-  10bar   !C</t>
  </si>
  <si>
    <t>Loopwiel 10km</t>
  </si>
  <si>
    <t>Winkelhaak metaal 250mm</t>
  </si>
  <si>
    <t>Aanboortoestel universeel #Ipco</t>
  </si>
  <si>
    <t>Steekflens RVS  50x107x3</t>
  </si>
  <si>
    <t>Steekflens RVS 100x162x3</t>
  </si>
  <si>
    <t>Steekflens RVS 150x218x4</t>
  </si>
  <si>
    <t>Steekflens RVS 200x273x5</t>
  </si>
  <si>
    <t>Steekflens RVS 250x328x6</t>
  </si>
  <si>
    <t>Voorhamer 5kg, steel 90 cm</t>
  </si>
  <si>
    <t>Bankhamer 300gram m steel</t>
  </si>
  <si>
    <t>Hamer nylon 200gram terugslagvrij</t>
  </si>
  <si>
    <t>Hamer moker 1,5kg m steel</t>
  </si>
  <si>
    <t>Bijl met steel L=700mm</t>
  </si>
  <si>
    <t>Pendrijverset 3-8mm</t>
  </si>
  <si>
    <t>Moerensplijter M6 t/m M18</t>
  </si>
  <si>
    <t>Schroevendraaierset horlogemaker</t>
  </si>
  <si>
    <t>Schroevendraaier zaagsn. 3x80/165mm</t>
  </si>
  <si>
    <t>Schroevendraaier zaagsn.  4x100/185</t>
  </si>
  <si>
    <t>Schroevendraaier zaagsn.  4 x ±150</t>
  </si>
  <si>
    <t>Schroevendraaier zaagsn.  6,5 x ±125</t>
  </si>
  <si>
    <t>Schroevendraaier zaagsn 6,5x25x81</t>
  </si>
  <si>
    <t>Schroevendraaier zaagsn.  8 x ±150</t>
  </si>
  <si>
    <t>Schroevendraaier zaagsn. 10 x200/320</t>
  </si>
  <si>
    <t>Schroevendraaier zaagsn. 12 x ±250</t>
  </si>
  <si>
    <t>Schroevendraaier haaks 5,5x125mm</t>
  </si>
  <si>
    <t>Schroevendraaier kruiskop PH-0</t>
  </si>
  <si>
    <t>Schroevendraaier kruiskop PH-1 80/180mm</t>
  </si>
  <si>
    <t>Schroevendraaier kruiskop PH-2 100/210mm</t>
  </si>
  <si>
    <t>Schroevendraaier Torx T10x80/160mm</t>
  </si>
  <si>
    <t>Schroevendraaier Torx T20x100/185</t>
  </si>
  <si>
    <t>Schroevendraaier Torx T30x115/225mm</t>
  </si>
  <si>
    <t>Karwei-kachel (propaan)</t>
  </si>
  <si>
    <t>Handgreep+zelfonsteker v propaanbrander</t>
  </si>
  <si>
    <t>Branderkop 38mm v propaan #Sievert 3341</t>
  </si>
  <si>
    <t>Branderkop 19mm v propaan #Sievert 3335</t>
  </si>
  <si>
    <t>Branderkop 25mm v propaan #Sievert 3336</t>
  </si>
  <si>
    <t>Branderkop 50mm v propaan #Sievert 3348</t>
  </si>
  <si>
    <t>Drukreg. 1-4B v prop.fles 5/10,5kg +vent</t>
  </si>
  <si>
    <t>Drukreg. 2B v propaanfles 0,425kg +vent</t>
  </si>
  <si>
    <t>Slangbreukventiel (propaan) v karweifles</t>
  </si>
  <si>
    <t>Slangbreukventiel(propaan) v fl.5/10,5kg</t>
  </si>
  <si>
    <t>Gasslang 5mm +aansl.propaan L=4m#Sievert</t>
  </si>
  <si>
    <t>Gasslang 8x15mm tbv 20028102</t>
  </si>
  <si>
    <t>Soldeerbout gas #Weller PYROPEN</t>
  </si>
  <si>
    <t>Soldeerbout electrisch 60W            !K</t>
  </si>
  <si>
    <t>Knie mall 90° bi-bu 1.1/4" nr 92</t>
  </si>
  <si>
    <t>Plug v opzetstuk PVC-A 1" #Wavin 0187147</t>
  </si>
  <si>
    <t>Slangklem 15 - 24mm  BR=12mm   ELVZ #ABA</t>
  </si>
  <si>
    <t>Slangklem 19 - 28mm  BR=12mm   ELVZ #ABA</t>
  </si>
  <si>
    <t>Slangklem 22 - 32mm  BR=12mm   ELVZ #ABA</t>
  </si>
  <si>
    <t>Slangklem 26 - 38mm  BR=12mm   ELVZ #ABA</t>
  </si>
  <si>
    <t>Slangklem 38 - 50mm  BR=12mm   ELVZ #ABA</t>
  </si>
  <si>
    <t>Slangklem 44 - 56mm  BR=12mm   ELVZ #ABA</t>
  </si>
  <si>
    <t>SET</t>
  </si>
  <si>
    <t>Vulmassa (bus=10kg) #Prysmian Z-5</t>
  </si>
  <si>
    <t>LT</t>
  </si>
  <si>
    <t>Beschermbuis flex HDPE 110mm zw/rd L=6m</t>
  </si>
  <si>
    <t>Beschermbuis flex HDPE 160mm zw/rd L=6m</t>
  </si>
  <si>
    <t>Slang PVC 12x16mm transparant</t>
  </si>
  <si>
    <t>Aansluitset v 10kV gietharsblok trafo</t>
  </si>
  <si>
    <t>&gt;Pakking type 0-1/4-12-10 v 10kV Coq</t>
  </si>
  <si>
    <t>&gt;Rail C-profiel 48cm v MGF KKT #Flamco</t>
  </si>
  <si>
    <t>&gt;Rail C-profiel 57cm v MGF KKKT #Flamco</t>
  </si>
  <si>
    <t>Veer v snisvergrendeling Magnefix MD4</t>
  </si>
  <si>
    <t>Contactschaal v veilighedenveld Magn MD4</t>
  </si>
  <si>
    <t>Bevestigingsmateriaal v frame Magnefix</t>
  </si>
  <si>
    <t>Patroonhouder v Magnefix MD4</t>
  </si>
  <si>
    <t>&gt;Deksel v ri.bord v MGF KKTT  68cm</t>
  </si>
  <si>
    <t>Deksel v ri.bord v MGF KKT   45cm</t>
  </si>
  <si>
    <t>Deksel v ri.bord v MGF KKK   31cm</t>
  </si>
  <si>
    <t>Aardingsstrip v frame Magnefix KKT</t>
  </si>
  <si>
    <t>Aardingsstrip v frame Magnefix KKKT</t>
  </si>
  <si>
    <t>Afstandsplaat v Magnefix K-veld</t>
  </si>
  <si>
    <t>Aansluitbus gietharsblok v kabel 16mm2</t>
  </si>
  <si>
    <t>Bedieningshendel Magnefix MD</t>
  </si>
  <si>
    <t>Stripkoper 20x3 vertind rol 1kg=1,70m</t>
  </si>
  <si>
    <t>Buispatroon 12kV 40A z slagst Fullrange</t>
  </si>
  <si>
    <t>Buispatroon 12kV 80A z slagst Fullrange</t>
  </si>
  <si>
    <t>Buispatroon 12KV 80A  m slagst fullrange</t>
  </si>
  <si>
    <t>Buispatroon  3kV 20A v Magnefix MG</t>
  </si>
  <si>
    <t>Buispatroon  3kV 60A v Magnefix MG</t>
  </si>
  <si>
    <t>Sektiekast 10kV klein</t>
  </si>
  <si>
    <t>Klembeugel v aardleid 20x3mm Cu</t>
  </si>
  <si>
    <t>Aftakklem Fe v aardstrip 20x3mm</t>
  </si>
  <si>
    <t>Cocosmat ruiggeschoren 500x800x H=17mm</t>
  </si>
  <si>
    <t>MS kabels</t>
  </si>
  <si>
    <t>Install.draad VD 16mm2 blauw samengeslag</t>
  </si>
  <si>
    <t>Install.draad VD 25mm2 zwart samengeslag</t>
  </si>
  <si>
    <t>Install.draad VDS  2,5mm2 zwart soepel</t>
  </si>
  <si>
    <t>Kabel 5x4mm2 rubber Cu zwart (per 50m)</t>
  </si>
  <si>
    <t>Kabel YMz1K 0.6/1kV 5x16 Cu</t>
  </si>
  <si>
    <t>Kabel YMvK 12x 2,5mm2 genummerd</t>
  </si>
  <si>
    <t>Kabel YMvK 30x 2,5mm2 genummerd</t>
  </si>
  <si>
    <t>Aansluitklem 50-240mm2 v-direkt</t>
  </si>
  <si>
    <t>&gt;Aansluitklem 95-300mm2 Cu +bout M12</t>
  </si>
  <si>
    <t>Aansluitklem 2x95-300mm2 Cu +bout M16</t>
  </si>
  <si>
    <t>Isolatieband 45mm zwart</t>
  </si>
  <si>
    <t>LS aansluitkasten</t>
  </si>
  <si>
    <t>Sticker zelfkl zeefdruk cijfer "0" 70x40</t>
  </si>
  <si>
    <t>Sticker zelfkl zeefdruk cijfer "1" 70x40</t>
  </si>
  <si>
    <t>Sticker zelfkl zeefdruk cijfer "2" 70x40</t>
  </si>
  <si>
    <t>Sticker zelfkl zeefdruk cijfer "3" 70x40</t>
  </si>
  <si>
    <t>Sticker zelfkl zeefdruk cijfer "4" 70x40</t>
  </si>
  <si>
    <t>Sticker zelfkl zeefdruk cijfer "5" 70x40</t>
  </si>
  <si>
    <t>Sticker zelfkl zeefdruk cijfer "6" 70x40</t>
  </si>
  <si>
    <t>Sticker zelfkl zeefdruk cijfer "7" 70x40</t>
  </si>
  <si>
    <t>Sticker zelfkl zeefdruk cijfer "8" 70x40</t>
  </si>
  <si>
    <t>Sticker zelfkl zeefdruk cijfer "9" 70x40</t>
  </si>
  <si>
    <t>&gt;Ls-rek m 1 voed en v 9 afg gr</t>
  </si>
  <si>
    <t>Strook v beveiliging 10x ov/tarief</t>
  </si>
  <si>
    <t>Yzerwerk v bev. 1 Pohl-klem</t>
  </si>
  <si>
    <t>Isolator 45x41mm met bi. draad M8</t>
  </si>
  <si>
    <t>Ls-strook  160A 1-p schakelbaar    Weber</t>
  </si>
  <si>
    <t>Ls-strook  400A 1-p schakelbaar    Weber</t>
  </si>
  <si>
    <t>Ls-strook 1000A 1-p Links Weber</t>
  </si>
  <si>
    <t>Ls-strook 1260A 1-p schakelbaar    Weber</t>
  </si>
  <si>
    <t>Steun v kabelblok trafokabel op trafo</t>
  </si>
  <si>
    <t>Perskabelschoen  10mm2 Cu   gat M10</t>
  </si>
  <si>
    <t>Perskabelschoen  35mm2 Cu   gat=13mm KL</t>
  </si>
  <si>
    <t>&gt;Patroon 10A 80kA 440Veff #SAFECLIP NS</t>
  </si>
  <si>
    <t>Lasbocht St 45° 5S  60,3x2,9mm afgesch</t>
  </si>
  <si>
    <t>Lasbocht St 45° 5S  88,9x3,2mm afgesch</t>
  </si>
  <si>
    <t>Aansluitvlag v. v-direkt klem</t>
  </si>
  <si>
    <t>Lasbocht St 45° 5D 219,1x4,5mm afgesch</t>
  </si>
  <si>
    <t>Lasbocht St 45° 5D 273,0x5,0mm afgesch</t>
  </si>
  <si>
    <t>Lasbocht St 45° 5D 323,9x5,6mm afgesch</t>
  </si>
  <si>
    <t>Hoofdschakelaar 63A 230V 4-p</t>
  </si>
  <si>
    <t>Installatiebuis 5/8"   slagvast (LT=4m)</t>
  </si>
  <si>
    <t>Installatiebuis 3/4"   slagvast (LT=4m)</t>
  </si>
  <si>
    <t>Sok v installatiebuis 1.1/4" slagvast</t>
  </si>
  <si>
    <t>Moer kunststof M16 v wartel metrisch</t>
  </si>
  <si>
    <t>Moer kunststof M25 v wartel metrisch</t>
  </si>
  <si>
    <t>Moer kunststof M32 v wartel metrisch</t>
  </si>
  <si>
    <t>Kabelzadel nylon  6-13mm grijs</t>
  </si>
  <si>
    <t>Kabelzadel nylon 16-24mm grijs</t>
  </si>
  <si>
    <t>Schakelaar/wcd bodemdeel dub m 1xPG16 WD</t>
  </si>
  <si>
    <t>Wipschakelaar wissel spatwaterdicht</t>
  </si>
  <si>
    <t>Wandcontactdoos 2p + ra spatwaterdicht</t>
  </si>
  <si>
    <t>Sleutel voor sperkop m rode kop v K2/K3</t>
  </si>
  <si>
    <t>Schroefpatroon  2A D2  snel</t>
  </si>
  <si>
    <t>Schroefpatroon 20A D2 traag</t>
  </si>
  <si>
    <t>Schroefpatroon 20A NDZ snel</t>
  </si>
  <si>
    <t>Isolatiepakking+boutisolatieset 50mm "F"</t>
  </si>
  <si>
    <t>Isolatiepakking+boutisolatieset 80mm "F"</t>
  </si>
  <si>
    <t>Isolatiepakking+boutisolatieset 100mm"F"</t>
  </si>
  <si>
    <t>Isolatiepakking+boutisolatieset 150mm"F"</t>
  </si>
  <si>
    <t>Isolatiepakking+boutisolatieset 200mm"F"</t>
  </si>
  <si>
    <t>Voorlasflens St 323,9mm PN16</t>
  </si>
  <si>
    <t>Mof PVC-SV 200mm verlengd Kl.33</t>
  </si>
  <si>
    <t>VEL</t>
  </si>
  <si>
    <t>Schuurlinnen K150 vel=23x28cm BLW</t>
  </si>
  <si>
    <t>Schroefdraadafdichting pyp med#Loctit572</t>
  </si>
  <si>
    <t>Betonverf lichtgrijs sluitvast (=2,5ltr)</t>
  </si>
  <si>
    <t>Verf wit hoogglans      (spuitbus 500ml)</t>
  </si>
  <si>
    <t>Verf zwart mat           (spuitbus 0,5L)</t>
  </si>
  <si>
    <t>Primer grijs sneldr roestw (spuitb500ml)</t>
  </si>
  <si>
    <t>Verf zilver hamerslag   (spuitbus 400ml)</t>
  </si>
  <si>
    <t>PURschuim (spuitbus=500ml)</t>
  </si>
  <si>
    <t>Plasticspray (spuitbus 200ml) #nr 70</t>
  </si>
  <si>
    <t>Contactspray CRC 2-26 #250ml universeel</t>
  </si>
  <si>
    <t>Sproeiwasspray v contacten #Konktakt WL</t>
  </si>
  <si>
    <t>Vet v o-ringen TB=100gr #Molykote 55M</t>
  </si>
  <si>
    <t>Vet silic. tranp. TB=100gr #Molykote 111</t>
  </si>
  <si>
    <t>Vet v glijlagers TB=400gr #Molykote BR2+</t>
  </si>
  <si>
    <t>Lijm  2-componenten  comb. Snel 24ml</t>
  </si>
  <si>
    <t>Lijm  #Bison-tix gel tube 100 ml</t>
  </si>
  <si>
    <t>Afvalzak 70x100cm (voorheen Otje)</t>
  </si>
  <si>
    <t>Handreinigingsdoeken vochtig#WypAll</t>
  </si>
  <si>
    <t>Handreiniger Dreumex Classic (blik=4,5l)</t>
  </si>
  <si>
    <t>Koffiefilter v Bravilor Mondo 2</t>
  </si>
  <si>
    <t>Toiletpapier plus kingsize (zak=24rol)</t>
  </si>
  <si>
    <t>&gt;Plankendrager St 20x25cm v elem.kist</t>
  </si>
  <si>
    <t>Deksel L=2m B=75mm #Tehalit LK-50075</t>
  </si>
  <si>
    <t>Las-T-stuk verl St 323,9x219,1mm</t>
  </si>
  <si>
    <t>&gt;Kabelbundelband 762x7   zwart</t>
  </si>
  <si>
    <t>Adereindhuls  0,75mm2 wit L=14mm</t>
  </si>
  <si>
    <t>Adereindhuls  1,0mm2 geel L=14mm</t>
  </si>
  <si>
    <t>Adereindhuls  1,5mm2 rood L=14mm</t>
  </si>
  <si>
    <t>Lasverloop ST 219,1x 88,9mm</t>
  </si>
  <si>
    <t>Zadel RVS aft 114-134x1.1/2" POLSAFE</t>
  </si>
  <si>
    <t>Stroomtrafo  600/5A       5VA 0,2s  '60</t>
  </si>
  <si>
    <t>/Stroomtrafo 1000/5A       5VA 0,2s  '60</t>
  </si>
  <si>
    <t>Zadel RVS aft 168-188x1.1/2" POLSAFE</t>
  </si>
  <si>
    <t>Zadel RVS aft 230-250x1.1/2" POLSAFE</t>
  </si>
  <si>
    <t>Zadel RVS aft 345-365x1.1/2" POLSAFE</t>
  </si>
  <si>
    <t>G-mtr TRAD G4    6m3   3/4"x220 2-py</t>
  </si>
  <si>
    <t>G-mtr B G10 G2"HOH300 16m3/h PN0,5</t>
  </si>
  <si>
    <t>G-mtr B G16 G2"HOH300 25m3/h PN0,5</t>
  </si>
  <si>
    <t>Weldolet St 168,3x 88,9mm   6x3"</t>
  </si>
  <si>
    <t>Vloerkorrels "SPLIT" (zak=20kg)</t>
  </si>
  <si>
    <t>Airmover plug 1.1/2" massief + lassok</t>
  </si>
  <si>
    <t>Kogelafsluiter St  DN80 PN16 FL-FL</t>
  </si>
  <si>
    <t>Kogelafsluiter St DN100 PN16 FL-FL</t>
  </si>
  <si>
    <t>Vlinderafsluiter GGG DN200 PN16 FL-FL+hw</t>
  </si>
  <si>
    <t>Vlinderafsluiter GGG DN250 PN16 FL-FL</t>
  </si>
  <si>
    <t>Manometer  60mbar 100mm 1/2" ond.aansl.</t>
  </si>
  <si>
    <t>Manometer 250mbar 100mm 1/2" ond.aansl.</t>
  </si>
  <si>
    <t>Manometer 400mbar 100mm 1/2" ond.aansl.</t>
  </si>
  <si>
    <t>Manometer  2,5bar 63mm 1/4" ond.aansl.</t>
  </si>
  <si>
    <t>Manometer 10bar   63mm 1/4" ond.aansl.</t>
  </si>
  <si>
    <t>Manometer 10bar  100mm 1/2" ond.aansl.</t>
  </si>
  <si>
    <t>Drukregelaar+B-kl hks bi-pst 3/4"</t>
  </si>
  <si>
    <t>&gt;Drukregelaar bi 2"     #Donkin 226</t>
  </si>
  <si>
    <t>Stuurdrukregelaar v AXIAL FLOW ZSC100</t>
  </si>
  <si>
    <t>Voordrukregelaar HARNO PILOT v afv PU100</t>
  </si>
  <si>
    <t>Drukregelaar+VAK FL DN50 #ROCKW 243-12</t>
  </si>
  <si>
    <t>Afslagveiligheid FL DN 50 Pi=8b Pa=200mb</t>
  </si>
  <si>
    <t>Afslagveiligheid FL DN 80 Pi=3b Pa=210mb</t>
  </si>
  <si>
    <t>Afslagveiligheid FL DN100 Pi=8b Pa=3,6b</t>
  </si>
  <si>
    <t>Afslagveiligh   3/4" 150mb +filt #FOPSO</t>
  </si>
  <si>
    <t>Uitw.imp. v afsl.veil. filter 3/4" #OPSO</t>
  </si>
  <si>
    <t>Stuurventiel v afsl.ve 100mb #OPSO416010</t>
  </si>
  <si>
    <t>Ventiel 3/2 NO groen #Combifit</t>
  </si>
  <si>
    <t>Sleeve H5 v Axial Flow  DN80 #516002</t>
  </si>
  <si>
    <t>Lasnippel 1/2" tbv manometer</t>
  </si>
  <si>
    <t>Meetnippel Ms bu R1/8"</t>
  </si>
  <si>
    <t>Snijr.kopp. recht 10mm x bu NPT1/8"</t>
  </si>
  <si>
    <t>Snijr.kopp. recht 10mm x bu NPT1/4"</t>
  </si>
  <si>
    <t>Snijr.kopp. knie 10mm x 10mm</t>
  </si>
  <si>
    <t>Snijr.kopp. knie  8mm x bu NPT1/8"</t>
  </si>
  <si>
    <t>Snijr.kopp. knie 10mm x bu NPT1/8"</t>
  </si>
  <si>
    <t>Snijr.kopp. knie 10mm x bu NPT1/4"</t>
  </si>
  <si>
    <t>Snijr.kopp. knie 12mm x bu NPT1/4"</t>
  </si>
  <si>
    <t>Snijr.kopp. knie 12mm x bu NPT1/2"</t>
  </si>
  <si>
    <t>Snijr.kopp. T-stuk 12 x 12 x 12mm</t>
  </si>
  <si>
    <t>Snijr.kopp. recht 10mm x 10mm</t>
  </si>
  <si>
    <t>Snijring 10mm</t>
  </si>
  <si>
    <t>Kabelhakmes v.loodmantel #KWG 2050</t>
  </si>
  <si>
    <t>/Kruissleutel v kasten&amp;LM#tek 584/D bl.1</t>
  </si>
  <si>
    <t>Kruissleutel v kasten&amp;LM #tek 584/D bl.2</t>
  </si>
  <si>
    <t>Trekveer inw. stalen trekband L=10m</t>
  </si>
  <si>
    <t>Batterij knoopcel 3V lithium  #CR2032</t>
  </si>
  <si>
    <t>Batterij staaf 1,5V ALK D=12 L=30 #LR01</t>
  </si>
  <si>
    <t>Tariefpatroontrekker</t>
  </si>
  <si>
    <t>Suikerstick a 4 gram (Ds=1000st)</t>
  </si>
  <si>
    <t>Creamerstick a 2,5 gram (Ds=1000st)</t>
  </si>
  <si>
    <t>Betontegel grijs 60x40x5cm</t>
  </si>
  <si>
    <t>Betonband 100x15x5cm</t>
  </si>
  <si>
    <t>Profielpaal Al 48x1500mm v aanwijsbord</t>
  </si>
  <si>
    <t>G-aanwijsmateriaal</t>
  </si>
  <si>
    <t>Zinkerbord "Z"+"GAS" 40x40cm + Al frame</t>
  </si>
  <si>
    <t>Lint magnesium tbv KB</t>
  </si>
  <si>
    <t>Zegelkap GL 33/27 v gasmtr. G4T   #TP3/4</t>
  </si>
  <si>
    <t>Blik leeg + deksel 1 ltr.</t>
  </si>
  <si>
    <t>&gt;Ls-rek uitbreiding v 4-gr</t>
  </si>
  <si>
    <t>Buispatroon 7,2kV 100A m slagstift</t>
  </si>
  <si>
    <t>Buispatroon 7,2kV  63A m slagstift</t>
  </si>
  <si>
    <t>Buispatroon 12kV 63A z slagst Fullrange</t>
  </si>
  <si>
    <t>Lasbocht St 90° 5D 323,9x5,6mm afgesch</t>
  </si>
  <si>
    <t>&gt;Gasm.flex DN40 MK/KK 1.1/2" L490 Nip.</t>
  </si>
  <si>
    <t>Drukregelaar+VAK bi1"    30mb 3/16#1843B</t>
  </si>
  <si>
    <t>Reparatiepakket 100 mm #ENCAPRESS</t>
  </si>
  <si>
    <t>Reparatiepakket 150 mm #ENCAPRESS</t>
  </si>
  <si>
    <t>Reparatiepakket 200 mm #ENCAPRESS</t>
  </si>
  <si>
    <t>Reparatiepakket 250 mm #ENCAPRESS</t>
  </si>
  <si>
    <t>Reparatiepakket 300 mm #ENCAPRESS</t>
  </si>
  <si>
    <t>Reparatiepakket 375 mm #ENCAPRESS</t>
  </si>
  <si>
    <t>Soldeer-tin/lood 60/40 hrskn 2 mm</t>
  </si>
  <si>
    <t>PAK</t>
  </si>
  <si>
    <t>Huisvuilzak 80x60x0,05mm (rol=20zak)</t>
  </si>
  <si>
    <t>C-klem 25mm2 / 25mm2</t>
  </si>
  <si>
    <t>Vierkantstaal 16mm L=6m (spindelstaal)</t>
  </si>
  <si>
    <t>Vierkantstaal 20mm L=6m (spindelstaal)</t>
  </si>
  <si>
    <t>Vierkantstaal 25mm L=6m (spindelstaal)</t>
  </si>
  <si>
    <t>Stop St  1/4" nr 20</t>
  </si>
  <si>
    <t>Stop St  1/2" nr 20</t>
  </si>
  <si>
    <t>Stop St  3/4" nr 20</t>
  </si>
  <si>
    <t>Stop St 1"   nr 20</t>
  </si>
  <si>
    <t>Isolatiekopp. 2-dl Ms wrt G1"xbu R3/4"</t>
  </si>
  <si>
    <t>Aanwijsblok 25mm letter "A"  geel/zwart</t>
  </si>
  <si>
    <t>Aanwijsblok 25mm letter "D"  geel/zwart</t>
  </si>
  <si>
    <t>Aanwijsblok 25mm letter "H"  geel/zwart</t>
  </si>
  <si>
    <t>Aanwijsblok 25mm letter "K"  geel/zwart</t>
  </si>
  <si>
    <t>Aanwijsblok 25mm letter "L"  geel/zwart</t>
  </si>
  <si>
    <t>Aanwijsblok 25mm letter "N"  geel/zwart</t>
  </si>
  <si>
    <t>Aanwijsblok 25mm letter "S"  geel/zwart</t>
  </si>
  <si>
    <t>Aanwijsblok 25mm letter "V"  geel/zwart</t>
  </si>
  <si>
    <t>Aanwijsblok 25mm letter "W"  geel/zwart</t>
  </si>
  <si>
    <t>Aanwijsblok 25mm " "  (blanco) geel</t>
  </si>
  <si>
    <t>Aanwijsblok 25mm cijfer "0"  geel/zwart</t>
  </si>
  <si>
    <t>Aanwijsblok 25mm cijfer "1"  geel/zwart</t>
  </si>
  <si>
    <t>Aanwijsblok 25mm cijfer "2"  geel/zwart</t>
  </si>
  <si>
    <t>Aanwijsblok 25mm cijfer "3"  geel/zwart</t>
  </si>
  <si>
    <t>Aanwijsblok 25mm cijfer "4"  geel/zwart</t>
  </si>
  <si>
    <t>Aanwijsblok 25mm cijfer "5"  geel/zwart</t>
  </si>
  <si>
    <t>Aanwijsblok 25mm cijfer "6/9" geel/zwart</t>
  </si>
  <si>
    <t>Aanwijsblok 25mm cijfer "7"  geel/zwart</t>
  </si>
  <si>
    <t>Aanwijsblok 25mm cijfer "8"  geel/zwart</t>
  </si>
  <si>
    <t>Aanwijsblok 25mm cijfer ",0" geel/zwart</t>
  </si>
  <si>
    <t>Aanwijsblok 25mm cijfer ",1" geel/zwart</t>
  </si>
  <si>
    <t>Aanwijsblok 25mm cijfer ",2" geel/zwart</t>
  </si>
  <si>
    <t>Aanwijsblok 25mm cijfer ",3" geel/zwart</t>
  </si>
  <si>
    <t>Aanwijsblok 25mm cijfer ",4" geel/zwart</t>
  </si>
  <si>
    <t>Aanwijsblok 25mm cijfer ",5" geel/zwart</t>
  </si>
  <si>
    <t>Aanwijsblok 25mm cijfer ",6" geel/zwart</t>
  </si>
  <si>
    <t>Aanwijsblok 25mm cijfer ",7" geel/zwart</t>
  </si>
  <si>
    <t>Aanwijsblok 25mm cijfer ",8" geel/zwart</t>
  </si>
  <si>
    <t>Aanwijsblok 25mm cijfer ",9" geel/zwart</t>
  </si>
  <si>
    <t>Drukregelaar+VAK bi1"  100mb 1/8" #1843B</t>
  </si>
  <si>
    <t>Drukregelaar 100mb DN50  #IGA HARN.PIL</t>
  </si>
  <si>
    <t>Drukregelaar bi-bi 1.1/2" recht #JEA J48</t>
  </si>
  <si>
    <t>Afslagveiligh 1"     150mb +filt  #FOPSO</t>
  </si>
  <si>
    <t>Schuifafsluiter Gn DN200 PN10 PUR FL-FL</t>
  </si>
  <si>
    <t>Schuifafsluiter Gn DN250 PN10 PUR FL-FL</t>
  </si>
  <si>
    <t>Schuifafsluiter Gn DN300 PN10 PUR FL-FL</t>
  </si>
  <si>
    <t>Koppelmof v spindel 22x22mm</t>
  </si>
  <si>
    <t>Kast ledig m fundatie v woonboot</t>
  </si>
  <si>
    <t>Afdichtplug 103x 74mm v mantelb. 110</t>
  </si>
  <si>
    <t>Nippel dubb RVS 316 1/4"x1/4" zeskant</t>
  </si>
  <si>
    <t>Nippel dubb verl St 3/4"x1/2"</t>
  </si>
  <si>
    <t>Snijr.kopp. knie 12mm x bu BSP3/8"</t>
  </si>
  <si>
    <t>Weldolet St 323,9/406,4x 60,3mm 12/16x2"</t>
  </si>
  <si>
    <t>Blindflens St DN200 PN16 DIN2527-B</t>
  </si>
  <si>
    <t>Mof PVC-SV  63mm verlengd kl.33</t>
  </si>
  <si>
    <t>Slang siliconen 6x9mm</t>
  </si>
  <si>
    <t>Zadel PE100 aft el-las 110x 63mm</t>
  </si>
  <si>
    <t>Klemmenblokset v PE25 PEKO-leiding</t>
  </si>
  <si>
    <t>Stoeldop voor buiseind 25mm</t>
  </si>
  <si>
    <t>Stoeldop voor buiseind 32mm</t>
  </si>
  <si>
    <t>Kabel V-VMvKhsas 4x 50Al + 4x2,5 + sas25</t>
  </si>
  <si>
    <t>Haspel</t>
  </si>
  <si>
    <t>Gasket + gland assy v #ROCKWELL 243-8</t>
  </si>
  <si>
    <t>Folie bouw-,transp.k. R=50mtr,  2000x0,2</t>
  </si>
  <si>
    <t>Hangslot Ms stalen beugel  60mm    #ABUS</t>
  </si>
  <si>
    <t>Vet (patroon 300ml) #Shell R-3 Alvania</t>
  </si>
  <si>
    <t>Multireiniger Glassex 750 ml</t>
  </si>
  <si>
    <t>Achterplaat Al v aanwijsbord   #NEN1184</t>
  </si>
  <si>
    <t>Netwerkapparatuur</t>
  </si>
  <si>
    <t>Snoer TL-leiding Vmvl-3x0,75 mm2 wit</t>
  </si>
  <si>
    <t>Wartel M16 metrisch 4-10mm</t>
  </si>
  <si>
    <t>Wartel M20 metrisch 6-13mm</t>
  </si>
  <si>
    <t>Wartel M32 metrisch 13-21mm</t>
  </si>
  <si>
    <t>Kabel V-VMvKhsas 4x150Al + 4x6 + sas50</t>
  </si>
  <si>
    <t>Flens oversch DN250 PN10 v kraag PE250mm</t>
  </si>
  <si>
    <t>Flens oversch DN300 PN10 v kraag PE315mm</t>
  </si>
  <si>
    <t>Flens oversch DN400 PN10 v kraag PE400mm</t>
  </si>
  <si>
    <t>Eindkap PE100 EL-las  50mm SDR11</t>
  </si>
  <si>
    <t>Knie PE100 EL-las 45°x 50mm SDR11</t>
  </si>
  <si>
    <t>Knie PE100 EL-las 90°x 50mm SDR11</t>
  </si>
  <si>
    <t>Mof PE100 EL-las 250mm SDR11</t>
  </si>
  <si>
    <t>Mof PE100 EL-las 315mm SDR11</t>
  </si>
  <si>
    <t>Mof PE100 EL-las 400mm SDR11</t>
  </si>
  <si>
    <t>Mof verloop PE100 EL-las  63x50mm SDR11</t>
  </si>
  <si>
    <t>T-stuk PE EL-las 63mm 3xmof</t>
  </si>
  <si>
    <t>T-stuk PE100 el-las 3xmof  75mm SDR11</t>
  </si>
  <si>
    <t>T-stuk PE100 el-las 3xmof 110mm SDR11</t>
  </si>
  <si>
    <t>T-stuk PE100 el-las 3xmof 160mm SDR11</t>
  </si>
  <si>
    <t>Zadel PE blsgt el-las 110x2"-2.1/2" HD8</t>
  </si>
  <si>
    <t>Zadel PE blsgt el-las 160x2"-2.1/2" HD8</t>
  </si>
  <si>
    <t>Mof PE100 EL-las 125mm SDR11</t>
  </si>
  <si>
    <t>Vergrendeling patroonhouder Magnefix MD4</t>
  </si>
  <si>
    <t>Ls-rek v 1 voed en 8 afg gr incl ov-klem</t>
  </si>
  <si>
    <t>E metertoebehoren</t>
  </si>
  <si>
    <t>Flens oversch DN300 PN16 v kraag PE315mm</t>
  </si>
  <si>
    <t>Flens oversch DN400 PN16 v kraag PE400mm</t>
  </si>
  <si>
    <t>Filterelement  gas  78x 32x100mm#GS10267</t>
  </si>
  <si>
    <t>Filterelement gas 390x246x460mm #GS-5013</t>
  </si>
  <si>
    <t>Lasbocht St 90° 3D 273,0x5,0mm afgesch</t>
  </si>
  <si>
    <t>Lasbocht St 45° 5D 406,4x6,3mm afgesch</t>
  </si>
  <si>
    <t>Lasbodem bol St 406,4mm</t>
  </si>
  <si>
    <t>Las-T-stuk verl St 273,0x114,3mm</t>
  </si>
  <si>
    <t>Las-T-stuk verl St 323,9x114,3mm</t>
  </si>
  <si>
    <t>Lasverloop St 406,4x323,9mm</t>
  </si>
  <si>
    <t>Lasverloop St 406,4x219,1mm</t>
  </si>
  <si>
    <t>&gt;Zadel PE100 aft el-las 250x 63mm</t>
  </si>
  <si>
    <t>Blindflens St DN400 PN16 DIN2527-B</t>
  </si>
  <si>
    <t>Blindflens St DN500 PN16 DIN2527-B</t>
  </si>
  <si>
    <t>Voorlasflens St 406,4mm PN10</t>
  </si>
  <si>
    <t>Bevestigingsmateriaal v rek vlakke wand</t>
  </si>
  <si>
    <t>Ls-strook 1600A 1-p schakelb boven   #JM</t>
  </si>
  <si>
    <t>Koppelset v Ls-rek</t>
  </si>
  <si>
    <t>Ls-strook  630A 1-p schakelbaar       JM</t>
  </si>
  <si>
    <t>Ls-strook 1600A 1-p schakelb onder   #JM</t>
  </si>
  <si>
    <t>Opzetstuk PVC-SV KR 32mmx1.1/2" SDR11</t>
  </si>
  <si>
    <t>Zadel RVS aft 138-160x1.1/2" POLSAFE</t>
  </si>
  <si>
    <t>Zadel PE100 aft el-las  75x 63mm</t>
  </si>
  <si>
    <t>Lasverloop St 406,4x273,0mm</t>
  </si>
  <si>
    <t>Lasbocht St 90° 5D 406,4x6,3mm afgesch</t>
  </si>
  <si>
    <t>Afdekhoes v Magnefix MD KK2T of KK2B</t>
  </si>
  <si>
    <t>Huisvuilzak 85x100x0,07mm polyethyleen</t>
  </si>
  <si>
    <t>Zeep wascreme mild #Tork Mevon 55 1000ml</t>
  </si>
  <si>
    <t>Contactcleanerspray bus=250ml #CRC 3-36</t>
  </si>
  <si>
    <t>&gt;Fundatie rvs DIN-2</t>
  </si>
  <si>
    <t>Sleutel-huisaansluitkast:3-hoek + 4-kant</t>
  </si>
  <si>
    <t>Sleutelbuis m uitsparing v europrf #Jazo</t>
  </si>
  <si>
    <t>Handzeep 2ltr 4KT #Stoko Solopol Classic</t>
  </si>
  <si>
    <t>Verlengbit PZ2x127 v 400A huisaansl.kast</t>
  </si>
  <si>
    <t>Zeepautomaat wit #Tork Tork-S-box</t>
  </si>
  <si>
    <t>Frame 33-pens #LSA-plus 6050.3.150.33</t>
  </si>
  <si>
    <t>Zadel PE100 aft el-las 250x 32mm</t>
  </si>
  <si>
    <t>Vet #Molykote longterm W2 (patr=400gr)</t>
  </si>
  <si>
    <t>Aardlekschakelaar 25A 400V 4-p 30mA</t>
  </si>
  <si>
    <t>Schroefpatroon 10A D01 snel</t>
  </si>
  <si>
    <t>Vlinderafsluiter GGG DN150 PN16 FL-FL</t>
  </si>
  <si>
    <t>Kogelkraan ms  bi/bu Rp2" x G2½"</t>
  </si>
  <si>
    <t>Filterelement gas 225x110x305mm #GS-5201</t>
  </si>
  <si>
    <t>Beveiligingsset v verlichting Ms-ruimte</t>
  </si>
  <si>
    <t>Lamphouder wand E27 schuine uitvoering</t>
  </si>
  <si>
    <t>Install.draad VDS  2,5mm2 blauw soepel</t>
  </si>
  <si>
    <t>Install.draad VDS  2,5mm2 rood soepl 90C</t>
  </si>
  <si>
    <t>Beschermdop KST gasmeter  G4/G6-3/4"</t>
  </si>
  <si>
    <t>&gt;Drukregelaar FL  DN50 PN16  #DONKIN 226</t>
  </si>
  <si>
    <t>&gt;Gasm.flex DN25 MK/KK 1" L390</t>
  </si>
  <si>
    <t>&gt;Gasm.flex DN40 KK/Bu 1.1/2" L550</t>
  </si>
  <si>
    <t>Aansluitklem 50-185mm2 m +bout M10x55</t>
  </si>
  <si>
    <t>Aansluitklem 35-150mm2 m bout M12x50</t>
  </si>
  <si>
    <t>Aansluitklem 2x50-185mm2 +bout M12x55</t>
  </si>
  <si>
    <t>&gt;Aansluitklem 3x25mm2 m gat 6,5mm</t>
  </si>
  <si>
    <t>Adereindhuls  2,5mm2 blauw L=14mm</t>
  </si>
  <si>
    <t>Adereindhuls  2,5mm2 blauw L=24mm</t>
  </si>
  <si>
    <t>Adereindhuls  0,5mm2 oranje L=14mm</t>
  </si>
  <si>
    <t>Adereindhuls  1,5mm2 rood L=24mm</t>
  </si>
  <si>
    <t>Adereindhuls 25,0mm2 bruin L=29mm</t>
  </si>
  <si>
    <t>/Schroefverbinder geisoleerd 95-150mm2sm</t>
  </si>
  <si>
    <t>Perskabelschoen  95mm2 Cu   gat 17mm DIN</t>
  </si>
  <si>
    <t>&gt;Pakking kurk 2-delig v kabelinvoering</t>
  </si>
  <si>
    <t>Bevestigingsbeugel voor buis 110mm</t>
  </si>
  <si>
    <t>Kabelbevestigingsklem  60-64mm K64/2S</t>
  </si>
  <si>
    <t>Bocht v installatiebuis 1"     slagvast</t>
  </si>
  <si>
    <t>Bocht v installatiebuis 1.1/4" slagvast</t>
  </si>
  <si>
    <t>Sok v installatiebuis 1" slagvast</t>
  </si>
  <si>
    <t>Frame staand v Magnefix MD4 KKT of TKK</t>
  </si>
  <si>
    <t>Frame staand v Magnefix MD4 KKK</t>
  </si>
  <si>
    <t>Frame staand v Magnefix MD4 KKKT of TKKK</t>
  </si>
  <si>
    <t>Afdekhoes v Magnefix 2KT/2KB en 3KT/3KB</t>
  </si>
  <si>
    <t>Oplegging v staalwerk v installaties</t>
  </si>
  <si>
    <t>Aansluitkast woonboot DIN 2 v 2x E</t>
  </si>
  <si>
    <t>Gevelkap RVS m leidingbeugel 1"</t>
  </si>
  <si>
    <t>Invoerstuk grote poort m 3x 1" 1.1/4"</t>
  </si>
  <si>
    <t>Centreerset v koppelen Ls-rekken</t>
  </si>
  <si>
    <t>Bevestigingsmateriaal v rek beton zuil</t>
  </si>
  <si>
    <t>Plakband bruin PVC 50mm x 66m (v dozen)</t>
  </si>
  <si>
    <t>Knie Gn PE32 SDR11xSt 1" #PRIMOFIT</t>
  </si>
  <si>
    <t>Knie Gn PE40 SDR11xSt 1.1/4" #PRIMOFIT</t>
  </si>
  <si>
    <t>Knie Gn PE50 SDR11xSt 1.1/2" #PRIMOFIT</t>
  </si>
  <si>
    <t>Knie Gn PE63 SDR11xSt 2"     #PRIMOFIT</t>
  </si>
  <si>
    <t>Snijr.kopp. recht 16mm x bu BSP1/2"</t>
  </si>
  <si>
    <t>Montagerail C-profiel 41x41mm  L=6m</t>
  </si>
  <si>
    <t>Zadel RVS T-klem DN150xFL DN100 168-188</t>
  </si>
  <si>
    <t>Zadel RVS T-klem DN200xFL DN100 211-232</t>
  </si>
  <si>
    <t>Zadel RVS T-klem DN300xFL DN100</t>
  </si>
  <si>
    <t>Zadel RVS T-klem DN400xFL DN100</t>
  </si>
  <si>
    <t>Accu lood  6V 10Ah 151x50x98mm</t>
  </si>
  <si>
    <t>Isolatiestuk las/las 323,9 - 12" L=700</t>
  </si>
  <si>
    <t>Isolatiestuk las/las 406,4 - 14" L=900</t>
  </si>
  <si>
    <t>Afschermplaat v Ls-zijde nettrafo +bev.b</t>
  </si>
  <si>
    <t>Console v bevestiging klemblok 240mm2</t>
  </si>
  <si>
    <t>Bevestiging v klemblok 3x kabel 1x16</t>
  </si>
  <si>
    <t>Afpersflens St DN100  8gats +dr.gat 1"</t>
  </si>
  <si>
    <t>Afpersflens St DN150  8gats +dr.gat 1"</t>
  </si>
  <si>
    <t>Afpersflens St DN200  8gats +dr.gat 1"</t>
  </si>
  <si>
    <t>Afpersflens St DN250 12gats +draadgat 1"</t>
  </si>
  <si>
    <t>Monsterzak 20x29x50cm 2x70grs bruin</t>
  </si>
  <si>
    <t>Schamppaal THVZ L=1,5M D=76mm</t>
  </si>
  <si>
    <t>Weldolet St 219,1x 88,9mm   8x3"</t>
  </si>
  <si>
    <t>Weldolet St 273,0x 88,9mm   10x3"</t>
  </si>
  <si>
    <t>Weldolet St 323,9/406,4x 88,9mm 12/16x3"</t>
  </si>
  <si>
    <t>&gt;Drukregelaar FL DN100 PN16  #DONKIN 226</t>
  </si>
  <si>
    <t>Manchet rubber 429-400 x 282-250mm</t>
  </si>
  <si>
    <t>Manchet rubber 427x315mm</t>
  </si>
  <si>
    <t>Inlegplaatje GAS v straatpot   190x190mm</t>
  </si>
  <si>
    <t>Vlinderafsluiter GGG DN300 PN16 FL-FL</t>
  </si>
  <si>
    <t>Knie verl mall 90° bi-bu 1.1/4"x1" nr92</t>
  </si>
  <si>
    <t>Flens oversch DN200 PN10 v kraag PE200mm</t>
  </si>
  <si>
    <t>Voorlasflens St 406,4mm PN16</t>
  </si>
  <si>
    <t>&gt;Stroomtrafo  575/5A       5VA 1     '50</t>
  </si>
  <si>
    <t>Blindflens St DN250 PN16 DIN2527-B</t>
  </si>
  <si>
    <t>Blindflens St DN300 PN16 DIN2527-B</t>
  </si>
  <si>
    <t>Blindflens St DN400 PN10 DIN2527-B</t>
  </si>
  <si>
    <t>Zadel PE100 aft el-las 125x 32mm</t>
  </si>
  <si>
    <t>Zadel PE100 aft el-las 125x 63mm</t>
  </si>
  <si>
    <t>Persvulset v Magnefix (+pomp)</t>
  </si>
  <si>
    <t>Vulslang v Magnefix</t>
  </si>
  <si>
    <t>Tas v vils gereedschap groot VDE</t>
  </si>
  <si>
    <t>Handschoenentester v VDE</t>
  </si>
  <si>
    <t>Beschermfolie transp VDE 1400x0,5mm</t>
  </si>
  <si>
    <t>Ladder kunststof 2x8 sporten VDE      !K</t>
  </si>
  <si>
    <t>Veiligheidsklem met haak VDE</t>
  </si>
  <si>
    <t>Brandblusser 6kg poeder (ABC)         !K</t>
  </si>
  <si>
    <t>Brandblusdeken in foudr.180x180cm</t>
  </si>
  <si>
    <t>Afzetlint rood/wit (rol=500m)</t>
  </si>
  <si>
    <t>Afzetlint-pen</t>
  </si>
  <si>
    <t>Handlamp klein explosieveilig</t>
  </si>
  <si>
    <t>Zwaailamp m magneetflits</t>
  </si>
  <si>
    <t>Spanband m ratel en haak B=25mm L=5m</t>
  </si>
  <si>
    <t>Spanband m ratel B=50mm L=8,6m</t>
  </si>
  <si>
    <t>Krik hydraulisch 8 ton</t>
  </si>
  <si>
    <t>Kopp. 2-dlg Ms gas wrt 1.1/4" x bu R1"</t>
  </si>
  <si>
    <t>Zijkniptang VDE L=200mm</t>
  </si>
  <si>
    <t>Ontmantelingsschaar klein 175mm VDE</t>
  </si>
  <si>
    <t>Kabelschilapparaat stripb. Telcon &lt;25mm2</t>
  </si>
  <si>
    <t>Kabelschaar 165mm VDE</t>
  </si>
  <si>
    <t>Kabelsnijkop hydraulisch #TC-085</t>
  </si>
  <si>
    <t>Ringsleutel VDE  9mm</t>
  </si>
  <si>
    <t>Ringsleutel VDE 11mm</t>
  </si>
  <si>
    <t>Ringsleutel VDE 13mm</t>
  </si>
  <si>
    <t>Steeksleutel VDE  9mm</t>
  </si>
  <si>
    <t>Steeksleutel VDE 19mm</t>
  </si>
  <si>
    <t>Verlengstuk v dopsleutels 3/8" L=250 VDE</t>
  </si>
  <si>
    <t>Inbussleutel stift haaks VDE 4mm</t>
  </si>
  <si>
    <t>Inbussleutel stift T-model VDE  5x160mm</t>
  </si>
  <si>
    <t>Inbussleutel T-model 10x250mm VDE</t>
  </si>
  <si>
    <t>Sleutel verstelbaar VDE  6" (Bahco)</t>
  </si>
  <si>
    <t>Tordeerstuk 150mm AL passing 3/8" VDE</t>
  </si>
  <si>
    <t>Multimeter #Fluke 87                  !K</t>
  </si>
  <si>
    <t>Fasevergelijkapparaat 1-P10kV #SPPC  !K</t>
  </si>
  <si>
    <t>Aardingsgarnituur MS v magnefix MD    !K</t>
  </si>
  <si>
    <t>Aardingsgarnituur MS v Magnefix MF    !K</t>
  </si>
  <si>
    <t>Dummie v mespatroonhouder gr. 00 VDE</t>
  </si>
  <si>
    <t>Dummie v schroefpatroonhouder K2 VDE</t>
  </si>
  <si>
    <t>Dummie v schroefpatroonhouder K3 VDE</t>
  </si>
  <si>
    <t>Mespatroontrekker VDE                !K</t>
  </si>
  <si>
    <t>Isolatiekap D=10mm L=40mm VDE</t>
  </si>
  <si>
    <t>Isolatiekap D=20mm L=110mm VDE</t>
  </si>
  <si>
    <t>Trekveer kunststof L=10m</t>
  </si>
  <si>
    <t>Hamer 300gram vonkvrij m steel</t>
  </si>
  <si>
    <t>Schroevendraaier zaagsn. klem 6x175</t>
  </si>
  <si>
    <t>Slang HD L=6m rood v kabelsnijkop#TC085</t>
  </si>
  <si>
    <t>/Rail 30x15mm L=2m #Flamco R1</t>
  </si>
  <si>
    <t>Stopbuspakking Dspindel=26mm #Permatight</t>
  </si>
  <si>
    <t>Stopbuspakking Dspindel=24mm #Permatight</t>
  </si>
  <si>
    <t>Stopbuspakking Dspindel=20mm #Permatight</t>
  </si>
  <si>
    <t>Stopbuspakking Dspindel=28mm #Permatight</t>
  </si>
  <si>
    <t>Schaaldelen A t/m E + kist 219 t/m 600</t>
  </si>
  <si>
    <t>Schaaldeel #type A</t>
  </si>
  <si>
    <t>Schaaldeel #type B</t>
  </si>
  <si>
    <t>Schaaldeel #type C</t>
  </si>
  <si>
    <t>Schaaldeel #type D</t>
  </si>
  <si>
    <t>Schaaldeel #type E</t>
  </si>
  <si>
    <t>Schuurpad groen</t>
  </si>
  <si>
    <t>Slotspray (spuitbus=150ml) / ontdooier</t>
  </si>
  <si>
    <t>Reinigingsmiddel v Magnefix #Andy</t>
  </si>
  <si>
    <t>Schuurlinnen  K60 rol=25mx50mm #301M</t>
  </si>
  <si>
    <t>Schuurlinnen K150 rol=25mx50mm #301D</t>
  </si>
  <si>
    <t>&gt;Schuurlinnen  K80 vel=230x280mm #314D</t>
  </si>
  <si>
    <t>Schuurlinnen K100 rol=25mx50mm #301D</t>
  </si>
  <si>
    <t>Schuurlinnen K180 vel=230x280mm</t>
  </si>
  <si>
    <t>Fundatiekorrels v sektiekasten</t>
  </si>
  <si>
    <t>Reinigingsdoekje v kabel #RaychemEppa004</t>
  </si>
  <si>
    <t>Bindgaren gewaxt kleurloos (klos) 1220/8</t>
  </si>
  <si>
    <t>Merkkrijt vet GEEL</t>
  </si>
  <si>
    <t>Afvalzak buit  80x120x0,01cm "Asbest"</t>
  </si>
  <si>
    <t>Karton rib 100cm x 70 m</t>
  </si>
  <si>
    <t>Tape "Asbestgevaarlijk" B=50mm rol=66mtr</t>
  </si>
  <si>
    <t>Vouwdoos 294x194x138mm</t>
  </si>
  <si>
    <t>Doos plastic m. vakken</t>
  </si>
  <si>
    <t>Vouwdoos 392x292x184mm</t>
  </si>
  <si>
    <t>Vacuumkoffie snelfiltermaling pak=250gr</t>
  </si>
  <si>
    <t>Theezakje (doos a 100 zakjes)</t>
  </si>
  <si>
    <t>Kop v Spindel vierkant gat 16x16mm</t>
  </si>
  <si>
    <t>Kop v Spindel vierkant gat 32x32mm</t>
  </si>
  <si>
    <t>Kop v Spindel vierkant gat 22x22mm</t>
  </si>
  <si>
    <t>Kop v Spindel vierkant gat 25x25mm</t>
  </si>
  <si>
    <t>&gt;Beschermkap ZPE geel v kunst.buis  32mm</t>
  </si>
  <si>
    <t>&gt;Beschermkap HPE geel v kunst.buis  50mm</t>
  </si>
  <si>
    <t>Kabelvet v Magnefix eindsluiting (3,5l)</t>
  </si>
  <si>
    <t>Snijolie (bus=600ml) #REMS SP 140105</t>
  </si>
  <si>
    <t>Vaselinespray (spuitbus=300ml) Griffon</t>
  </si>
  <si>
    <t>Vaseline zuurvrij bus700g</t>
  </si>
  <si>
    <t>Glijmiddel v gas 750ml #Aquador 2000</t>
  </si>
  <si>
    <t>Vet v kogellagers #LGMT2/0,4</t>
  </si>
  <si>
    <t>Verf v fase-blauw RAL5010 (bus=0,5ltr)</t>
  </si>
  <si>
    <t>Verf v fase-geel  RAL1018 (blik=0,5ltr)</t>
  </si>
  <si>
    <t>Verf v fase-rood  RAL3002 (bus=0,5ltr)</t>
  </si>
  <si>
    <t>Primer #DENSOLEEN HT 10554</t>
  </si>
  <si>
    <t>Aardbout kogelkop 25mm bin.dr. M12 (HS)</t>
  </si>
  <si>
    <t>Afdichtplug  68x 44- 46mm v mantelb.  75</t>
  </si>
  <si>
    <t>Zand-cement / metselmortel z kalk a 25kg</t>
  </si>
  <si>
    <t>Betonmortel (zak a 25kg)</t>
  </si>
  <si>
    <t>Cement snel hardend 6kg</t>
  </si>
  <si>
    <t>Meterplank 125x60cmx18mm Okoume</t>
  </si>
  <si>
    <t>Paaltje Piket 60x2,2x3,0 vurenhout</t>
  </si>
  <si>
    <t>Paal 4KT  5,3x5,3x185cm kunststof</t>
  </si>
  <si>
    <t>Meetpaal RVS v kathod.besch LANG L=1200</t>
  </si>
  <si>
    <t>Stempelpaal KST 70x70x 800mm</t>
  </si>
  <si>
    <t>Straatpot 190x190 z inlegpl v gas</t>
  </si>
  <si>
    <t>Betonkrans 45x45x6cm geel gat=20x20cm</t>
  </si>
  <si>
    <t>Betontriplex 100x1250x4mm</t>
  </si>
  <si>
    <t>Vloerplaat 60x150cm 18mm #HW BPX AS</t>
  </si>
  <si>
    <t>Meterplank 244x30cm x18mm #HW MPX</t>
  </si>
  <si>
    <t>Soldeer-tin/lood 50/50 3mm hrskn rol=1kg</t>
  </si>
  <si>
    <t>Soldeerpasta S65</t>
  </si>
  <si>
    <t>PECu/PEKo PE40xCu28  2,50 SDR17,6</t>
  </si>
  <si>
    <t>PECu/PEKo PE40xCu28  3,75 SDR17,6</t>
  </si>
  <si>
    <t>PECu/PEKo PE40xCu28  6,25 SDR17,6</t>
  </si>
  <si>
    <t>Hangslot combi                  #KAGL FK</t>
  </si>
  <si>
    <t>&gt;Paniekconsole links               #Lips</t>
  </si>
  <si>
    <t>Sleuteletui HS/ LS</t>
  </si>
  <si>
    <t>Sleutelkluis THZV v montage op hek #Jazo</t>
  </si>
  <si>
    <t>Zegelkap 41/58 MIC63xPE25/PE32</t>
  </si>
  <si>
    <t>Zadel RVS aft 168-188x2"     POLSAFE</t>
  </si>
  <si>
    <t>Zadel RVS aft 230-250x2"     POLSAFE</t>
  </si>
  <si>
    <t>Lasaanboorstuk St 2" m zachte afdichting</t>
  </si>
  <si>
    <t>Lasbocht St 45° 5S 114,3x3,6mm afgesch</t>
  </si>
  <si>
    <t>Cilinder europr 1.2 EZ 30/10       #Lips</t>
  </si>
  <si>
    <t>Cilinder europr 1.2 EZ 55/10       #Lips</t>
  </si>
  <si>
    <t>Cilinder europr 1.2 DZ 30/30       #Lips</t>
  </si>
  <si>
    <t>Cilinder europr 1.3 EZ 30/10       #Lips</t>
  </si>
  <si>
    <t>Cilinder europr 1.3 EZ 55/10       #Lips</t>
  </si>
  <si>
    <t>Hangslot 1.3 beugel 30mm           #Lips</t>
  </si>
  <si>
    <t>Cilinder europr 1.4 DZ 30/30       #Lips</t>
  </si>
  <si>
    <t>Hangslot 1.4 beugel 30mm           #Lips</t>
  </si>
  <si>
    <t>Kopp. 2-dlg Ms gas wrt 2.1/2" x bu R2"</t>
  </si>
  <si>
    <t>Knie verl mall 90°bi-bi 1.1/2x1.1/4nr90</t>
  </si>
  <si>
    <t>Ring verl Ms R1"    x Rp  3/4" conisch</t>
  </si>
  <si>
    <t>Ring verl Ms R1.1/2"x Rp1"     conisch</t>
  </si>
  <si>
    <t>Ring verl Ms R1.1/2"x Rp1.1/4" conisch</t>
  </si>
  <si>
    <t>Ring verl Ms R2"    x Rp1"     conisch</t>
  </si>
  <si>
    <t>Ring verl Ms R2"    x Rp1.1/4" conisch</t>
  </si>
  <si>
    <t>Ring verl Ms R2"    x Rp1.1/2" conisch</t>
  </si>
  <si>
    <t>Mof verloop PE100 EL-las 110x 90mm SDR11</t>
  </si>
  <si>
    <t>Krimpmanchet v aanb.T-st 2" #HTTE 4500</t>
  </si>
  <si>
    <t>Manchet rubber 231-200 x 138-104mm</t>
  </si>
  <si>
    <t>Manchet rubber 180-160 x  80- 60mm</t>
  </si>
  <si>
    <t>Manchet rubber 325-302 x 165-130mm</t>
  </si>
  <si>
    <t>Manchet rubber 325-302 x 231-200mm</t>
  </si>
  <si>
    <t>Pakkingring 70,0x60,0x2,0 MTRKP-G25</t>
  </si>
  <si>
    <t>Slangklem 11 - 17mm  BR=12mm      #ABA</t>
  </si>
  <si>
    <t>Slangklem 15 - 24mm  BR=12mm   RVS</t>
  </si>
  <si>
    <t>Slangklem 22 - 32mm  BR=12mm   RVS</t>
  </si>
  <si>
    <t>Slangklem 32 - 44mm  BR=12mm   RVS</t>
  </si>
  <si>
    <t>Slangklem 58 - 75mm  BR=12mm   ELVZ #ABA</t>
  </si>
  <si>
    <t>Slangklem 68 - 85mm  BR=12mm   RVS</t>
  </si>
  <si>
    <t>Plug 1/4" BSP #Pete's plug</t>
  </si>
  <si>
    <t>Schuifafsluiter PE+GGG  63mm PN10 EL-EL</t>
  </si>
  <si>
    <t>Schuifafsluiter PE+GGG 110mm PN10 EL-EL</t>
  </si>
  <si>
    <t>Opzetkop v opbouwgarnituur Hawle 9053</t>
  </si>
  <si>
    <t>Kogelkraan ms bi/bi Rp½" PN16</t>
  </si>
  <si>
    <t>Bord "niet schakelen" 20cm m. koord+haak</t>
  </si>
  <si>
    <t>Bord -NIET INSCHAKELEN- rood 19x35cm</t>
  </si>
  <si>
    <t>Naambord wit 246x600mm v LS-richtingen</t>
  </si>
  <si>
    <t>Afstandsbus nylon 6,3x15x7,5mm</t>
  </si>
  <si>
    <t>Magneetschakelaar 4-polig 30A 250V 50Hz</t>
  </si>
  <si>
    <t>Magneetschakelaar 4polig 4KW 100-250ACDC</t>
  </si>
  <si>
    <t>Drukregelaar bi-bi 1.1/4" recht #JEA J48</t>
  </si>
  <si>
    <t>Meet &amp; besturingsinrichting</t>
  </si>
  <si>
    <t>Meterbord 145x255x50mm</t>
  </si>
  <si>
    <t>Install.draad VDS  2,5mm2 groen/gl soepe</t>
  </si>
  <si>
    <t>Soepele verbinding  50mm2 gat=14mm L=390</t>
  </si>
  <si>
    <t>Soepele verbinding  50mm2 gat=21mm L=390</t>
  </si>
  <si>
    <t>Install.draad VDS 16mm2 blauw soepel</t>
  </si>
  <si>
    <t>all.draad VD 16mm2 zwart samengeslag</t>
  </si>
  <si>
    <t>Install.draad VD 50mm2 groen/gl samenges</t>
  </si>
  <si>
    <t>Draad  1mm mass Cu vertind (rol=30m)</t>
  </si>
  <si>
    <t>/Draad 25mm2 samengeslagen(Rol=50M)</t>
  </si>
  <si>
    <t>Perskabelschoen  16mm2 Cu   gat= 9mm KL</t>
  </si>
  <si>
    <t>Perskabelschoen  16mm2 Cu   gat=11mm KL</t>
  </si>
  <si>
    <t>Perskabelschoen  25mm2 Cu   gat= 9mm KL</t>
  </si>
  <si>
    <t>Perskabelschoen   6,7-10,5mm2 Cu gat=7mm</t>
  </si>
  <si>
    <t>Perskabelschoen   6,7-10,5mm2 Cu gat=9mm</t>
  </si>
  <si>
    <t>Perskabelschoen  35mm2 Cu   gat=11mm KL</t>
  </si>
  <si>
    <t>Perskabelschoen  50mm2 Cu   gat=11mm KL</t>
  </si>
  <si>
    <t>Perskabelschoen  50mm2 Cu   gat=13mm KL</t>
  </si>
  <si>
    <t>Perskabelschoen  95mm2 Cu   gat=13mm DIN</t>
  </si>
  <si>
    <t>Perskabelschoen 300mm2 Cu   gat=M12 DIN</t>
  </si>
  <si>
    <t>Perskabelschoen 300mm2 Cu   gat=21mm DIN</t>
  </si>
  <si>
    <t>Perskabelschoen 300mm2 Cu   gat=M16 DIN</t>
  </si>
  <si>
    <t>Aansluitpen Magnefix MF v kabel 16mm2</t>
  </si>
  <si>
    <t>Aansluitbus Magnefix MD4 v kabel 16mm2</t>
  </si>
  <si>
    <t>Aansluitklem 4x10 v Isocoupe 25A</t>
  </si>
  <si>
    <t>Adereindhuls 16,0mm2 blauw</t>
  </si>
  <si>
    <t>/Aardklem band 17cm</t>
  </si>
  <si>
    <t>/Aftakklem geisoleerd 1,5-10mm2 /1,5-10m</t>
  </si>
  <si>
    <t>Ringklem 3x 50+1x35Cu / 4x6Cu-50Al</t>
  </si>
  <si>
    <t>Kabelinlegklem 50-150mm2 Al m stift M10</t>
  </si>
  <si>
    <t>Aansluitklem Magnefix  10-95mm2 Cu</t>
  </si>
  <si>
    <t>&gt;Eindsluiting 10kV GPLK 35-70mm2 Raychem</t>
  </si>
  <si>
    <t>Eindsluiting 10kV GPLK 95-240mm2 Raychem</t>
  </si>
  <si>
    <t>Afschermset v XLPE-eindsl onder Magnefix</t>
  </si>
  <si>
    <t>Krimpdop diameter 21,5- 7mm</t>
  </si>
  <si>
    <t>Krimpdop diameter  40-15mm</t>
  </si>
  <si>
    <t>Krimpdop diameter  55-25mm</t>
  </si>
  <si>
    <t>Krimpdop diameter  75-32mm</t>
  </si>
  <si>
    <t>Krimpdop diameter 100-45mm</t>
  </si>
  <si>
    <t>Adereinddop   1,5mm2</t>
  </si>
  <si>
    <t>Adereinddop   2,5mm2</t>
  </si>
  <si>
    <t>Adereinddop   4-6mm2</t>
  </si>
  <si>
    <t>Adereinddop  10mm2</t>
  </si>
  <si>
    <t>Adereinddop  16mm2</t>
  </si>
  <si>
    <t>Adereinddop  50mm2</t>
  </si>
  <si>
    <t>Adereinddop  95mm2</t>
  </si>
  <si>
    <t>Adereinddop 150mm2</t>
  </si>
  <si>
    <t>20043763 20043768</t>
  </si>
  <si>
    <t>PVC-tape transparant 3,8cmx20m wikkelmof</t>
  </si>
  <si>
    <t>Inspuitventiel v wikkelmof</t>
  </si>
  <si>
    <t>Nekafdichting v wikkelmof</t>
  </si>
  <si>
    <t>&gt;Giethars polyurethaan inhoud 355cc</t>
  </si>
  <si>
    <t>20043765 20043767</t>
  </si>
  <si>
    <t>Krimpkous 19-6mm L=1,2m zwart</t>
  </si>
  <si>
    <t>Krimpkous  6-2mm L=1,2m zwart</t>
  </si>
  <si>
    <t>Steunyzer v kabelbevest beugel</t>
  </si>
  <si>
    <t>Kabelbeschermband 250x2,5mm RD Hs (40m)</t>
  </si>
  <si>
    <t>Rolbandveer  9-14mm  RF 0,5</t>
  </si>
  <si>
    <t>Rolbandveer  6-10mm  RF 0</t>
  </si>
  <si>
    <t>Aansluitklem 25mm2 Cu v aardelectr. 12,7</t>
  </si>
  <si>
    <t>Aardbout kogelkop 20mm bin.dr. M12 (MS)</t>
  </si>
  <si>
    <t>&gt;Aarding v trafobox 1000kVA</t>
  </si>
  <si>
    <t>Soepele verbinding  25mm2 gat= 8mm L=500</t>
  </si>
  <si>
    <t>Kruiskop v aardelectrode 12,5&amp;12,7mm</t>
  </si>
  <si>
    <t>Armatuur  Bulleye 60W zonder lamp</t>
  </si>
  <si>
    <t>Starter CONV v TL/PL 4-65W #Philips S10</t>
  </si>
  <si>
    <t>Buispatroon 12kV 63A m slagst Fullrange</t>
  </si>
  <si>
    <t>Buispatroon 12kV 40A m slags Fullrange</t>
  </si>
  <si>
    <t>&gt;Waarschuwingslint -electriciteit-rol250</t>
  </si>
  <si>
    <t>Kabelinvoering v 1 Kabel  max 34mm</t>
  </si>
  <si>
    <t>Afsluitplaat grote poort</t>
  </si>
  <si>
    <t>Afsluitplaat kleine poort</t>
  </si>
  <si>
    <t>Meterbordbout m5x20mm (set van 3)</t>
  </si>
  <si>
    <t>Adereindhuls 2x 6mm2 geel</t>
  </si>
  <si>
    <t>Groepenkast 2 schroefpatrh K2 en schak.</t>
  </si>
  <si>
    <t>Magneetschakelaar 230V 58A m 3 mc</t>
  </si>
  <si>
    <t>Schakelaar/wcd m randaarde waterdicht</t>
  </si>
  <si>
    <t>Kontaktstop rubber 2-polig m randaarde</t>
  </si>
  <si>
    <t>Schakelaar/wcd m randaarde (niet waterd)</t>
  </si>
  <si>
    <t>Beugel 16mm verzinkt</t>
  </si>
  <si>
    <t>Beugel 22mm verzinkt</t>
  </si>
  <si>
    <t>Beugel 38mm verzinkt</t>
  </si>
  <si>
    <t>Beugel 48mm verzinkt</t>
  </si>
  <si>
    <t>Klemzadel   5/8" (16mm) #Polfix</t>
  </si>
  <si>
    <t>Klemzadel   3/4" (19mm) #Polfix</t>
  </si>
  <si>
    <t>Klemzadel 1"    (25mm) #Polfix</t>
  </si>
  <si>
    <t>&gt;Kabelbevestigingsblok v 4 kabels12/32mm</t>
  </si>
  <si>
    <t>&gt;Kabelbevestigingsblok uitbr.set 12/32mm</t>
  </si>
  <si>
    <t>Beugel v C-profiel v vloerbevestiging</t>
  </si>
  <si>
    <t>Kabellasdoos m 3 pakkingbussen M20</t>
  </si>
  <si>
    <t>Wartel M25 metrisch 9-17mm</t>
  </si>
  <si>
    <t>Buispatroon 12kV 25A z slagst Fullrange</t>
  </si>
  <si>
    <t>Buispatroon 12kV 10A z slagst Fullrange</t>
  </si>
  <si>
    <t>Buispatroon 12kV 16A z slagst Fullrange</t>
  </si>
  <si>
    <t>Buispatroon 12kV 20A z slagst Fullrange</t>
  </si>
  <si>
    <t>Buispatroon 12kV 31,5A z slagstFullrange</t>
  </si>
  <si>
    <t>Buispatroon 12kV 50A z slagst Fullrange</t>
  </si>
  <si>
    <t>Buispatroon 12kV  6,3A +slagst Fullrange</t>
  </si>
  <si>
    <t>Buispatroon 12kV 10A m slagst Fullrange</t>
  </si>
  <si>
    <t>Buispatroon 12kV 16A m slagst Fullrange</t>
  </si>
  <si>
    <t>Buispatroon 12kV 20A m slagst Fullrange</t>
  </si>
  <si>
    <t>Buispatroon 12kV 31,5A +slagst Fullrange</t>
  </si>
  <si>
    <t>Buispatroon 12kV 50A m slagst Fullrange</t>
  </si>
  <si>
    <t>Buispatroon  3kV 40A v Magnefix MG</t>
  </si>
  <si>
    <t>Mespatroon  16A DIN-000 gG</t>
  </si>
  <si>
    <t>Mespatroon  25A DIN-000 gG</t>
  </si>
  <si>
    <t>Mespatroon  50A DIN-000 gG</t>
  </si>
  <si>
    <t>Mespatroon  63A DIN-000 gG</t>
  </si>
  <si>
    <t>Mespatroon  80A DIN-000 gG</t>
  </si>
  <si>
    <t>Mespatroon 125A DIN-00 gG</t>
  </si>
  <si>
    <t>Mespatroon 160A DIN-00 gG</t>
  </si>
  <si>
    <t>Mespatroon 315A DIN-3 gG</t>
  </si>
  <si>
    <t>Mespatroon 160A DIN-2 gG</t>
  </si>
  <si>
    <t>Mespatroon 224A DIN-2 gG</t>
  </si>
  <si>
    <t>Mespatroon 500A DIN-3 gR 690V windmolen</t>
  </si>
  <si>
    <t>Mespatroon 630A DIN-3 gR 690V windmolen</t>
  </si>
  <si>
    <t>Schroefpatroon  6A D01 traag</t>
  </si>
  <si>
    <t>Beveiligingsautomaat 16A B-kar.</t>
  </si>
  <si>
    <t>Mespatroonhouder v opst. mespatr. DIN00</t>
  </si>
  <si>
    <t>Schroefpatroonhouder D2 railmontage 3-p</t>
  </si>
  <si>
    <t>Schroefpatroonhouder D3 railmontage 3-p</t>
  </si>
  <si>
    <t>Doorverbindingsmes  160A DIN-00</t>
  </si>
  <si>
    <t>Doorverbindingsmes 1250A DIN-3</t>
  </si>
  <si>
    <t>&gt;Doorverbindingsmes 1000A DIN 4</t>
  </si>
  <si>
    <t>Schroefpatroonhouder D3 grondplaat 1-p</t>
  </si>
  <si>
    <t>Beveiligingsautomaat  6A B-kar.</t>
  </si>
  <si>
    <t>Beveiligingsautomaat 25A C-kar.</t>
  </si>
  <si>
    <t>Beveiligingsautomaat 40A C-kar.</t>
  </si>
  <si>
    <t>Beveiligingsautomaat 50A C-kar.</t>
  </si>
  <si>
    <t>Ophoogstuk 20mm v bev.automaat 25t/m80</t>
  </si>
  <si>
    <t>Afschermkap kunststof v 10kV-zijde trafo</t>
  </si>
  <si>
    <t>Naamplaat wit 200x40mm v MS-richtingen</t>
  </si>
  <si>
    <t>Railprofiel v bevestiging frames in A305</t>
  </si>
  <si>
    <t>Aansluitstrip v lastscheider</t>
  </si>
  <si>
    <t>U-profiel v opstelling trafo L=1000mm</t>
  </si>
  <si>
    <t>Strip Cu v aansl &amp; aard patrh oversteek</t>
  </si>
  <si>
    <t>U-profiel v opstelling trafo L=1200mm</t>
  </si>
  <si>
    <t>Verlichtingsgroep v Ms-ruimte</t>
  </si>
  <si>
    <t>Beugel v bev PVC-buis onder vloer MSR</t>
  </si>
  <si>
    <t>Verloopnippel M10 naar M12 v kogelbout</t>
  </si>
  <si>
    <t>Montagerail NS35/7.5 geboord 1000mm</t>
  </si>
  <si>
    <t>Aansluitkast woonboot gas/elektra</t>
  </si>
  <si>
    <t>Aansluitkast woonboot elektra</t>
  </si>
  <si>
    <t>Beugel v bevestiging LS-kabel op trafo</t>
  </si>
  <si>
    <t>Strip v vloerbev. v frame Magnefix MD/MF</t>
  </si>
  <si>
    <t>Afdekkap K-veld Magnefix MD4</t>
  </si>
  <si>
    <t>Afdekkap K-veld Magnefix MF</t>
  </si>
  <si>
    <t>Schakelkap Magnefix MF  m autoreset 450A</t>
  </si>
  <si>
    <t>Schakelkap Magnefix MF  m autoreset 250A</t>
  </si>
  <si>
    <t>Schakelkap Magnefix MF  z verklikker</t>
  </si>
  <si>
    <t>Schakelkap Magnefix MD4 m autoreset 250A</t>
  </si>
  <si>
    <t>Schakelkap Magnefix MD4 m autoreset 450A</t>
  </si>
  <si>
    <t>Schakelkap Magnefix MD4 m autoreset 600A</t>
  </si>
  <si>
    <t>Schakelkap Magnefix MD4 z verklikker</t>
  </si>
  <si>
    <t>Afbrandkontakt Magnefix MD4</t>
  </si>
  <si>
    <t>Bluskamer Magnefix MD4</t>
  </si>
  <si>
    <t>Rails  97mm railzijde Magnefix MD4</t>
  </si>
  <si>
    <t>Rails 139mm kabelzijde (boven)  Magnefix</t>
  </si>
  <si>
    <t>Rails  85mm kabelzijde (midden) Magnefix</t>
  </si>
  <si>
    <t>Rails  31mm kabelzijde (onder)  Magnefix</t>
  </si>
  <si>
    <t>Rail C-profiel L=550mm v Magnefix</t>
  </si>
  <si>
    <t>Hoofdkontakt Magnefix MD4</t>
  </si>
  <si>
    <t>Ophangrek v schakelkappen Magnefix MD4</t>
  </si>
  <si>
    <t>Box grijs m gesloten deksel 400x300x235</t>
  </si>
  <si>
    <t>Ls-rek 1000A v 8 groepen         v Alfen</t>
  </si>
  <si>
    <t>Ls-strook  400A v Ls-rek R7 en R11    TB</t>
  </si>
  <si>
    <t>Ls-strook  400A 1-P schakelbaar       JM</t>
  </si>
  <si>
    <t>Ls-strook  400A 1-P schakelb m autom. JM</t>
  </si>
  <si>
    <t>/Ls-rek 1000A v 4 groepen rechts     O&amp;K</t>
  </si>
  <si>
    <t>Adaptor v afg groep 160A              JM</t>
  </si>
  <si>
    <t>Afschermstrook Ls-rek 10cm breed</t>
  </si>
  <si>
    <t>Ls-strook 160A 1-P schakelbaar   JM</t>
  </si>
  <si>
    <t>&gt;Ls-strook  400A 1-P+ 2x inlegklem50-150</t>
  </si>
  <si>
    <t>/Ls-strook voed  910A 1-p links       JM</t>
  </si>
  <si>
    <t>/Ls-strook voed  910A 1-p rechts      JM</t>
  </si>
  <si>
    <t>PECu/PEKo PE40xCu28  5,00 SDR17,6</t>
  </si>
  <si>
    <t>PECu/PEKo PE40xCu28  7,50 SDR17,6</t>
  </si>
  <si>
    <t>Manchet rubber 180-155 x 138-104mm</t>
  </si>
  <si>
    <t>Manchet rubber 231-200 x 180-155mm</t>
  </si>
  <si>
    <t>Manchet rubber 180-155 x  85- 68mm</t>
  </si>
  <si>
    <t>Manchet rubber 282-251 x 231-200mm</t>
  </si>
  <si>
    <t>Manchet rubber 360-300 x 282-250mm</t>
  </si>
  <si>
    <t>Gasmeterkopp S Ms wrt GM3/4"xbu R3/4"#G4</t>
  </si>
  <si>
    <t>Meetnippel Ms 26 bu #SFAW21MXX</t>
  </si>
  <si>
    <t>Meetnippel Ms 26 bi #SFIW</t>
  </si>
  <si>
    <t>Afdichtplug  57x 40mm v mantelb.  63</t>
  </si>
  <si>
    <t>Mof PVC-SV  75mm verlengd Kl.33</t>
  </si>
  <si>
    <t>Mof PVC-SV 110mm verlengd Kl.33</t>
  </si>
  <si>
    <t>Mof PVC-SV 160mm verlengd Kl.33</t>
  </si>
  <si>
    <t>T-stuk MMB PVC-SV 200x160x200mm Kl.33</t>
  </si>
  <si>
    <t>Eindkap PVC-SV  90mm Kl.33</t>
  </si>
  <si>
    <t>Afsluitplug PVC-SV 1.1/2" v opzetst POLS</t>
  </si>
  <si>
    <t>Afsluitplug PVC-SV 1.1/4" v opzetst POLS</t>
  </si>
  <si>
    <t>Plug PVC-SV 1.1/4" v zadel</t>
  </si>
  <si>
    <t>Insulator segment #MINI-21</t>
  </si>
  <si>
    <t>Insulator segment #MINI-28</t>
  </si>
  <si>
    <t>Insulator segment #MIDI-21</t>
  </si>
  <si>
    <t>Insulator segment #MIDI-28</t>
  </si>
  <si>
    <t>Lasbocht St 90° 3D 323,9x5,6mm afgesch</t>
  </si>
  <si>
    <t>Las-T-stuk St 406,4x406,4mm</t>
  </si>
  <si>
    <t>Weldolet St 273,0/323,9x114,3mm 10/12x4"</t>
  </si>
  <si>
    <t>&gt;T-stuk MMB Gy 250mmx110mm</t>
  </si>
  <si>
    <t>&gt;T-stuk MMB Gy 250mmx160mm</t>
  </si>
  <si>
    <t>&gt;T-stuk MMB Gy 315mmx315mm</t>
  </si>
  <si>
    <t>&gt;T-stuk MMB Gy 250mmx250mm</t>
  </si>
  <si>
    <t>Buisklem RVS  57- 63mm B=200</t>
  </si>
  <si>
    <t>Buisklem RVS  70- 77mm B=200</t>
  </si>
  <si>
    <t>Buisklem RVS 130-150mm B=300</t>
  </si>
  <si>
    <t>Buisklem RVS 140-160mm B=300</t>
  </si>
  <si>
    <t>Buisklem RVS 159-182mm B=300</t>
  </si>
  <si>
    <t>Buisklem RVS 168-189mm B=300</t>
  </si>
  <si>
    <t>Buisklem RVS 108-128mm B=300</t>
  </si>
  <si>
    <t>Buisklem RVS 216-238mm B=300</t>
  </si>
  <si>
    <t>Blindflens St DN200 PN10 DIN2527-B</t>
  </si>
  <si>
    <t>Blindflens St DN250 PN10 DIN2527-B</t>
  </si>
  <si>
    <t>Blindflens St DN300 PN10 DIN2527-B</t>
  </si>
  <si>
    <t>&gt;Muurbeugel + rubber 29-33mm x M8</t>
  </si>
  <si>
    <t>&gt;Muurbeugel + rubber 33-37mm x M8 v 1"</t>
  </si>
  <si>
    <t>&gt;Gasm.flex DN32 Bi/Bu 1.1/4" L385</t>
  </si>
  <si>
    <t>&gt;Gasm.flex DN25 KK/Bu 1" L350 Nip.</t>
  </si>
  <si>
    <t>&gt;Gasm.flex DN50 KK/Bu 2" L520 Nip.</t>
  </si>
  <si>
    <t>&gt;Gasm.flex DN25 Bi/Bu 1" L350</t>
  </si>
  <si>
    <t>&gt;Gasm.flex DN20 Bi/Bu 3/4" L300</t>
  </si>
  <si>
    <t>Gasm.flex DN25 KK/Bu 1" L350</t>
  </si>
  <si>
    <t>Schaaldeel DN150 L=1m (1 deel) rood</t>
  </si>
  <si>
    <t>Snijring 12mm</t>
  </si>
  <si>
    <t>Snijr.kopp. knie 12mm x bu BSP1/4"</t>
  </si>
  <si>
    <t>Schuifafsluiter GGG DN 50 PN16 FL-FL</t>
  </si>
  <si>
    <t>Schuifafsluiter GGG DN 80 PN16 FL-FL</t>
  </si>
  <si>
    <t>Schuifafsluiter GGG DN100 PN16 FL-FL</t>
  </si>
  <si>
    <t>Schuifafsluiter GGG DN150 PN16 FL-FL</t>
  </si>
  <si>
    <t>&gt;Kop v spindel vierkant gat 14x14mm</t>
  </si>
  <si>
    <t>Kogelkraan ms bi/bu Rp1¼"x G1½"</t>
  </si>
  <si>
    <t>Kogelkraan ms bi/bu Rp1½"x G2"</t>
  </si>
  <si>
    <t>Kogelafsluiter GGG DN50 PN16 FL-FL</t>
  </si>
  <si>
    <t>Zinkspray (bus 500ml) #Rustoleum 2185</t>
  </si>
  <si>
    <t>Waarschuwingslint 40mmx250m "GAS"</t>
  </si>
  <si>
    <t>Anodezak 10 kg</t>
  </si>
  <si>
    <t>Lasbocht St 90° 5S  60,3x2,9mm afgesch</t>
  </si>
  <si>
    <t>Lasbocht St 90° 5S  88,9x3,2mm afgesch</t>
  </si>
  <si>
    <t>Lasflens vlak ST  88.9 PN16 DIN2576</t>
  </si>
  <si>
    <t>Spie verloop PVC-SV 160x125mm</t>
  </si>
  <si>
    <t>Manchet rubber 138-104 x  65-50mm</t>
  </si>
  <si>
    <t>Manchet rubber 273x160mm</t>
  </si>
  <si>
    <t>Onderplaat v straatpot 200x200mm</t>
  </si>
  <si>
    <t>Onderplaat v straatpot 344x244mm</t>
  </si>
  <si>
    <t>Zadel PVC-SV aft 125mmx1.1/2"</t>
  </si>
  <si>
    <t>Beproevingskap v opzetst BG SDR17,6 #POL</t>
  </si>
  <si>
    <t>Beproevingsplug PVC-SV v opzetstuk 1.1/2</t>
  </si>
  <si>
    <t>&gt;Drukregelaar FL  DN80 PN16  #DONKIN 226</t>
  </si>
  <si>
    <t>Gasmeterkopp N Ms wrt GM3/4"xbu R3/4"#G4</t>
  </si>
  <si>
    <t>Gasmeterkopp S+N Ms wrt GM3/4xbuR3/4#G4</t>
  </si>
  <si>
    <t>Pakkingring 36,5x28,5x2,0 KK1"</t>
  </si>
  <si>
    <t>Pakkingring 42,5x35,0x2,0 KK1.1/4"</t>
  </si>
  <si>
    <t>Filterelement gas 215x110x283mm #GS-5007</t>
  </si>
  <si>
    <t>Filterelement gas 123x 69x420mm #GS-5026</t>
  </si>
  <si>
    <t>Filterelement gas 180x 80x228mm #GS-5204</t>
  </si>
  <si>
    <t>Filterelement gas 308x186x410mm #GS-5011</t>
  </si>
  <si>
    <t>Filterelement gas 200x150x200mm #GS-5403</t>
  </si>
  <si>
    <t>Drukregelaar+B-kl hks gmdr-wrtm.MK 3/4"</t>
  </si>
  <si>
    <t>Gasdrukregelaar type 1843-B2-L 1"BSP</t>
  </si>
  <si>
    <t>Drukregelaar bi-bi 1"     haaks #Jea J48</t>
  </si>
  <si>
    <t>&gt;Drukregelaar bi-bi 2"    haaks #Sperryn</t>
  </si>
  <si>
    <t>Lasbocht St 90° 5D 273,0x5,0mm afgesch</t>
  </si>
  <si>
    <t>Zadel PVC-SV blsgt 250mmx2.1/2"</t>
  </si>
  <si>
    <t>Zadel PVC-SV blsgt 315mmx2.1/2"</t>
  </si>
  <si>
    <t>Mof PE100 EL-las 200mm SDR11</t>
  </si>
  <si>
    <t>Knie PE100 EL-las 45°x 63mm SDR11</t>
  </si>
  <si>
    <t>Knie PE100 EL-las 90°x 63mm SDR11</t>
  </si>
  <si>
    <t>Knie PE100 EL-las 45°x110mm SDR11</t>
  </si>
  <si>
    <t>Knie PE100 EL-las 90°x110mm SDR11</t>
  </si>
  <si>
    <t>Knie PE100 EL-las 45°x160mm SDR11</t>
  </si>
  <si>
    <t>Knie PE100 EL-las 90°x160mm SDR11</t>
  </si>
  <si>
    <t>Knie PE100 spie-eind krt 45°x200mm SDR11</t>
  </si>
  <si>
    <t>Knie PE100 spie-eind krt 90°x200mm SDR11</t>
  </si>
  <si>
    <t>Eindkap PE100 EL-las 110mm SDR11</t>
  </si>
  <si>
    <t>Eindkap PE100 EL-las 160mm SDR11</t>
  </si>
  <si>
    <t>Eindkap PE100 EL-las 200mm SDR11</t>
  </si>
  <si>
    <t>Mof verloop PE100 EL-las 110x 63mm SDR11</t>
  </si>
  <si>
    <t>Mof verloop PE100 EL-las 160x110mm SDR11</t>
  </si>
  <si>
    <t>Mof verloop PE100 EL-las 200x160mm SDR11</t>
  </si>
  <si>
    <t>Zadel PE100 aft el-las 110x 32mm</t>
  </si>
  <si>
    <t>Zadel PE100 aft el-las 160x 32mm</t>
  </si>
  <si>
    <t>Zadel PE100 aft el-las 160x 63mm</t>
  </si>
  <si>
    <t>Zadel PE100 aft el-las 200x 32mm</t>
  </si>
  <si>
    <t>Zadel PE100 aft el-las 200x 63mm</t>
  </si>
  <si>
    <t>Sleeve H5 v Axial Flow  DN50 #73404P008</t>
  </si>
  <si>
    <t>&gt;Drukregelaar+B-kl bu-GM 3/4" #SERus</t>
  </si>
  <si>
    <t>Kabelschoen 10mm2 voor KB</t>
  </si>
  <si>
    <t>Kabelkrimpmof L=150mm D=12/4mm #3M 2601</t>
  </si>
  <si>
    <t>Afdichtplug  57 x 28mm v mantelbuis 63</t>
  </si>
  <si>
    <t>Spie verloop PVC-SV 110x 63mm</t>
  </si>
  <si>
    <t>Spie verloop PVC-SV 110x 75mm</t>
  </si>
  <si>
    <t>Spie verloop PVC-SV 160x110mm</t>
  </si>
  <si>
    <t>Spie verloop PVC-SV 315x250mm</t>
  </si>
  <si>
    <t>Lasbocht St 90° 3D 406,4x6,3mm afgesch</t>
  </si>
  <si>
    <t>Lasverloop ST 168,3x159,0mm</t>
  </si>
  <si>
    <t>Lasverloop St 219,1x114,3mm</t>
  </si>
  <si>
    <t>Lasverloop St 273,0x114,3mm</t>
  </si>
  <si>
    <t>Buisklem RVS  20- 23mm B=100</t>
  </si>
  <si>
    <t>Buisklem RVS  24- 27mm B=100</t>
  </si>
  <si>
    <t>Buisklem RVS  30- 35mm B=100</t>
  </si>
  <si>
    <t>Buisklem RVS  39- 43mm B=100</t>
  </si>
  <si>
    <t>Buisklem RVS  48- 52mm B=100</t>
  </si>
  <si>
    <t>Buisklem RVS 190-210mm B=300</t>
  </si>
  <si>
    <t>Schuifafsluiter GGG DN200 PN16 FL-FL</t>
  </si>
  <si>
    <t>Schuifafsluiter GGG DN250 PN16 FL-FL</t>
  </si>
  <si>
    <t>Schuifafsluiter GGG DN300 PN16 FL-FL</t>
  </si>
  <si>
    <t>Flenspakking  DN65 PN10-40 #KLINGER SIL</t>
  </si>
  <si>
    <t>Flenspakking DN125 PN10-16 #KLINGER SIL</t>
  </si>
  <si>
    <t>Flenspakking DN300 PN10    #KLINGER SIL</t>
  </si>
  <si>
    <t>Flenspakking DN350 PN10    #KLINGER SIL</t>
  </si>
  <si>
    <t>Flenspakking DN400 PN16    #KLINGER SIL</t>
  </si>
  <si>
    <t>Flenspakking DN500 PN10    #KLINGER SIL</t>
  </si>
  <si>
    <t>Flenspakking  DN50 PN10-16 #PERMATIGHT</t>
  </si>
  <si>
    <t>Flenspakking  DN65 PN10-16 #PERMATIGHT</t>
  </si>
  <si>
    <t>Flenspakking  DN80 PN10-16 #PERMATIGHT</t>
  </si>
  <si>
    <t>Flenspakking DN100 PN10-16 #PERMATIGHT</t>
  </si>
  <si>
    <t>Flenspakking DN125 PN10-16 #PERMATIGHT</t>
  </si>
  <si>
    <t>Flenspakking DN150 PN10-16 #PERMATIGHT</t>
  </si>
  <si>
    <t>Flenspakking DN200 PN10-16 #PERMATIGHT</t>
  </si>
  <si>
    <t>Flenspakking DN250 PN10-16 #PERMATIGHT</t>
  </si>
  <si>
    <t>Flenspakking DN300 PN10    #PERMATIGHT</t>
  </si>
  <si>
    <t>Flenspakking DN400 PN10    #PERMATIGHT</t>
  </si>
  <si>
    <t>Flenspakking DN500 PN10    #PERMATIGHT</t>
  </si>
  <si>
    <t>&gt;Pakkingring 30,0x20,0x2,0 MOG</t>
  </si>
  <si>
    <t>Stopbuspakking Dspindel=16mm #Permatight</t>
  </si>
  <si>
    <t>Afdichtingskit #Wymaplast</t>
  </si>
  <si>
    <t>Kwelscherm 1000x1000x32mm</t>
  </si>
  <si>
    <t>Afdichtingspasta doorv. #STOPAQ 2100 kln</t>
  </si>
  <si>
    <t>Wikkelfolie PVC 50mm geel #IMBEMA-folie</t>
  </si>
  <si>
    <t>Afdichtingsband (teflonband)</t>
  </si>
  <si>
    <t>Isolatieband  30mm geel #DENSOLEEN AS40+</t>
  </si>
  <si>
    <t>Isolatieband  50mm zwart#DENSOLEEN AS40+</t>
  </si>
  <si>
    <t>Isolatieband 100mm geel #DENSOLEEN AS40+</t>
  </si>
  <si>
    <t>Isolatieband 19mm groen</t>
  </si>
  <si>
    <t>Isolatieband 19mm grijs</t>
  </si>
  <si>
    <t>Isolatieband 19mm bruin</t>
  </si>
  <si>
    <t>Isolatieband 19mm wit</t>
  </si>
  <si>
    <t>Wikkelband zelfvulcaniserend 19mm</t>
  </si>
  <si>
    <t>Kleefband 2-zijdig rol 25mm x 50mtr</t>
  </si>
  <si>
    <t>Verloopbus L=40mm M16 BU x M12 BI</t>
  </si>
  <si>
    <t>Zand voor metselen (zak=25kg)</t>
  </si>
  <si>
    <t>Betongrind 8-16mm grof (zak=25kg)</t>
  </si>
  <si>
    <t>Afstandhouder lang v Magnefix MD4</t>
  </si>
  <si>
    <t>Afstandhouder kort v Magnefix MD4</t>
  </si>
  <si>
    <t>Schamppaal beton 20-31x100cm</t>
  </si>
  <si>
    <t>Schuurlinnen  K50 rol=25mx38mm</t>
  </si>
  <si>
    <t>Schuurlinnen  K80 #314D (1 rol = 25mtr)</t>
  </si>
  <si>
    <t>Schuurlinnen 314D 50mm x 25m K120</t>
  </si>
  <si>
    <t>Autolampenset</t>
  </si>
  <si>
    <t>Magneetblokje m dubbelz plakband</t>
  </si>
  <si>
    <t>Schaar tbv kabelmantel</t>
  </si>
  <si>
    <t>Hangslot cilinder       85/50-2747 #Abus</t>
  </si>
  <si>
    <t>Buisfolie tbv asbest B=60cm</t>
  </si>
  <si>
    <t>Schuimprop 130rond x 200mm</t>
  </si>
  <si>
    <t>Schuimprop 190rond x 300mm</t>
  </si>
  <si>
    <t>Schuimprop 250rond x 360mm</t>
  </si>
  <si>
    <t>Schuimprop 370rond x 520mm</t>
  </si>
  <si>
    <t>Terpentine (flacon 1 liter)</t>
  </si>
  <si>
    <t>Multispray #WD40</t>
  </si>
  <si>
    <t>Antivries v ruitensproeier (FL=1 liter)</t>
  </si>
  <si>
    <t>Motorolie #15W/40</t>
  </si>
  <si>
    <t>Petroleum (flacon 1 liter) "reukloos"</t>
  </si>
  <si>
    <t>Conditioneringsvloeistof v MGF #MAC-05</t>
  </si>
  <si>
    <t>Schuimprop 4" harde achterkant</t>
  </si>
  <si>
    <t>&gt;Drukregelaar FL  DN50  30mb #DONKIN 280</t>
  </si>
  <si>
    <t>Zadel RVS T-klem DN250xFL DN100</t>
  </si>
  <si>
    <t>Mof verloop PE100 EL-las 160x125mm</t>
  </si>
  <si>
    <t>Lasverloop ST 406,4x419,0mm</t>
  </si>
  <si>
    <t>Lasverloop ST 273,0x267,0mm</t>
  </si>
  <si>
    <t>Mespatroon 250A DIN-2 gFF (supersnel)</t>
  </si>
  <si>
    <t>Mespatroon 200A DIN-2 gFF (supersnel)</t>
  </si>
  <si>
    <t>Mespatroon 160A DIN-2 gFF (supersnel)</t>
  </si>
  <si>
    <t>&gt;Zadel GY aft 110mmx1.1/2" POLSAFE</t>
  </si>
  <si>
    <t>&gt;Zadel GY aft 160mmx1.1/2" POLSAFE</t>
  </si>
  <si>
    <t>&gt;Zadel GY aft 200mmx1.1/2" POLSAFE</t>
  </si>
  <si>
    <t>Manchet rubber 530x412mm</t>
  </si>
  <si>
    <t>Schuifafsluiter GGG DN400 PN16 FL-FL</t>
  </si>
  <si>
    <t>Inlegplaatje GAS HD v straatpot190x190mm</t>
  </si>
  <si>
    <t>Manometer  6bar  100mm 1/2" ond.aansl.</t>
  </si>
  <si>
    <t>Afdichtingsring 17,5x6,2x2,5mm v manomtr</t>
  </si>
  <si>
    <t>Lasbocht St 22,5° 5D 168,3x4,0mm afgesch</t>
  </si>
  <si>
    <t>Lasbocht St 22,5° 5D 219,1x4,5mm afgesch</t>
  </si>
  <si>
    <t>Lasbocht St 22,5° 5D 406,4x6,3mm afgesch</t>
  </si>
  <si>
    <t>Nippel dubb verl Ms R3/4"xGm3/4"</t>
  </si>
  <si>
    <t>Klemmenkast v meting incl beveiliging</t>
  </si>
  <si>
    <t>Sticker v aanduiding beveil. op naampl.</t>
  </si>
  <si>
    <t>Ls-rek R8 Fr links m 2gr 160A 7 gr 400A</t>
  </si>
  <si>
    <t>Ls-rek R8 Fr rechts m 2gr 160A 7 gr400A</t>
  </si>
  <si>
    <t>Nippel dubb St 1/2"x1/2" nr 34 (zwaar)</t>
  </si>
  <si>
    <t>Kabel 10kV P1/YMeKrvaslqwd 3x 95Alrm+35</t>
  </si>
  <si>
    <t>Eindkap PE100 EL-las  75mm SDR11</t>
  </si>
  <si>
    <t>Zadel PE100 aft el-las  75x 40mm</t>
  </si>
  <si>
    <t>Kabel 20kV P1/Y MeKrvaslqwd 3x240Alrm+35</t>
  </si>
  <si>
    <t>Kabel 20kV P1/Y MeKrvaslqwd 1x630Alrm+35</t>
  </si>
  <si>
    <t>Straatpot 344x244mm zonder inlegplaatje</t>
  </si>
  <si>
    <t>Afslagveiligheid 1"    150mbar    #OPSO</t>
  </si>
  <si>
    <t>Bocht PVC-SV 30°x 63mm Kl.33</t>
  </si>
  <si>
    <t>Bocht PVC-SV 11°x315mm Kl.33</t>
  </si>
  <si>
    <t>Afdichtplug 152  x110mm v mantelbuis 160</t>
  </si>
  <si>
    <t>Inlegplaatje GAS v straatpot   344x244mm</t>
  </si>
  <si>
    <t>Insulator segment #MINI-16,5</t>
  </si>
  <si>
    <t>Holfrees v ST/GY/NG 22,4mm #Kleiss1004HM</t>
  </si>
  <si>
    <t>Holfrees v ST/GY/NG 29,5mm #Kleiss1004HM</t>
  </si>
  <si>
    <t>Holfrees v ST/GY/NG 39,0mm #Kleiss1004HM</t>
  </si>
  <si>
    <t>Holfrees v ST/GY/NG 49,0mm #Kleiss1004HM</t>
  </si>
  <si>
    <t>Schilboor v PVC 22,4mm #Kleiss</t>
  </si>
  <si>
    <t>Schilboor v PVC 29,5mm #Kleiss</t>
  </si>
  <si>
    <t>Schilboor v PVC 39,0mm #Kleiss</t>
  </si>
  <si>
    <t>Schilboor v PVC 49,0mm #Kleiss</t>
  </si>
  <si>
    <t>Slangnippel v propaan R3/8"#Sievert 7091</t>
  </si>
  <si>
    <t>Perskabelschoen 185mm2 Cu   gat=17mm DIN</t>
  </si>
  <si>
    <t>Opzetstuk PVC-SV BG 2.1/2" Polsafe</t>
  </si>
  <si>
    <t>Smeermiddel 500ml #Interflon Fin Lube TF</t>
  </si>
  <si>
    <t>Ontvetter/reiniger#Interflon Metal Clean</t>
  </si>
  <si>
    <t>Schuimreiniger 500ml#CRC Foam Cleaner</t>
  </si>
  <si>
    <t>Paal 4KT 10x10x120cm kunststof zwart</t>
  </si>
  <si>
    <t>Kabelbevestigingsblok v 1 kabel 50-75mm</t>
  </si>
  <si>
    <t>Sticker -SPANNING LEVENSGEVAARLIJK-</t>
  </si>
  <si>
    <t>Sticker -HOGE SPANNING LEVENSGEVAARLIJK-</t>
  </si>
  <si>
    <t>/Trafo-aansluitklem LS M20 250kVA/400kVA</t>
  </si>
  <si>
    <t>/Trafo-aansluitklem LS M30 630kVA</t>
  </si>
  <si>
    <t>&gt;Afdekkap v trafoklem LS 250/400/630kVA</t>
  </si>
  <si>
    <t>&gt;Afdekkap v trafoklem LS 1000kVA</t>
  </si>
  <si>
    <t>Lasbocht St 45° 5D 168,3x4,0mm afgesch</t>
  </si>
  <si>
    <t>Aanwijsblok 25mm letter "F"  geel/zwart</t>
  </si>
  <si>
    <t>Noppenfolie 2-laags 28,5cmx50mtr</t>
  </si>
  <si>
    <t>Ringsleutel haaks VDE 17mm</t>
  </si>
  <si>
    <t>Ringsleutel haaks VDE 19mm (tegenhouder)</t>
  </si>
  <si>
    <t>Tapeind-uitdraaier M14-M18 (9/16"-3/4")</t>
  </si>
  <si>
    <t>Demontagewiggen 63mm (set 2stuks) 2"</t>
  </si>
  <si>
    <t>Demontagewiggen 20mm (set 2stuks)   1/2"</t>
  </si>
  <si>
    <t>/Blokkeringsplaat m bedieningsstok    !K</t>
  </si>
  <si>
    <t>Aardingsstok v COQ-install (uitv. ENW)!K</t>
  </si>
  <si>
    <t>Installatiebuis 1" slagvast (LT=4m)</t>
  </si>
  <si>
    <t>Installatiebuis 1.1/4" slagvast (LT=4m)</t>
  </si>
  <si>
    <t>Install.draad VD  4mm2 blauw (100meter)</t>
  </si>
  <si>
    <t>Install.draad VD  4mm2 bruin</t>
  </si>
  <si>
    <t>Install.draad VD  6mm2 groen/gl massief</t>
  </si>
  <si>
    <t>Install.draad VD 10mm2 bruin samengeslag</t>
  </si>
  <si>
    <t>Install.draad VD 10mm2 zwart samengeslag</t>
  </si>
  <si>
    <t>Install.draad VD  1,5mm2 zwart</t>
  </si>
  <si>
    <t>Install.draad VD  2,5mm2 blauw</t>
  </si>
  <si>
    <t>Install.draad VD  2,5mm2 bruin</t>
  </si>
  <si>
    <t>Install.draad VD  2,5mm2 groen/geel</t>
  </si>
  <si>
    <t>Install.draad VD  2,5mm2 zwart</t>
  </si>
  <si>
    <t>Install.draad VD  6mm2 blauw massief</t>
  </si>
  <si>
    <t>Install.draad VD  6mm2 zwart massief</t>
  </si>
  <si>
    <t>Install.draad VD 10mm2 blauw samengeslag</t>
  </si>
  <si>
    <t>Install.draad VDS 10mm2 blauw soepel</t>
  </si>
  <si>
    <t>Install.draad VDS 10mm2 zwart soepel</t>
  </si>
  <si>
    <t>Kabelbeschermbuis PVC 110x3,2 rood L=6m</t>
  </si>
  <si>
    <t>Kabelbeschermbuizen</t>
  </si>
  <si>
    <t>Inlegplaatje GAS HD v straatpot344x244mm</t>
  </si>
  <si>
    <t>Kopp.2-dlg Ms gas wrt 1.1/2" x bu R5/4"</t>
  </si>
  <si>
    <t>Kopp. 2-dlg Ms gas wrt 1"    x bu R3/4"</t>
  </si>
  <si>
    <t>Steunbus RVS D=200 v PVC-SV-buis SDR41</t>
  </si>
  <si>
    <t>Steunbus RVS D=250 v PVC-SV-buis SDR41</t>
  </si>
  <si>
    <t>Kabel YMz1K 0.6/1kV 5x10 Cu</t>
  </si>
  <si>
    <t>Kabel VO-YMvKas  3x2,5 + as 2,5</t>
  </si>
  <si>
    <t>Kabel VO/VG-YMvKas  3x10  + as 10</t>
  </si>
  <si>
    <t>Kabel VO-YMvKas  3x6   + as 6</t>
  </si>
  <si>
    <t>Amperetang 1000A                      !K</t>
  </si>
  <si>
    <t>Gasmeterkopp S verl G6-bu1"&gt;G4-wrt3/4</t>
  </si>
  <si>
    <t>Snijr.kopp. knie 12mm x bu BSP1/2"</t>
  </si>
  <si>
    <t>Snijr.kopp. recht 12mm x bu BSP1/4"</t>
  </si>
  <si>
    <t>&gt;Gasm.flex DN40 KK/Bu 1.1/2" L470 ISO</t>
  </si>
  <si>
    <t>Hangslot 2.7.x beugel 30mm +2sl    #Lips</t>
  </si>
  <si>
    <t>Cilinder europr 2.7.x EZ 40/10 +2sl#Lips</t>
  </si>
  <si>
    <t>Hangslot 2.1 beugel 30mm           #Lips</t>
  </si>
  <si>
    <t>Cilinder europr 2.1 EZ 40/10       #Lips</t>
  </si>
  <si>
    <t>Vouwdoos 675x395x300mm</t>
  </si>
  <si>
    <t>Pasring v ombouwset G65 1-pijps</t>
  </si>
  <si>
    <t>Ombouwset balg 1-pijps &gt; rotor  G40</t>
  </si>
  <si>
    <t>Blindklinknagel Al+St ELVZ 4,0x16 ds500</t>
  </si>
  <si>
    <t>Blindklinknagel Al+St ELVZ 4,0x20 ds500</t>
  </si>
  <si>
    <t>Bout-Halfeisen 10x30-st.type 40/22 ds100</t>
  </si>
  <si>
    <t>Carrosseriering vlak St M6 ELVZ ds100</t>
  </si>
  <si>
    <t>&gt;Carrosseriering vlak St M8 ELVZ ds250</t>
  </si>
  <si>
    <t>Draadstang St8.8 M 6x1000 ELVZ</t>
  </si>
  <si>
    <t>Draadstang St8.8 M 8x1000 ELVZ</t>
  </si>
  <si>
    <t>Draadstang St8.8 M10x1000 ELVZ</t>
  </si>
  <si>
    <t>Draadstang St8.8 M12x1000 ELVZ</t>
  </si>
  <si>
    <t>Draadstang St8.8 M16x1000 ELVZ</t>
  </si>
  <si>
    <t>Draadstang St8.8 M20x1000 ELVZ</t>
  </si>
  <si>
    <t>Houtdraadbout St4.8 6x20 ELVZ ds200</t>
  </si>
  <si>
    <t>Houtdraadbout St4.8 6x25 ELVZ ds200</t>
  </si>
  <si>
    <t>Houtdraadbout St4.8 6x30 ELVZ ds200</t>
  </si>
  <si>
    <t>Houtdraadbout St4.8 6x35 ELVZ ds200</t>
  </si>
  <si>
    <t>Houtdraadbout St4.8 6x40 ELVZ ds200</t>
  </si>
  <si>
    <t>Houtdraadbout St4.8 8x25 ELVZ ds200</t>
  </si>
  <si>
    <t>Houtdraadbout St4.8 8x30 ELVZ ds200</t>
  </si>
  <si>
    <t>Houtdraadbout St4.8 8x40 ELVZ ds200</t>
  </si>
  <si>
    <t>Houtdraadbout St4.8 8x50 ELVZ ds200</t>
  </si>
  <si>
    <t>Houtdraadbout St4.8 8x60 ELVZ ds200</t>
  </si>
  <si>
    <t>Keilbouthuls ankerstang M8x50x10elvz a50</t>
  </si>
  <si>
    <t>Keilbouthuls ankerstang M8x50x20elvz a50</t>
  </si>
  <si>
    <t>Keilbout M10/20X94mm elvz (vpe=25)</t>
  </si>
  <si>
    <t>Keilbouthuls ankerst. M12x80x35elvz ds25</t>
  </si>
  <si>
    <t>Keilbouthuls St8.8 M10x60+moer elvz ds50</t>
  </si>
  <si>
    <t>Metaalschroef bck kk  M4x16 ELVZ ds200</t>
  </si>
  <si>
    <t>Metaalschroef bck kk  M4x20 ELVZ ds200</t>
  </si>
  <si>
    <t>Metaalschroef bck kk  M4x25 ELVZ ds200</t>
  </si>
  <si>
    <t>Metaalschroefbck kk  M4x30 ELVZ ds200</t>
  </si>
  <si>
    <t>Metaalschroef bck kk  M4x40 ELVZ ds200</t>
  </si>
  <si>
    <t>Metaalschroef bck kk  M5x16 ELVZ ds200</t>
  </si>
  <si>
    <t>Metaalschroef bck kk  M5x20 ELVZ ds200</t>
  </si>
  <si>
    <t>Metaalschroef bck kk  M5x25 ELVZ ds200</t>
  </si>
  <si>
    <t>Metaalschroef bck kk  M6x16 ELVZ ds200</t>
  </si>
  <si>
    <t>&gt;Muurplug Nylon #Fischer  S5 ds100</t>
  </si>
  <si>
    <t>&gt;Muurplug Nylon #Fischer  S6 ds100</t>
  </si>
  <si>
    <t>&gt;Muurplug Nylon #Fischer  S8 ds100</t>
  </si>
  <si>
    <t>&gt;Muurplug Nylon #Fischer S10 ds50</t>
  </si>
  <si>
    <t>&gt;Muurplug Nylon #Fischer S12 ds25</t>
  </si>
  <si>
    <t>Nagelplug Nylon #Fischer N6x60 ds50</t>
  </si>
  <si>
    <t>Plaatschroef bck kk 5,5x16 mont.pl ds200</t>
  </si>
  <si>
    <t>Slaganker St EA M8 ELVZ ds100</t>
  </si>
  <si>
    <t>Sluitring vlak St  M4 ELVZ ds250</t>
  </si>
  <si>
    <t>Sluitring vlak St M12 ELVZ</t>
  </si>
  <si>
    <t>Sluitring vlak RVS/A2 M16</t>
  </si>
  <si>
    <t>Sluitring vlak RVS/A2 M20</t>
  </si>
  <si>
    <t>Sluitring vlak RVS/A2 M24</t>
  </si>
  <si>
    <t>Sluitring facet Ms M30</t>
  </si>
  <si>
    <t>Spaanplaatschroef bck kk  4  x12  ds200</t>
  </si>
  <si>
    <t>Plaatschroef bck kk  4x20  ds200</t>
  </si>
  <si>
    <t>Spaanplaatschroef ck kk  4  x25  ds200</t>
  </si>
  <si>
    <t>Spaanplaatschroef ck kk  4  x30  ds200</t>
  </si>
  <si>
    <t>Spaanplaatschroef ck kk  4  x35  ds200</t>
  </si>
  <si>
    <t>Spaanplaatschroef ck kk  4  x40  ds200</t>
  </si>
  <si>
    <t>Spaanplaatschroef ck kk  4  x45  ds200</t>
  </si>
  <si>
    <t>Spaanplaatschroef ck kk  4  x50  ds200</t>
  </si>
  <si>
    <t>Spaanplaatschroef ck kk  4  x60  ds200</t>
  </si>
  <si>
    <t>Spaanplaatschroef ck kk  4,5x25  ds200</t>
  </si>
  <si>
    <t>Spaanplaatschroef ck kk  4,5x30  ds200</t>
  </si>
  <si>
    <t>Spaanplaatschroef bck kk  4,5x45  ds200</t>
  </si>
  <si>
    <t>Spaanplaatschroef ck kk  4,5x50  ds200</t>
  </si>
  <si>
    <t>Spaanplaatschroef ck kk  5  x20  ds200</t>
  </si>
  <si>
    <t>Spaanplaatschroef ck kk  5  x25  ds200</t>
  </si>
  <si>
    <t>Spaanplaatschroef ck kk  5  x30  ds200</t>
  </si>
  <si>
    <t>Spaanplaatschroef ck kk  5  x35  ds200</t>
  </si>
  <si>
    <t>Spaanplaatschroef ck kk  5  x40  ds200</t>
  </si>
  <si>
    <t>Spaanplaatschroef ck kk  5  x45  ds200</t>
  </si>
  <si>
    <t>Spaanplaatschroef ck kk  5  x50  ds200</t>
  </si>
  <si>
    <t>Spaanplaatschroef ck kk  5  x60  ds200</t>
  </si>
  <si>
    <t>Spaanplaatschroef ck kk  5  x70  ds200</t>
  </si>
  <si>
    <t>Spaanplaatschroef ck kk  5  x80  ds200</t>
  </si>
  <si>
    <t>Spreidplug Messing M8 x 30 ds100</t>
  </si>
  <si>
    <t>Spreidplug Messing M10 x 34 ds100</t>
  </si>
  <si>
    <t>Houtdraadeind + zkt St M8x70 ELVZ ds100</t>
  </si>
  <si>
    <t>Houtdraadeind +zkt St M8x120 ELVZ ds100</t>
  </si>
  <si>
    <t>Tapbout zkt Kuprodur M8x20         ds200</t>
  </si>
  <si>
    <t>Tapbout zkt Kuprodur M8x25         ds200</t>
  </si>
  <si>
    <t>Tapbout zkt Kuprodur M12x30</t>
  </si>
  <si>
    <t>Tapbout zkt Kuprodur M12x60</t>
  </si>
  <si>
    <t>Tapbout zkt St8.8 M6x40 THVZ  ds200</t>
  </si>
  <si>
    <t>Tapbout zkt St8.8 M8x16 THVZ  ds200</t>
  </si>
  <si>
    <t>Tapbout zkt St8.8 M8x20 THVZ  ds200</t>
  </si>
  <si>
    <t>Tapbout zkt St8.8 M8x25 THVZ  ds200</t>
  </si>
  <si>
    <t>Tapbout zkt St8.8 M8x30 THVZ  ds200</t>
  </si>
  <si>
    <t>Tapbout zkt St8.8 M8x40 THVZ  ds200</t>
  </si>
  <si>
    <t>Tapbout zkt St8.8 M8x50 THVZ  ds200</t>
  </si>
  <si>
    <t>Tapbout zkt St8.8 M10x30 THVZ ds200</t>
  </si>
  <si>
    <t>Tapbout zkt St8.8 M10x40 THVZ ds100</t>
  </si>
  <si>
    <t>Tapbout zkt St8.8 M10x50 THVZ ds100</t>
  </si>
  <si>
    <t>Tapbout zkt St8.8 M12x16 ELVZ</t>
  </si>
  <si>
    <t>Tapbout zkt St8.8 M12x20 THVZ</t>
  </si>
  <si>
    <t>Tapbout zkt St8.8 M12x25 THVZ</t>
  </si>
  <si>
    <t>Tapbout zkt St8.8 M12x30 THVZ</t>
  </si>
  <si>
    <t>Tapbout zkt St8.8 M12x40 THVZ</t>
  </si>
  <si>
    <t>Tapbout zkt St8.8 M12x50 THVZ</t>
  </si>
  <si>
    <t>&gt;Tapbout zkt RVS/A2 M16x40 PTFE gecoat</t>
  </si>
  <si>
    <t>Veerring St M4 ELVZ  ds250</t>
  </si>
  <si>
    <t>Veerring RVS/A2 M12</t>
  </si>
  <si>
    <t>Veerring RVS/A2 M16</t>
  </si>
  <si>
    <t>&gt;Zeskantbout RVS/A2 M16x120 PTFE gecoat</t>
  </si>
  <si>
    <t>Zeskantmoer kuprodur  M8 ds250</t>
  </si>
  <si>
    <t>Zeskantmoer kuprodur M12</t>
  </si>
  <si>
    <t>Zeskantmoer St8.8  M4 ELVZ  ds250</t>
  </si>
  <si>
    <t>Zeskantmoer St8.8  M5 ELVZ  ds250</t>
  </si>
  <si>
    <t>Zeskantmoer St8.8  M6 ELVZ  ds250</t>
  </si>
  <si>
    <t>Zeskantmoer St8.8  M8 ELVZ  ds250</t>
  </si>
  <si>
    <t>Zeskantmoer St8.8 M10 ELVZ ds250</t>
  </si>
  <si>
    <t>Zeskantmoer St8.8 M12 ELVZ</t>
  </si>
  <si>
    <t>Zeskantmoer St8.8 M16 ELVZ</t>
  </si>
  <si>
    <t>Zeskantplaatschroef+ring 6,5x20 ds200</t>
  </si>
  <si>
    <t>Sperkop E27 v langdurige vergrend. zwart</t>
  </si>
  <si>
    <t>Sperkop E33 v langdurige vergrend. zwart</t>
  </si>
  <si>
    <t>Sleutel v sperkop E27+E33 m zwarte kop</t>
  </si>
  <si>
    <t>Veerring St M12 ELVZ</t>
  </si>
  <si>
    <t>Buispatroon 20kV 40A m slagst Fullrange</t>
  </si>
  <si>
    <t>Rilapparaat v koperbuis 15 en 22mm</t>
  </si>
  <si>
    <t>Rilapparaat v koperbuis 28 en 35mm</t>
  </si>
  <si>
    <t>Sleutel v lichtmastdeur (Kaalfixsleutel)</t>
  </si>
  <si>
    <t>PECu/PEKo PE40xCu35  3,75 SDR17,6</t>
  </si>
  <si>
    <t>PECu/PEKo PE40xCu35  5,00 SDR17,6</t>
  </si>
  <si>
    <t>PECu/PEKo PE40xCu35  7,50 SDR17,6</t>
  </si>
  <si>
    <t>PECu/PEKo PE40xCu35 10,00 SDR17,6</t>
  </si>
  <si>
    <t>PECu/PEKo PE40xCu28 10,00 SDR17,6</t>
  </si>
  <si>
    <t>PECu/PEKo PE40xCu28 12,50 SDR17,6</t>
  </si>
  <si>
    <t>PECu/PEKo PE40xCu35 12,50 SDR17,6</t>
  </si>
  <si>
    <t>Gasfles propaan 5 kg vol</t>
  </si>
  <si>
    <t>Gasfles propaan 10,5 kg vol</t>
  </si>
  <si>
    <t>Adereindhuls 10,0mm2 rood L=18mm</t>
  </si>
  <si>
    <t>&gt;Tapbout zkt RVS/A2 M16x50</t>
  </si>
  <si>
    <t>Tapbout zkt St8.8 M12x60 THVZ</t>
  </si>
  <si>
    <t>Veerring RVS/A2 M20</t>
  </si>
  <si>
    <t>Veerring RVS/A2 M24</t>
  </si>
  <si>
    <t>Drukregelaar+VAK FL DN50  30mbar #J125</t>
  </si>
  <si>
    <t>Nippel dubb verl Ms R1"    x R  3/4" con</t>
  </si>
  <si>
    <t>Nippel dubb verl Ms R1.1/2"x R1.1/4" con</t>
  </si>
  <si>
    <t>Ring verl Ms R1"    x Rp  1/2" conisch</t>
  </si>
  <si>
    <t>Ring verl Ms R1.1/4"x Rp  3/4" conisch</t>
  </si>
  <si>
    <t>Ring verl Ms R1.1/4"x Rp1"     conisch</t>
  </si>
  <si>
    <t>Kabel YMvK  4x 2,5mm2</t>
  </si>
  <si>
    <t>Kabel VO-YMvKas  4x2,5 + as 2,5</t>
  </si>
  <si>
    <t>Zakbuis RVS 125mm 1/4" tbv combinippel</t>
  </si>
  <si>
    <t>Zakbuis RVS 145mm 1/4" tbv combinippel</t>
  </si>
  <si>
    <t>Cilinder europr 2.1 EZ 30/10       #Lips</t>
  </si>
  <si>
    <t>Cilinder europr 2.7.x EZ 30/10 +2sl#Lips</t>
  </si>
  <si>
    <t>Zadel RVS aft-blsgt 108-128x1.1/2" POLSA</t>
  </si>
  <si>
    <t>Zadel RVS aft 216-238x1.1/2" POLSAFE</t>
  </si>
  <si>
    <t>Zadel RVS aft 260-280x1.1/2" POLSAFE</t>
  </si>
  <si>
    <t>Zadel RVS aft 282-302x1.1/2" POLSAFE</t>
  </si>
  <si>
    <t>Zadel RVS aft 314-334x1.1/2" POLSAFE</t>
  </si>
  <si>
    <t>Zadel RVS aft-blsgt  88-110x1.1/2" POLSA</t>
  </si>
  <si>
    <t>Zadel RVS aft 114-134x2"     POLSAFE</t>
  </si>
  <si>
    <t>Zadel RVS aft 216-238x2"     POLSAFE</t>
  </si>
  <si>
    <t>Zadel RVS aft 260-280x2"     POLSAFE</t>
  </si>
  <si>
    <t>Zadel RVS aft 282-302x2"     POLSAFE</t>
  </si>
  <si>
    <t>Zadel RVS aft 314-334x2"     POLSAFE</t>
  </si>
  <si>
    <t>Zadel RVS aft  88-110x2"     POLSAFE</t>
  </si>
  <si>
    <t>Zadel RVS blsgt 260-280x2.1/2" POLSAFE</t>
  </si>
  <si>
    <t>Zadel RVS blsgt 282-302x2.1/2" POLSAFE</t>
  </si>
  <si>
    <t>Zadel RVS blsgt 314-334x2.1/2" POLSAFE</t>
  </si>
  <si>
    <t>Zegelkap 63/78 MIC75xPE50 &amp;MK2.1/2"-G25</t>
  </si>
  <si>
    <t>Aanwijsblok 25mm letter "G"  geel/zwart</t>
  </si>
  <si>
    <t>Doos met onderdelen v Magnefix MD4 KKT</t>
  </si>
  <si>
    <t>Doos met onderdelen v Magnefix MD4 KKKT</t>
  </si>
  <si>
    <t>Adapter v stelcilinder Rotadisk RD10</t>
  </si>
  <si>
    <t>Adapter v stelcilinder Rotadisk RD20</t>
  </si>
  <si>
    <t>Splitswig kunststof rood zwaar 240mm VDE</t>
  </si>
  <si>
    <t>Zaagblad 150mm junior v metaal (zak=10st</t>
  </si>
  <si>
    <t>Adapter RVS bu BSPT 1"xbi 1.1/2" Pols ZR</t>
  </si>
  <si>
    <t>Adapter RVS bu BSP2" x bi Polsafe 2" MR</t>
  </si>
  <si>
    <t>Adapter RVS bu BSP1.1/2" x bi Pols1.1/2"</t>
  </si>
  <si>
    <t>Mof PVC-SV 250mm verlengd Kl.33</t>
  </si>
  <si>
    <t>Steunbus RVS D=400 v PE-buis SDR17,6</t>
  </si>
  <si>
    <t>Mof PVC-SV 315mm verlengd Kl.33</t>
  </si>
  <si>
    <t>Opzetstuk PVC-SV KR 63mmx2"     SDR17,6</t>
  </si>
  <si>
    <t>Afsluitplug PVC-SV 2" v opzet KR63x2"</t>
  </si>
  <si>
    <t>Stuurdrukregelaar 2,41-6,90 bar #61HP</t>
  </si>
  <si>
    <t>Stuurdrukregelaar 0,35-1,03 bar #61LD</t>
  </si>
  <si>
    <t>Steunbus RVS D=400 v PE-buis SDR11</t>
  </si>
  <si>
    <t>Overgangstuk PE100 110 SDR11/St 88,9x3,6</t>
  </si>
  <si>
    <t>Overgangstuk PE100 160 SDR11/St168,3x4,5</t>
  </si>
  <si>
    <t>Overgangstuk PE100 200 SDR11/St219,1x5,0</t>
  </si>
  <si>
    <t>Zadel PE blsgt el-las  63x1.1/2" POLSAFE</t>
  </si>
  <si>
    <t>Zadel PE blsgt el-las  75x1.1/2" POLSAFE</t>
  </si>
  <si>
    <t>Zadel PE blsgt el-las125x1.1/2" POL</t>
  </si>
  <si>
    <t>Zadel PE blsgt el-las 160x2"     POLSAFE</t>
  </si>
  <si>
    <t>Adapter RVS bu BSP1.1/4"xbi Polsa1.1/2MR</t>
  </si>
  <si>
    <t>Adapter RVS bu BSP1" x bi Pols 1.1/2" MR</t>
  </si>
  <si>
    <t>Wateronthardingzout #Broxo 6-15(25kg)</t>
  </si>
  <si>
    <t>Knie PE100 EL-las 45°x 75mm SDR11</t>
  </si>
  <si>
    <t>Knie PE100 EL-las 90°x 75mm SDR11</t>
  </si>
  <si>
    <t>Talkvet tbv holfrees type 1004 #Kleiss</t>
  </si>
  <si>
    <t>Centreerboor tbv holfrees 1004 #Kleiss</t>
  </si>
  <si>
    <t>Aanboorkist gecomb t/m DN200 v P3Kleiss</t>
  </si>
  <si>
    <t>Holfrees v AC 22,4mm #Kleiss 1006HM</t>
  </si>
  <si>
    <t>Holfrees v AC 29,5mm #Kleiss 1006HM</t>
  </si>
  <si>
    <t>Holfrees v AC 39,0mm #Kleiss 1006HM</t>
  </si>
  <si>
    <t>Holfrees v AC 49,0mm #Kleiss 1006HM</t>
  </si>
  <si>
    <t>Manometer 0-160mbar v P-meting #Kleiss</t>
  </si>
  <si>
    <t>Demontagewiggen 25mm (set 2stuks)   3/4"</t>
  </si>
  <si>
    <t>Demontagewiggen 32mm (set 2stuks) 1"</t>
  </si>
  <si>
    <t>Demontagewiggen 40mm (set 2stuks) 1.1/4"</t>
  </si>
  <si>
    <t>Demontagewiggen 50mm (set 2stuks) 1.1/2"</t>
  </si>
  <si>
    <t>Vouwdoos 305x215x250mm</t>
  </si>
  <si>
    <t>Vouwdoos 450x320x320mm</t>
  </si>
  <si>
    <t>Poetsdoekhouder voor Tork-Toppak</t>
  </si>
  <si>
    <t>Poetsdoek Tork Multi Top-Pak (120st) GRY</t>
  </si>
  <si>
    <t>Poetsdoek Tork Strong Toppak (105st) WIT</t>
  </si>
  <si>
    <t>Poetsdoek TorkMulti Pro-Box ds=210st</t>
  </si>
  <si>
    <t>Poetsdoek TorkMulti sterk Pro-Box 180vel</t>
  </si>
  <si>
    <t>Stretchfolie v pallets 50cm 1700m 20my</t>
  </si>
  <si>
    <t>Cilinder europr 1.6.x EZ 30/10 +2sl#Lips</t>
  </si>
  <si>
    <t>Hangslot 1.6.x beugel 30mm +2sl    #Lips</t>
  </si>
  <si>
    <t>Hangslot 2.6 beugel 30mm           #Lips</t>
  </si>
  <si>
    <t>Bedieningsstok v eindsluiting type KAP</t>
  </si>
  <si>
    <t>Mespatroon   6A DIN-000 gG</t>
  </si>
  <si>
    <t>Kabel YmvK ss  1x185mm2 soepel v trafo</t>
  </si>
  <si>
    <t>Kabel YmvK ss  1x300mm2 soepel v trafo</t>
  </si>
  <si>
    <t>Afslagveiligheid FL DN100 Pi=8b Pa=210mb</t>
  </si>
  <si>
    <t>Eindkap mall St   3/4" TV #Primofit</t>
  </si>
  <si>
    <t>Eindkap mall St 1" TV #Primofit</t>
  </si>
  <si>
    <t>Eindkap mall St 1.1/4" TV #Primofit</t>
  </si>
  <si>
    <t>Eindkap mall St 1.1/2" TV #Primofit</t>
  </si>
  <si>
    <t>Eindkap mall St 2" TV #Primofit</t>
  </si>
  <si>
    <t>Schuifafsluiter PE+GGG 160mm PN10 EL-EL</t>
  </si>
  <si>
    <t>Schuifafsluiter PE+GGG 200mm PN10 EL-EL</t>
  </si>
  <si>
    <t>Schuifafsluiter PE+GGG 250mm PN10 EL-EL</t>
  </si>
  <si>
    <t>Plakband oranje "BREEKBAAR" (v dozen)</t>
  </si>
  <si>
    <t>+Steekbats (schop) 000 m steel 120cm</t>
  </si>
  <si>
    <t>Zegelkap 42/58 MK1"-G6</t>
  </si>
  <si>
    <t>Cilinder europr 2.7.x EZ 50/10 +2sl#Lips</t>
  </si>
  <si>
    <t>Schuifafsluiter ST 323,9mm PN16 L-L</t>
  </si>
  <si>
    <t>Puntbeitel 400mm tbv 20037684</t>
  </si>
  <si>
    <t>Koffer metaal v Certicriptang</t>
  </si>
  <si>
    <t>Opzetstuk PVC-SV KR 25mmx1.1/2" SDR17,6</t>
  </si>
  <si>
    <t>Opzetstuk PVC-SV KR 32mmx1.1/2" SDR17,6</t>
  </si>
  <si>
    <t>Kopp. mall St 1"    xPE32 TV+bus SDR17,6</t>
  </si>
  <si>
    <t>Buis PE80 geel  32x 2,3 SDR17,6    rol50</t>
  </si>
  <si>
    <t>Buis PE80 geel  32x 2,3 SDR17,6   rol100</t>
  </si>
  <si>
    <t>PECu/PEKo PE25xCu15  2,50 SDR17,6</t>
  </si>
  <si>
    <t>PECu/PEKo PE25xCu15  5,00 SDR17,6</t>
  </si>
  <si>
    <t>Steunbusset v PEKO 25x2,3 SDR17,6nw/11ou</t>
  </si>
  <si>
    <t>Steunbusset v PEKO 32x2,3 SDR17,6</t>
  </si>
  <si>
    <t>Steunbusset v PEKO 25x2,0 SDR17,6 oud</t>
  </si>
  <si>
    <t>Steunbusset v PEKO 32x2,0 SDR17,6 oud</t>
  </si>
  <si>
    <t>Steunbusset v PEKO 32x3,0 SDR11</t>
  </si>
  <si>
    <t>Splitswig knipspread nylon 250mm VDE</t>
  </si>
  <si>
    <t>Spindel v afsluiter DN400 v KK32 #AVK</t>
  </si>
  <si>
    <t>Paklijstenveloppen zelfkl A5 (ds=1000st)</t>
  </si>
  <si>
    <t>Paklijstenveloppen zelfkl A6 (ds=1000st)</t>
  </si>
  <si>
    <t>Revisieset v regelaar RMG402-DN50-K4-620</t>
  </si>
  <si>
    <t>Revisieset v regelaar Fisher 99HT-61L/2"</t>
  </si>
  <si>
    <t>Revisieset v regelaar Fisher 99-42-HT 2"</t>
  </si>
  <si>
    <t>Blokkeringsplaat klein MS VDE         !K</t>
  </si>
  <si>
    <t>Timmermansduimstok PVC geel 4-delig 1m</t>
  </si>
  <si>
    <t>Luchtkussenenveloppen 27x36cm (ds=50st)</t>
  </si>
  <si>
    <t>Luchtkussenenveloppen 18x26cm (ds=100st)</t>
  </si>
  <si>
    <t>Hangslot 1.2 beugel 30mm           #Lips</t>
  </si>
  <si>
    <t>Autolader 12V v gasdetector EX-TEC PM4</t>
  </si>
  <si>
    <t>Cilinder europr 1.2 EZ 40/10       #Lips</t>
  </si>
  <si>
    <t>Cilinder europr 1.2 EZ 45/10       #Lips</t>
  </si>
  <si>
    <t>Cilinder europr 1.2 EZ 50/10       #Lips</t>
  </si>
  <si>
    <t>Cilinder europr 1.2 EZ 65/10       #Lips</t>
  </si>
  <si>
    <t>Cilinder europr 1.2 EZ 70/10       #Lips</t>
  </si>
  <si>
    <t>Cilinder europr 1.3 EZ 40/10       #Lips</t>
  </si>
  <si>
    <t>Cilinder europr 1.3 EZ 45/10       #Lips</t>
  </si>
  <si>
    <t>Cilinder europr 1.3 EZ 50/10       #Lips</t>
  </si>
  <si>
    <t>Cilinder europr 1.4 EZ 30/10       #Lips</t>
  </si>
  <si>
    <t>Cilinder europr 1.6.x EZ 40/10 +2sl#Lips</t>
  </si>
  <si>
    <t>Cilinder europr 1.6.x EZ 45/10 +2sl#Lips</t>
  </si>
  <si>
    <t>Cilinder europr 1.6.x EZ 55/10 +2sl#Lips</t>
  </si>
  <si>
    <t>Cilinder europr 1.6.x EZ 65/10 +2sl#Lips</t>
  </si>
  <si>
    <t>Cilinder europr 1.6.x EZ 75/10 +2sl#Lips</t>
  </si>
  <si>
    <t>Cilinder europr 2.1 EZ 45/10       #Lips</t>
  </si>
  <si>
    <t>Cilinder europr 2.1 EZ 50/10       #Lips</t>
  </si>
  <si>
    <t>Cilinder europr 2.1 EZ 55/10       #Lips</t>
  </si>
  <si>
    <t>Cilinder europr 2.1 EZ 60/10       #Lips</t>
  </si>
  <si>
    <t>Cilinder europr 2.2 EZ 30/10       #Lips</t>
  </si>
  <si>
    <t>Cilinder europr 2.2 EZ 40/10       #Lips</t>
  </si>
  <si>
    <t>Cilinder europr 2.2 EZ 45/10       #Lips</t>
  </si>
  <si>
    <t>Cilinder europr 2.2 EZ 50/10       #Lips</t>
  </si>
  <si>
    <t>Cilinder europr 2.2 EZ 55/10       #Lips</t>
  </si>
  <si>
    <t>Cilinder europr 2.2 EZ 60/10       #Lips</t>
  </si>
  <si>
    <t>Cilinder europr 2.2 EZ 65/10       #Lips</t>
  </si>
  <si>
    <t>Cilinder europr 2.2 EZ 70/10       #Lips</t>
  </si>
  <si>
    <t>Cilinder europr 2.2 EZ 80/10       #Lips</t>
  </si>
  <si>
    <t>Cilinder europr 2.6 DZ 30/30       #Lips</t>
  </si>
  <si>
    <t>Cilinder europr 2.6 EZ 30/10       #Lips</t>
  </si>
  <si>
    <t>Cilinder europr 2.7.x EZ 55/10 +2sl#Lips</t>
  </si>
  <si>
    <t>Cilinder europr 2.8 EZ 30/10       #Lips</t>
  </si>
  <si>
    <t>Accu 12V v schroefboormachine Bosch GSR</t>
  </si>
  <si>
    <t>Knie Gn PE32 SDR17,6xSt 1" #PRIMOFIT</t>
  </si>
  <si>
    <t>Aftaksnoer m zekering en aardlek #PW5!K</t>
  </si>
  <si>
    <t>Overneemaarde enkelpolig SVS kortsl.v!K</t>
  </si>
  <si>
    <t>Sluitring vlak RVS/A2 M27</t>
  </si>
  <si>
    <t>Kabel VO-YMvKas  2x2,5 + as 2,5</t>
  </si>
  <si>
    <t>&gt;Aftakklem 50-185mm2 Al / 6-50mm2 Cu</t>
  </si>
  <si>
    <t>Kabelmantelzaag #Dick 1460</t>
  </si>
  <si>
    <t>Gripzakken transp 16x23cm (ds=1000st)</t>
  </si>
  <si>
    <t>Gripzakken m schrfvlk 12x18cm ds1000st</t>
  </si>
  <si>
    <t>Buisklem RVS  88-110mm B=300</t>
  </si>
  <si>
    <t>&gt;KWh-mtr 1f; 0,5-10(85)A;230V DT LDN/ODN</t>
  </si>
  <si>
    <t>Kabelbundelband 203x3,6 nat (zak=100st)</t>
  </si>
  <si>
    <t>Stop St 2"     nr 20</t>
  </si>
  <si>
    <t>Drukregelaar+VAK bi3/4" 100mb 3/16#1843B</t>
  </si>
  <si>
    <t>Sticker m aanduiding "VOORZICHTIG ASBEST</t>
  </si>
  <si>
    <t>Manometer -1 tot 3 bar tbv P3 #Kleiss</t>
  </si>
  <si>
    <t>Gasgebrekklep FL 30mb G4/G6 #WMG6-FZV</t>
  </si>
  <si>
    <t>Draaiveldmeter 750V                  !K</t>
  </si>
  <si>
    <t>Mof overschuif PVC-SV 125mm Kl.33</t>
  </si>
  <si>
    <t>Spie verloop PVC-SV 125x110mm</t>
  </si>
  <si>
    <t>Inbussleutel stift T-model VDE 5x120mm</t>
  </si>
  <si>
    <t>&gt;Stuurventiel Pu=1-3bar inst.b.#SP2000HD</t>
  </si>
  <si>
    <t>&gt;Stuurventiel Pu=3-8bar inst.b.#SP2000HD</t>
  </si>
  <si>
    <t>Meetsnoer m geis banaanstekers (set)</t>
  </si>
  <si>
    <t>Kortsluitindicator 10kV 360A +bgl25-35</t>
  </si>
  <si>
    <t>Kortsluitindicator 10kV 360A +bgl15-25</t>
  </si>
  <si>
    <t>Kortsluitindicator 10kV 360A +bgl 5-15</t>
  </si>
  <si>
    <t>Kortsluitindicator 10kV 150A +bgl 5-15</t>
  </si>
  <si>
    <t>Kortsluitindicator 10kV 150A +bgl15-25</t>
  </si>
  <si>
    <t>Kortsluitindicator 10kV 150A +bgl25-35</t>
  </si>
  <si>
    <t>Mof verloop PE100 EL-las  75x63mm SDR11</t>
  </si>
  <si>
    <t>Mof verloop PE100 EL-las  90x75mm SDR11</t>
  </si>
  <si>
    <t>Voorlaskraag PE100 spie-eind 250mm SDR11</t>
  </si>
  <si>
    <t>Voorlaskraag PE100 spie-eind 315mm SDR11</t>
  </si>
  <si>
    <t>Voorlaskraag PE100 spie-eind 400mm SDR11</t>
  </si>
  <si>
    <t>&gt;Bocht PE100 sp-eind 22,5°x200mm SDR17,6</t>
  </si>
  <si>
    <t>&gt;Bocht PE100 spie-eind 30°x200mm SDR17,6</t>
  </si>
  <si>
    <t>&gt;Bocht PE100 spie-eind 45°x200mm SDR17,6</t>
  </si>
  <si>
    <t>&gt;Bocht PE100 spie-eind 90°x200mm SDR17,6</t>
  </si>
  <si>
    <t>&gt;Bocht PE100 sp-eind 22,5°x250mm SDR17,6</t>
  </si>
  <si>
    <t>&gt;Bocht PE100 spie-eind 45°x250mm SDR17,6</t>
  </si>
  <si>
    <t>&gt;Bocht PE100 spie-eind 90°x250mm SDR17,6</t>
  </si>
  <si>
    <t>&gt;Bocht PE100 sp-eind 22,5°x315mm SDR17,6</t>
  </si>
  <si>
    <t>&gt;Bocht PE100 spie-eind 45°x315mm SDR17,6</t>
  </si>
  <si>
    <t>&gt;Bocht PE100 spie-eind 90°x315mm SDR17,6</t>
  </si>
  <si>
    <t>&gt;Bocht PE100 spie-eind 30°x400mm SDR17,6</t>
  </si>
  <si>
    <t>&gt;Bocht PE100 spie-eind 45°x400mm SDR17,6</t>
  </si>
  <si>
    <t>&gt;Bocht PE100 spie-eind 90°x400mm SDR17,6</t>
  </si>
  <si>
    <t>&gt;Eindkap PE100 spie-eind 250mm SDR17,6</t>
  </si>
  <si>
    <t>&gt;Eindkap PE100 spie-eind 315mm SDR17,6</t>
  </si>
  <si>
    <t>&gt;Eindkap PE100 spie-eind 400mm SDR17,6</t>
  </si>
  <si>
    <t>&gt;T-stuk PE100 spie-eind 315x110mmSDR17,6</t>
  </si>
  <si>
    <t>&gt;T-stuk PE100 spie-eind 315x250mmSDR17,6</t>
  </si>
  <si>
    <t>&gt;T-stuk PE100 spie-eind 315mm SDR17,6</t>
  </si>
  <si>
    <t>&gt;T-stuk PE100 spie-eind 400mm    SDR17,6</t>
  </si>
  <si>
    <t>Spie verl PE100 el-las  75x 63mm SDR11</t>
  </si>
  <si>
    <t>&gt;Spie verl PE100 el-las 110x 75mm SDR11</t>
  </si>
  <si>
    <t>&gt;Verloop PE100 sp-eind 250x160mmSDR17,6</t>
  </si>
  <si>
    <t>&gt;Verloop PE100 sp-eind 400x315mmSDR17,6</t>
  </si>
  <si>
    <t>&gt;T-stuk PE100 spie-eind 250x 75mmSDR17,6</t>
  </si>
  <si>
    <t>Bocht PE100 spie-eind 30° x200mm SDR11</t>
  </si>
  <si>
    <t>Bocht PE100 spie-eind 45° x200mm SDR11</t>
  </si>
  <si>
    <t>Bocht PE100 spie-eind 90° x200mm SDR11</t>
  </si>
  <si>
    <t>&gt;Voorlaskraag PE100 sp-eind 250mm SDR17</t>
  </si>
  <si>
    <t>&gt;Voorlaskraag PE100 sp-eind 315mm SDR17</t>
  </si>
  <si>
    <t>&gt;Voorlaskraag PE100 sp-eind 400mm SDR17</t>
  </si>
  <si>
    <t>Buis PE80 geel  40x 2,3 SDR17,6   rol100</t>
  </si>
  <si>
    <t>Buis PE80 geel  50x 2,9 SDR17,6   rol100</t>
  </si>
  <si>
    <t>&gt;Buis PE100 ZW/GL 200x11,4 SDR17,6 L=12m</t>
  </si>
  <si>
    <t>&gt;Buis PE100 ZW/GL 400x22,7 SDR17,6 L=12m</t>
  </si>
  <si>
    <t>Buis PE80 geel  25x 2,3 SDR17,6    rol50</t>
  </si>
  <si>
    <t>Buis PE80 geel  40x 2,3 SDR17,6    rol50</t>
  </si>
  <si>
    <t>Buis PE80 geel  50x 2,9 SDR17,6    rol50</t>
  </si>
  <si>
    <t>Aardelectrode D=12,7mm L=1,5m nieuw</t>
  </si>
  <si>
    <t>Koppeling v aardelectrode 12,7mm nieuw</t>
  </si>
  <si>
    <t>Beschermbuis 40mm groen v glasvezelkabel</t>
  </si>
  <si>
    <t>Krimpkous 10/3 v KB-kabels L=1m</t>
  </si>
  <si>
    <t>Krimpkous 25/8 v KB-kabels L=1m</t>
  </si>
  <si>
    <t>Sticker ATEX-klein m aand "EX" Pak=20</t>
  </si>
  <si>
    <t>Sticker ATEX-groot m aand "EX" Pak=20</t>
  </si>
  <si>
    <t>Metaaldetector #Radiodetection RD312  !K</t>
  </si>
  <si>
    <t>Puls-echometer #Radiodetec T1660-LSnet!K</t>
  </si>
  <si>
    <t>Accu 10,8 V-2Ah v schroevendr. Bosch GSR</t>
  </si>
  <si>
    <t>Tap gasdraad  1/8" a+b</t>
  </si>
  <si>
    <t>Tap gasdraad  1/4" a+b</t>
  </si>
  <si>
    <t>Tap gasdraad  3/8" a+b</t>
  </si>
  <si>
    <t>Tap gasdraad  1/2" a+b</t>
  </si>
  <si>
    <t>Tap gasdraad  3/4" a+b</t>
  </si>
  <si>
    <t>Tap gasdraad 1"    a+b</t>
  </si>
  <si>
    <t>Bocht PE100 spie-eind 22,5° x250mm SDR11</t>
  </si>
  <si>
    <t>Bocht PE100 spie-eind 45° x250mm SDR11</t>
  </si>
  <si>
    <t>Bocht PE100 spie-eind 90° x250mm SDR11</t>
  </si>
  <si>
    <t>Bocht PE100 spie-eind 22,5° x315mm SDR11</t>
  </si>
  <si>
    <t>Bocht PE100 spie-eind 45° x315mm SDR11</t>
  </si>
  <si>
    <t>Bocht PE100 spie-eind 90° x315mm SDR11</t>
  </si>
  <si>
    <t>Bocht PE100 spie-eind 22,5° x400mm SDR11</t>
  </si>
  <si>
    <t>Bocht PE100 spie-eind 30° x400mm SDR11</t>
  </si>
  <si>
    <t>Bocht PE100 spie-eind 45° x400mm SDR11</t>
  </si>
  <si>
    <t>Bocht PE100 spie-eind 90° x400mm SDR11</t>
  </si>
  <si>
    <t>Eindkap PE100 spie-eind 250mm SDR11</t>
  </si>
  <si>
    <t>Eindkap PE100 spie-eind 315mm SDR11</t>
  </si>
  <si>
    <t>Eindkap PE100 spie-eind 400mm SDR11</t>
  </si>
  <si>
    <t>T-stuk PE100 spie-eind 250x110mm SDR11</t>
  </si>
  <si>
    <t>T-stuk PE100 spie-eind 250x160mm SDR11</t>
  </si>
  <si>
    <t>T-stuk PE100 spie-eind 250x200mm SDR11</t>
  </si>
  <si>
    <t>T-stuk PE100 spie-eind 250mm SDR11</t>
  </si>
  <si>
    <t>T-stuk PE100 spie-eind 315x110mm SDR11</t>
  </si>
  <si>
    <t>T-stuk PE100 spie-eind 315x160mm SDR11</t>
  </si>
  <si>
    <t>T-stuk PE100 spie-eind 315x200mm SDR11</t>
  </si>
  <si>
    <t>T-stuk PE100 spie-eind 315x250mm SDR11</t>
  </si>
  <si>
    <t>T-stuk PE100 spie-eind 315mm SDR11</t>
  </si>
  <si>
    <t>T-stuk PE100 spie-eind 400x110mm SDR11</t>
  </si>
  <si>
    <t>T-stuk PE100 spie-eind 400x160mm SDR11</t>
  </si>
  <si>
    <t>T-stuk PE100 spie-eind 400x200mm SDR11</t>
  </si>
  <si>
    <t>T-stuk PE100 spie-eind 400x250mm SDR11</t>
  </si>
  <si>
    <t>T-stuk PE100 spie-eind 400x315mm SDR11</t>
  </si>
  <si>
    <t>T-stuk PE100 spie-eind 400mm SDR11</t>
  </si>
  <si>
    <t>Verloop PE100 spie-eind 250x160mm SDR11</t>
  </si>
  <si>
    <t>Verloop PE100 spie-eind 250x200mm SDR11</t>
  </si>
  <si>
    <t>Verloop PE100 spie-eind 315x200mm SDR11</t>
  </si>
  <si>
    <t>Verloop PE100 spie-eind 315x250mm SDR11</t>
  </si>
  <si>
    <t>Verloop PE100 spie-eind 400x315mm SDR11</t>
  </si>
  <si>
    <t>T-stuk PE100 spie-eind 315x 75mm SDR11</t>
  </si>
  <si>
    <t>Verloop PE100 spie-eind 315x160mm SDR11</t>
  </si>
  <si>
    <t>Bocht PE100 spie-eind 22,5° x200mm SDR11</t>
  </si>
  <si>
    <t>Buis Cu 22x1,1mm L=3,1m</t>
  </si>
  <si>
    <t>Buis Cu 28x1,2mm L=3,1m</t>
  </si>
  <si>
    <t>Buis Cu 35x1,5mm L=3,1m</t>
  </si>
  <si>
    <t>Buis Cu 42x1,5mm L=3,1m</t>
  </si>
  <si>
    <t>Buis Cu 54x1,5mm L=3,1m</t>
  </si>
  <si>
    <t>Montagehulpstuk v meterkopp combi</t>
  </si>
  <si>
    <t>Mof GPLK 10kV 120-185 50kV/XLPE20kV3x240</t>
  </si>
  <si>
    <t>Snijringkoppeling RE/HKS NPT1/4"x6mm ST</t>
  </si>
  <si>
    <t>Brandblusser2kg schuim vorstvrij (AB)!K</t>
  </si>
  <si>
    <t>Brandblusser 5kg koolzuur (B)         !K</t>
  </si>
  <si>
    <t>Steekbats (schop) 00 z steel</t>
  </si>
  <si>
    <t>Steekbats (schop) 000 z steel</t>
  </si>
  <si>
    <t>Meetaansluiting #BDA 10/18</t>
  </si>
  <si>
    <t>Meetaansluiting #BMA 10</t>
  </si>
  <si>
    <t>Meetaansluiting #BMA 04</t>
  </si>
  <si>
    <t>Schroevendraaier Torx T25x100/200mm</t>
  </si>
  <si>
    <t>Las-T-stuk verl St  60,3x 42,4mm</t>
  </si>
  <si>
    <t>&gt;Gascilinder CO2 tbv pomp Raychem RDSS</t>
  </si>
  <si>
    <t>Lasflens vlak ST 114,3 PN16 DIN2576</t>
  </si>
  <si>
    <t>Revisieset v 3/2-ventiel Pneumac #Kamstr</t>
  </si>
  <si>
    <t>Revisieset v 3/2-ventiel Pneumac #IGA-op</t>
  </si>
  <si>
    <t>Anti-condensspray flac=500ml</t>
  </si>
  <si>
    <t>Ontvanger v fase-uitkleur unit#FP-DETN!C</t>
  </si>
  <si>
    <t>Fase-uitkleur unit#FPN50 CC(Injector) !C</t>
  </si>
  <si>
    <t>/Temperatuurstrips 8-levels(krt=10strip)</t>
  </si>
  <si>
    <t>Overgangskast 50 Al</t>
  </si>
  <si>
    <t>Aardingsgarnituur MS v kogelbout 25mm !K</t>
  </si>
  <si>
    <t>Mespatroon 100A DIN-2 gFF (supersnel)</t>
  </si>
  <si>
    <t>Insteeknippel 38mm+slangtule v Pete's pl</t>
  </si>
  <si>
    <t>Insteeknippel bu G1/8"xnippel#Serto</t>
  </si>
  <si>
    <t>Insteeknippel slangtule 4 mm #Serto</t>
  </si>
  <si>
    <t>Insteeknippel slangtule 7,5mm#Serto</t>
  </si>
  <si>
    <t>Waterpomptang L=300mm zelfklemmend</t>
  </si>
  <si>
    <t>Waterpomptang L=250mm zelfklemmend blank</t>
  </si>
  <si>
    <t>Schakelaar LS 1-polig modulair tbv OV</t>
  </si>
  <si>
    <t>Zadel GGG aft  58- 72x1.1/2" POLSAFE</t>
  </si>
  <si>
    <t>Zadel GGG aft  45- 57x1.1/2" POLSAFE</t>
  </si>
  <si>
    <t>&gt;Kabelmantelreparatiemanchet L1750#Raych</t>
  </si>
  <si>
    <t>Kabelbundelband 368x4,8 wit    zak=100st</t>
  </si>
  <si>
    <t>Zaagblad recip. metaal 1,5-4mmL100#Bosch</t>
  </si>
  <si>
    <t>Zaagblad recip.metaal 3- 8mm L100#Bosch</t>
  </si>
  <si>
    <t>Tegenhouder v schroefverb.klemmen #Raych</t>
  </si>
  <si>
    <t>Install.draad VDS 16mm2 zwart soepel</t>
  </si>
  <si>
    <t>Omstortingsmassa (bus 1 ltr) #Encapress</t>
  </si>
  <si>
    <t>Vouwdoos 650x240x160mm</t>
  </si>
  <si>
    <t>Zeep #Dreumex geel (bus=4,5ltr)</t>
  </si>
  <si>
    <t>Adereindhuls 10,0mm2 draad ivoor zak=100</t>
  </si>
  <si>
    <t>/Adereindhuls 16,0mm2 draad groen zak100</t>
  </si>
  <si>
    <t>Aansluitkast klein 1F+aut 40A #O&amp;K374/1</t>
  </si>
  <si>
    <t>Railaftakkl. m veiligh. geis. v Infostr</t>
  </si>
  <si>
    <t>Ophaakklem v LS strook DIN 00 JM set=3st</t>
  </si>
  <si>
    <t>Stalschop nr.0 Lsteel=130cm 3/4-gebogen</t>
  </si>
  <si>
    <t>Krachtdop 1/2"-10mm #DO2012-0-010</t>
  </si>
  <si>
    <t>Krachtdop 1/2"-13mm #DO2012-0-010</t>
  </si>
  <si>
    <t>Krachtdop 1/2"-19mm #DO2012-0-010</t>
  </si>
  <si>
    <t>Krachtdop 1/2"-22mm #DO2012-0-010</t>
  </si>
  <si>
    <t>Verkeershek RWS demontabel B=150cm3vlak</t>
  </si>
  <si>
    <t>Verwijderhendel glasvez.con v sch.kap MF</t>
  </si>
  <si>
    <t>Vouwdoos 650x240x210mm marmerwit</t>
  </si>
  <si>
    <t>Zadel PE blsgt el-las 200x2"     POLSAFE</t>
  </si>
  <si>
    <t>Kabel trafo TELCON 16mm2 L= 3,5m</t>
  </si>
  <si>
    <t>Kabel trafo TELCON 16mm2 L= 7,25m</t>
  </si>
  <si>
    <t>Kabel trafo TELCON 16mm2 L=10m</t>
  </si>
  <si>
    <t>Aanwijsbord geel Form A #Din 4065</t>
  </si>
  <si>
    <t>Spindelschild geel D=100mm</t>
  </si>
  <si>
    <t>Aanwijsblok 10mm " " (blanco) geel</t>
  </si>
  <si>
    <t>Aanwijsblok 10mm letter "D" geel/zwart</t>
  </si>
  <si>
    <t>Aanwijsblok 10mm letter "N" geel/zwart</t>
  </si>
  <si>
    <t>Aanwijsblok 10mm letter "P" geel/zwart</t>
  </si>
  <si>
    <t>Aanwijsblok 10mm letter "A" geel/zwart</t>
  </si>
  <si>
    <t>Aanwijsblok 10mm letter "F" geel/zwart</t>
  </si>
  <si>
    <t>Aanwijsblok 10mm letter "K" geel/zwart</t>
  </si>
  <si>
    <t>Aanwijsblok 10mm letter "S" geel/zwart</t>
  </si>
  <si>
    <t>Aanwijsblok 10mm letter "V" geel/zwart</t>
  </si>
  <si>
    <t>Aanwijsblok 10mm letter "W" geel/zwart</t>
  </si>
  <si>
    <t>Aanwijsblok 10mm cijfer "0" geel/zwart</t>
  </si>
  <si>
    <t>Aanwijsblok 10mm cijfer "1" geel/zwart</t>
  </si>
  <si>
    <t>Aanwijsblok 10mm cijfer "2" geel/zwart</t>
  </si>
  <si>
    <t>Aanwijsblok 10mm cijfer "3" geel/zwart</t>
  </si>
  <si>
    <t>Aanwijsblok 10mm cijfer "4" geel/zwart</t>
  </si>
  <si>
    <t>Aanwijsblok 10mm cijfer "5" geel/zwart</t>
  </si>
  <si>
    <t>Aanwijsblok 10mm cijfer "6&amp;9" geel/zwart</t>
  </si>
  <si>
    <t>Aanwijsblok 10mm cijfer "7" geel/zwart</t>
  </si>
  <si>
    <t>Aanwijsblok 10mm cijfer "8" geel/zwart</t>
  </si>
  <si>
    <t>Schroef aluminium M5X20</t>
  </si>
  <si>
    <t>Moer aluminium M5</t>
  </si>
  <si>
    <t>&gt;Deksel lang versmald v eindsluit.bakCOQ</t>
  </si>
  <si>
    <t>Isolatiestuk las/las  42,4 - 1.1/4" L300</t>
  </si>
  <si>
    <t>Isolatiestuk las/las  48,3 - 1.1/2" L300</t>
  </si>
  <si>
    <t>Ballastschop Alu 40cm z.strip</t>
  </si>
  <si>
    <t>Handschraper voor PE buis</t>
  </si>
  <si>
    <t>&gt;Afvalzak buit 120x130x0,015"asbest"DS50</t>
  </si>
  <si>
    <t>Perstang  persbereik 6.0-50mm2 #K05 Z</t>
  </si>
  <si>
    <t>Perskabelsch. ring tin 10mm2 BT6 (ds100)</t>
  </si>
  <si>
    <t>Perskabelsch. ring tin 10mm2 BT8 (ds100)</t>
  </si>
  <si>
    <t>Persverbinder ongeis. 10mm2 (ds=100)</t>
  </si>
  <si>
    <t>Kabelmerker nr. 0 #Critchley K-65</t>
  </si>
  <si>
    <t>Krimptang #Klemko SKT-0560</t>
  </si>
  <si>
    <t>Zadel RVS blsgt 420-440x2.1/2" POLSAFE</t>
  </si>
  <si>
    <t>Kabelmerker nr. 1 #Critchley K-65</t>
  </si>
  <si>
    <t>Kabelmerker nr. 2 #Critchley K-65</t>
  </si>
  <si>
    <t>Kabelmerker nr. 3 #Critchley K-65</t>
  </si>
  <si>
    <t>Kabelmerker nr. 4 #Critchley K-65</t>
  </si>
  <si>
    <t>Kabelmerker nr. 5 #Critchley K-65</t>
  </si>
  <si>
    <t>Kabelmerker nr. 6 #Critchley K-65</t>
  </si>
  <si>
    <t>Kabelmerker nr. 7 #Critchley K-65</t>
  </si>
  <si>
    <t>Kabelmerker nr. 8 #Critchley K-65</t>
  </si>
  <si>
    <t>Kabelmerker nr. 9 #Critchley K-65</t>
  </si>
  <si>
    <t>Plaat 980x425x30 foam v afdichting SVS</t>
  </si>
  <si>
    <t>Tape 75mmx5m v afdichting SVS</t>
  </si>
  <si>
    <t>Hamer rubber nr.9 HARD 2200gr 105 mm</t>
  </si>
  <si>
    <t>Hamer rubber nr.9 ZACHT 2200gr 105 mm</t>
  </si>
  <si>
    <t>&gt;Koppeling BRS spie28mm x bi1"#Viega</t>
  </si>
  <si>
    <t>Slangklem 32 - 44mm  BR=12mm   ELVZ #ABA</t>
  </si>
  <si>
    <t>Batterij knoopcel 1,5V D=11,6 ALK #LR44</t>
  </si>
  <si>
    <t>Lichtmastset 1XE27 incl. 1x6A Faget LS74</t>
  </si>
  <si>
    <t>Lichtmastset 2XE27+1x6A AN-strp Fag LS94</t>
  </si>
  <si>
    <t>Kabel H05BQ-F 3x1mm2 GEEL (100mtr)</t>
  </si>
  <si>
    <t>Noppenfolie 450x500 v retourmeters ds100</t>
  </si>
  <si>
    <t>Krachtdop 1/2"-27mm #DO2012-0-027</t>
  </si>
  <si>
    <t>Slang voor afblazen L=6mtr d=19mm</t>
  </si>
  <si>
    <t>+Keggen hout 270x150x150mm haspelborging</t>
  </si>
  <si>
    <t>Tape 12mm zw/wit v Dymo Labelp 20034598</t>
  </si>
  <si>
    <t>Zadel RVS aft 138-160x2"     POLSAFE</t>
  </si>
  <si>
    <t>Zadel RVS blsgt 340-360x2.1/2" POLSAFE</t>
  </si>
  <si>
    <t>Zaagblad recipro hout-metaal 3-12mm #Bos</t>
  </si>
  <si>
    <t>Filter v gaslekzoektoestel GMI 512+probe</t>
  </si>
  <si>
    <t>Cilinder europr E/G EZ 30/10       #Lips</t>
  </si>
  <si>
    <t>Cilinder europr E/G DZ 30/30       #Lips</t>
  </si>
  <si>
    <t>Hangslot E/G beugel 30mm           #Lips</t>
  </si>
  <si>
    <t>Conussnijder v XLPE isolatie 15-40mm</t>
  </si>
  <si>
    <t>E-stuk M-FL 192-232xDN200 TV PN10/PN16</t>
  </si>
  <si>
    <t>E-stuk M-FL 267-310xDN250 TV PN10/PN16</t>
  </si>
  <si>
    <t>E-stuk M-FL 315-356xDN300TV PN10#MJ3057+</t>
  </si>
  <si>
    <t>Koppel. M-M 192-232x192-232 TV #MJ3007+</t>
  </si>
  <si>
    <t>Koppel. M-M 230-268x230-268 TV #MJ3007+</t>
  </si>
  <si>
    <t>Koppel. M-M 267-310x230-268 TV #MJ3107+</t>
  </si>
  <si>
    <t>Koppel. M-M 315-356x315-356 TV #MJ3007+</t>
  </si>
  <si>
    <t>Kopp. M-blind 192-232 DN200 TV #MJ3207 +</t>
  </si>
  <si>
    <t>Kopp. M-blind 267-310 DN250 TV #MJ3207+</t>
  </si>
  <si>
    <t>Kopp. M-blind 315-356 DN300 TV #MJ3207+</t>
  </si>
  <si>
    <t>Koppel. M-M 230-268 x192-232 TV #MJ3107+</t>
  </si>
  <si>
    <t>Koppel. M-M 267-310x267-310 TV #MJ3007+</t>
  </si>
  <si>
    <t>Gasgebrekklep 3/4" HKS BI-wrt#WMG6i-W3/4</t>
  </si>
  <si>
    <t>Eindstop met gasm.draad+aansl.nipp+slang</t>
  </si>
  <si>
    <t>Dummy D-patroon DII-25A (inzetstuk)</t>
  </si>
  <si>
    <t>Mof GPLK 10kV 3x300/XLPE 10-20kV 3x240</t>
  </si>
  <si>
    <t>VAK los tbv regelaar 1843</t>
  </si>
  <si>
    <t>Buis PE80 geel  63x 3,6 SDR17,6   rol100</t>
  </si>
  <si>
    <t>Instelsleutel gasdrukregelaar J125 DN50</t>
  </si>
  <si>
    <t>Huls doorzichtig v meetelectrode KB</t>
  </si>
  <si>
    <t>Meetelectrode koper/kopersulfaat v KB</t>
  </si>
  <si>
    <t>Verschilspanningsmeter #Deltameter5   !K</t>
  </si>
  <si>
    <t>&gt;G-mtr B G6 GM3/4"xHOH 220 10m3/h inh.2L</t>
  </si>
  <si>
    <t>Stroomtrafo 400/5A 5VA kl.1 50</t>
  </si>
  <si>
    <t>Stroomtrafo 2000/5A 5VA 0,2s '100</t>
  </si>
  <si>
    <t>Stroomtrafo 1000/5A 5VA kl.1 50</t>
  </si>
  <si>
    <t>Steekflens RVS 80x142x3</t>
  </si>
  <si>
    <t>Zadel PE100 aft el-las  63x 32mm</t>
  </si>
  <si>
    <t>Stroomtrafo 600/5A 5VA kl.1 50</t>
  </si>
  <si>
    <t>Beschermfolie transp. 2000x1300x0,5mm</t>
  </si>
  <si>
    <t>Beschermfolie transp. 1000x1300x0,5mm</t>
  </si>
  <si>
    <t>Beschermfolie transp.  600x 600x0,5mm</t>
  </si>
  <si>
    <t>Aansluitkast klein 1F+aut 25A #O&amp;K 374/1</t>
  </si>
  <si>
    <t>&gt;KSV 250A rode plastic houder  (GSM ksv)</t>
  </si>
  <si>
    <t>&gt;Bundel glasvezel+stekker 3x7,5m GSM-KSV</t>
  </si>
  <si>
    <t>&gt;Bundel glasvezel+stekker 3x2,5m GSM-KSV</t>
  </si>
  <si>
    <t>Sluitring vlak St.  M16 ELVZ</t>
  </si>
  <si>
    <t>Sluitring vlak St.  M20 ELVZ</t>
  </si>
  <si>
    <t>Schroef platverzonken M5x16 RVS ds200st</t>
  </si>
  <si>
    <t>Zaagblad recipro metaal 2-10mm L300 #Bos</t>
  </si>
  <si>
    <t>Krokodilleklem ROOD  max30mm 1000V</t>
  </si>
  <si>
    <t>Krokodilleklem ZWART max30mm 1000V</t>
  </si>
  <si>
    <t>Zegelkap G 45/57,5 MIC63</t>
  </si>
  <si>
    <t>Schroefkabelschoen 50-240Al Cu gat17vgm</t>
  </si>
  <si>
    <t>Doorslijpschijf metaal D=125mm d=1,6mm</t>
  </si>
  <si>
    <t>Waarschuwingsbord op driepoot GAS</t>
  </si>
  <si>
    <t>Foamtape dubbelzijdig 19mm rol=1,5m</t>
  </si>
  <si>
    <t>Krokodilleklem ROOD  max 9mm   70V v KB</t>
  </si>
  <si>
    <t>Krokodilleklem ZWART max 9mm   70V v KB</t>
  </si>
  <si>
    <t>Meetsnoer ROOD L=1m + banaanpluggen</t>
  </si>
  <si>
    <t>Meetsnoer ZWART L=1m + banaanpluggen</t>
  </si>
  <si>
    <t>Sleeve HB5 v Axial Flow DN100 #516003</t>
  </si>
  <si>
    <t>Revisieset V.A.K. Romb.-Act. 233-12/DN50</t>
  </si>
  <si>
    <t>Revisieset v reg. Romb.-Act. 233-12/DN50</t>
  </si>
  <si>
    <t>Gevelpassage 1.1/4" beklede stalen pijp</t>
  </si>
  <si>
    <t>Gevelpassage 1"     beklede stalen pijp</t>
  </si>
  <si>
    <t>Gevelpassage        koperen doorvoer</t>
  </si>
  <si>
    <t>Montageplaat SAM RVS L=473mm</t>
  </si>
  <si>
    <t>Geveldoorvoer +PEbs 32x2,3SDR17,6 L=22,5</t>
  </si>
  <si>
    <t>Geveldoorvoer +PEbs 32x2,3SDR17,6 L=15</t>
  </si>
  <si>
    <t>Geveldoorvoer +PEbs 32x2,3SDR17,6 L= 7,5</t>
  </si>
  <si>
    <t>Geveldoorvoer +PEbs 32x2,3SDR17,6 L= 6,0</t>
  </si>
  <si>
    <t>Geveldoorvoer +PEbs 32x2,3SDR17,6 L= 4,3</t>
  </si>
  <si>
    <t>Geveldoorvoer +PEbs 40x2,3SDR17,6 L=22,5</t>
  </si>
  <si>
    <t>Geveldoorvoer +PEbs 40x2,3SDR17,6 L=15,0</t>
  </si>
  <si>
    <t>Geveldoorvoer +PEbs 40x2,3SDR17,6 L= 7,5</t>
  </si>
  <si>
    <t>Geveldoorvoer +PEbs 40x2,3SDR17,6 L= 6,0</t>
  </si>
  <si>
    <t>Geveldoorvoer +PEbs 40x2,3SDR17,6 L= 4,2</t>
  </si>
  <si>
    <t>Klikmoer v insteekknie 32&amp;40mm tbv OSE</t>
  </si>
  <si>
    <t>OSE PE HOR 32x3,0 lang80 +32/25 HKS kopp</t>
  </si>
  <si>
    <t>OSE PE HOR 32x3,0 lang80 +32/25 RHT kopp</t>
  </si>
  <si>
    <t>OSE PE 40x3,7 lang 80cm links spie-eind</t>
  </si>
  <si>
    <t>OSE PE 40x3,7 lang 80cm rechts spie-eind</t>
  </si>
  <si>
    <t>Renovatiekoppeling 1" St+PEbekl</t>
  </si>
  <si>
    <t>Renovatiekoppeling 1" Staal (blank)</t>
  </si>
  <si>
    <t>Renovatiekoppeling 5/4" Staal (blank)</t>
  </si>
  <si>
    <t>Renovatiekoppeling 5/4" St+PEbekl</t>
  </si>
  <si>
    <t>Schroefdraadafdichting pyp zwk#Loctit577</t>
  </si>
  <si>
    <t>Bord A5 land.storingnr 0800-9009 Liander</t>
  </si>
  <si>
    <t>Lijmpistool tbv snelschuim #2-K</t>
  </si>
  <si>
    <t>Zak plastic73x45cm v foetsjiebak ds=700</t>
  </si>
  <si>
    <t>Batssteel 130 cm zonder kruk (z batse)</t>
  </si>
  <si>
    <t>Betonschop Ruhr-Brillant 0 3/4 (z steel)</t>
  </si>
  <si>
    <t>Betonschop type Diamant 0 (z steel)</t>
  </si>
  <si>
    <t>Schopsteel Gebogen 100 cm (z schop)</t>
  </si>
  <si>
    <t>Schopsteel Gebogen 110 cm (z schop)</t>
  </si>
  <si>
    <t>Schopsteel Gebogen 130 cm (z schop)</t>
  </si>
  <si>
    <t>Sticker A3 (450x327)Liander+st.nr.(25st)</t>
  </si>
  <si>
    <t>Sticker A4 (317x230)Liander+st.nr.(25st)</t>
  </si>
  <si>
    <t>Sticker A5 (230x168)Liander+st.nr.(25st)</t>
  </si>
  <si>
    <t>Sticker A6 (168x125)Liander+st.nr.(25st)</t>
  </si>
  <si>
    <t>Sticker A3 (420x290) Liander (pak 25st)</t>
  </si>
  <si>
    <t>Sticker A4 (297x200) Liander (pak 25st)</t>
  </si>
  <si>
    <t>Sticker A5 (210x145) Liander (pak 25st)</t>
  </si>
  <si>
    <t>Sticker A6 (145x100) Liander (pak 25st)</t>
  </si>
  <si>
    <t>Sticker v kath.besch groen 140x110 Liand</t>
  </si>
  <si>
    <t>Achterplaat Al v aanwijsbord DIN 4065</t>
  </si>
  <si>
    <t>Accu 36V 6Ah v boorhamer Bosch GBH</t>
  </si>
  <si>
    <t>Mespatroon  25A DIN-1 gG</t>
  </si>
  <si>
    <t>Sticker voor de AK250 v technische info</t>
  </si>
  <si>
    <t>&gt;Soldeer-tin/lood 50/50 4mm rond</t>
  </si>
  <si>
    <t>Cilinder europr 1.2 EZ 60/10       #Lips</t>
  </si>
  <si>
    <t>Cilinder europr 1.2 EZ 75/10       #Lips</t>
  </si>
  <si>
    <t>Cilinder europr 1.3 EZ 60/10       #Lips</t>
  </si>
  <si>
    <t>Cilinder europr 1.3 EZ 70/10       #Lips</t>
  </si>
  <si>
    <t>Cilinder europr 1.3 EZ 75/10       #Lips</t>
  </si>
  <si>
    <t>Cilinder europr 1.4 EZ 40/10       #Lips</t>
  </si>
  <si>
    <t>Cilinder europr 1.4 EZ 45/10       #Lips</t>
  </si>
  <si>
    <t>Cilinder europr 1.4 EZ 50/10       #Lips</t>
  </si>
  <si>
    <t>Cilinder europr 1.4 EZ 55/10       #Lips</t>
  </si>
  <si>
    <t>Cilinder europr 1.4 EZ 60/10       #Lips</t>
  </si>
  <si>
    <t>Cilinder europr 1.4 EZ 65/10       #Lips</t>
  </si>
  <si>
    <t>Cilinder europr 1.4 EZ 70/10       #Lips</t>
  </si>
  <si>
    <t>Cilinder europr 1.4 EZ 75/10       #Lips</t>
  </si>
  <si>
    <t>Cilinder europr 1.6.x EZ 50/10 +2sl#Lips</t>
  </si>
  <si>
    <t>Cilinder europr 1.6.x EZ 60/10 +2sl#Lips</t>
  </si>
  <si>
    <t>Cilinder europr 1.6.x EZ 70/10 +2sl#Lips</t>
  </si>
  <si>
    <t>Cilinder europr 2.1 EZ 65/10       #Lips</t>
  </si>
  <si>
    <t>Cilinder europr 2.1 EZ 70/10       #Lips</t>
  </si>
  <si>
    <t>Cilinder europr 2.1 EZ 75/10       #Lips</t>
  </si>
  <si>
    <t>Cilinder europr 2.6 EZ 40/10       #Lips</t>
  </si>
  <si>
    <t>Cilinder europr 2.6 EZ 45/10       #Lips</t>
  </si>
  <si>
    <t>Cilinder europr 2.6 EZ 50/10       #Lips</t>
  </si>
  <si>
    <t>Cilinder europr 2.6 EZ 55/10       #Lips</t>
  </si>
  <si>
    <t>Cilinder europr 2.6 EZ 60/10       #Lips</t>
  </si>
  <si>
    <t>Cilinder europr 2.6 EZ 65/10       #Lips</t>
  </si>
  <si>
    <t>Cilinder europr 2.6 EZ 70/10       #Lips</t>
  </si>
  <si>
    <t>Cilinder europr 2.6 EZ 75/10       #Lips</t>
  </si>
  <si>
    <t>Cilinder europr 2.7.x EZ 45/10 +2sl#Lips</t>
  </si>
  <si>
    <t>Cilinder europr 2.7.x EZ 60/10 +2sl#Lips</t>
  </si>
  <si>
    <t>Cilinder europr 2.7.x EZ 65/10 +2sl#Lips</t>
  </si>
  <si>
    <t>Cilinder europr 2.7.x EZ 70/10 +2sl#Lips</t>
  </si>
  <si>
    <t>cilinder europr 2.7.x EZ 75/10 +2sl#Lips</t>
  </si>
  <si>
    <t>Cilinder europr E/G EZ 40/10       #Lips</t>
  </si>
  <si>
    <t>Cilinder europr E/G EZ 45/10       #Lips</t>
  </si>
  <si>
    <t>Cilinder europr E/G EZ 50/10       #Lips</t>
  </si>
  <si>
    <t>Cilinder europr E/G EZ 55/10       #Lips</t>
  </si>
  <si>
    <t>Cilinder europr E/G EZ 60/10       #Lips</t>
  </si>
  <si>
    <t>Cilinder europr E/G EZ 65/10       #Lips</t>
  </si>
  <si>
    <t>Cilinder europr E/G EZ 70/10       #Lips</t>
  </si>
  <si>
    <t>Cilinder europr E/G EZ 75/10       #Lips</t>
  </si>
  <si>
    <t>Adereindhuls 6,0 mm2 draad zwart zak=100</t>
  </si>
  <si>
    <t>Stretchfolie v pallets 50cm 1500m 23Mu</t>
  </si>
  <si>
    <t>Autolader tbv SurvivorLED 12-24V</t>
  </si>
  <si>
    <t>Laadsnoer tbv SurvivorLED 230V</t>
  </si>
  <si>
    <t>Lamp oplaadbaar 20W/12V</t>
  </si>
  <si>
    <t>Lamp reserve 20 W # Streamlight Litebox</t>
  </si>
  <si>
    <t>Reservemes v mantelsnijder #Rose 10923</t>
  </si>
  <si>
    <t>Markeringsflap wit Liander kabels</t>
  </si>
  <si>
    <t>Affakkel installatie compleet !C</t>
  </si>
  <si>
    <t>Sticker rood v meterprocedure (pak25vel)</t>
  </si>
  <si>
    <t>Sticker gr.zw. meterprocedure (pak25vel)</t>
  </si>
  <si>
    <t>&gt;Zadel PE100 aft el-las 160x110mm</t>
  </si>
  <si>
    <t>&gt;Zadel PE100 aft el-las 200x110mm</t>
  </si>
  <si>
    <t>&gt;Zadel PE100 aft el-las 250x110mm</t>
  </si>
  <si>
    <t>T-stuk PE100 el-las 160x110   SDR11</t>
  </si>
  <si>
    <t>Reservemes rotatieschraper PE #RS</t>
  </si>
  <si>
    <t>Schraper buiseinde tbv PE 32 SDR11</t>
  </si>
  <si>
    <t>Reservemes v schraper buiseinde</t>
  </si>
  <si>
    <t>Rotatieschiller PE  40mm #RS</t>
  </si>
  <si>
    <t>Rotatieschiller PE  50mm #RS</t>
  </si>
  <si>
    <t>Afdekkap kabel bovenz #Weber VTSR1000</t>
  </si>
  <si>
    <t>Sticker "OPEN VUUR VERBODEN" 100mm</t>
  </si>
  <si>
    <t>Sleutelkluis 180x125x50 RVS zonder cilin</t>
  </si>
  <si>
    <t>Momentsleutel 1/2" 40-200Nm          !C</t>
  </si>
  <si>
    <t>Gevelplaat RVS v 63/70mm mantelbuis</t>
  </si>
  <si>
    <t>Kabellastent lang L3,00xB2,00xH1,90meter</t>
  </si>
  <si>
    <t>VAK FL DN50 pi=8b Pa=2,5-5b #IGA SSV-2</t>
  </si>
  <si>
    <t>&gt;Zadel PE100 aft el-las 315-355x63mm+mof</t>
  </si>
  <si>
    <t>Mof verloop PE100 EL-las  90x63mm SDR11</t>
  </si>
  <si>
    <t>Schuurlinnen  K60 rol=25mx50mm</t>
  </si>
  <si>
    <t>Afdichtplug 152 x 63mm v mantelbuis 160</t>
  </si>
  <si>
    <t>Plaatschroef boorkop zelf ZK4,2X13 ds200</t>
  </si>
  <si>
    <t>Sticker A8 Liander + storingsnr (pak200)</t>
  </si>
  <si>
    <t>Snijr.kopp. recht 10mm x bu BSP1/4"</t>
  </si>
  <si>
    <t>Snijr.kopp. recht 10mm x bu BSP1/2"</t>
  </si>
  <si>
    <t>Snijr.kopp. recht 12mm x bu BSP1/2"</t>
  </si>
  <si>
    <t>Snijr.kopp. knie 10mm x bu BSP1/4"</t>
  </si>
  <si>
    <t>Snijr.kopp. knie 10mm x bu BSP1/2"</t>
  </si>
  <si>
    <t>BO-stop hoofdkraanverwisselgereedschap</t>
  </si>
  <si>
    <t>/Doos</t>
  </si>
  <si>
    <t>/Pallet</t>
  </si>
  <si>
    <t>/Rol</t>
  </si>
  <si>
    <t>/Lengte</t>
  </si>
  <si>
    <t>Label "Liander" tbv gaslek (zak25st)</t>
  </si>
  <si>
    <t>Sleutelkluis RVS D=65 H=132 z. cilinder</t>
  </si>
  <si>
    <t>Bord Open vuur verboden en Atex</t>
  </si>
  <si>
    <t>Sleepmat periodiek gaslekzoekonderhoud</t>
  </si>
  <si>
    <t>Snijr.kopp. instelbare knie 10mm-16x1,5</t>
  </si>
  <si>
    <t>Kroonsteen voor proefaders op JM stroken</t>
  </si>
  <si>
    <t>Aanwijsblok 10mm letter "B" geel/zwart</t>
  </si>
  <si>
    <t>Aanwijsblok 10mm letter "H" geel/zwart</t>
  </si>
  <si>
    <t>Aanwijsblok 10mm letter "L" geel/zwart</t>
  </si>
  <si>
    <t>Afsluiterindicator "NIET BEDIENEN"</t>
  </si>
  <si>
    <t>Zekering 2A testpen 20031076 kortsl.vst</t>
  </si>
  <si>
    <t>Testpen m krok.bek zwart incl.2A-zek</t>
  </si>
  <si>
    <t>Testpen m krok.bek rood  incl.2A-zek</t>
  </si>
  <si>
    <t>Gatzagenset 16-83mm HSS</t>
  </si>
  <si>
    <t>Schraper buiseinde tbv PE 32 SDR17,6</t>
  </si>
  <si>
    <t>Schraper buiseinde tbv PE 40 SDR17,6</t>
  </si>
  <si>
    <t>Betonboor 16,0x520mm #SDS-Max</t>
  </si>
  <si>
    <t>Betonboor 32,0x600mm #SDS-Max</t>
  </si>
  <si>
    <t>Betonboor 32,0x920mm #SDS-Max</t>
  </si>
  <si>
    <t>Beitel plat beton 25x400mm SDS-Max</t>
  </si>
  <si>
    <t>Spadebeitel beton 50x400mm SDS-Max</t>
  </si>
  <si>
    <t>Aansluitk. AK250 AC4 Klemmenkast Rechts</t>
  </si>
  <si>
    <t>/Tr. Pallet</t>
  </si>
  <si>
    <t>Sticker "GAS" 70x37mm (pak=25vel a 24st)</t>
  </si>
  <si>
    <t>Sticker "links draaiveld" 52x19mm</t>
  </si>
  <si>
    <t>Sticker "rechts draaiveld" 52x19mm</t>
  </si>
  <si>
    <t>Bord "hoge spanning levensgevaarlijk"</t>
  </si>
  <si>
    <t>&gt;MO   G4/G6  30mbar nieuwb+B PE40</t>
  </si>
  <si>
    <t>Buis St+PE  60,3x3,6mm draadp 2" L=6</t>
  </si>
  <si>
    <t>Krachtdop 1/2"-17mm #DO2012-0-017</t>
  </si>
  <si>
    <t>Schroevendraaier Torx T25 VDE</t>
  </si>
  <si>
    <t>Kithouder/pistool (zonder patroon)</t>
  </si>
  <si>
    <t>Zaagblad recipro metaal 3- 8mm L225#Bosc</t>
  </si>
  <si>
    <t>Hulpstuk v rerounding tbv PE-buis  50mm</t>
  </si>
  <si>
    <t>Hulpstuk v rerounding tbv PE-buis  63mm</t>
  </si>
  <si>
    <t>Hulpstuk v rerounding tbv PE-buis  75mm</t>
  </si>
  <si>
    <t>Hulpstuk v rerounding tbv PE-buis 110mm</t>
  </si>
  <si>
    <t>Mespatroon  80A DIN-2 gFF (supersnel)</t>
  </si>
  <si>
    <t>Plakband NYLON-versterkt 75/50</t>
  </si>
  <si>
    <t>Labelprinter Dymo Rhino 4200 !K</t>
  </si>
  <si>
    <t>Adapter v Dymo Labelpoint350(20034598)!K</t>
  </si>
  <si>
    <t>Kabelratelsnijtang 52mm v knippen aders</t>
  </si>
  <si>
    <t>Revisieset v regelaar Fisher 61L</t>
  </si>
  <si>
    <t>Meetklem voor draad (spanningsmeting)</t>
  </si>
  <si>
    <t>Testhulpstuk KP-II-tester v Tr-veld Magn</t>
  </si>
  <si>
    <t>Kabel trafo 20kV YMeKrvaslqwd 1x25Cu</t>
  </si>
  <si>
    <t>haspel</t>
  </si>
  <si>
    <t>Steekbats (schop) Atlas 00 m steel 110cm</t>
  </si>
  <si>
    <t>Schopsteel gebogen Atlas 90 cm (z schop)</t>
  </si>
  <si>
    <t>Voltstick-indicator-set v middenspann !C</t>
  </si>
  <si>
    <t>Aanwijsbord geel  "GAS" 120x160mm</t>
  </si>
  <si>
    <t>Zak blauw   70x110cm dkt=0,60mm polyeth.</t>
  </si>
  <si>
    <t>Schopsteel gebogen Atlas 120 cm(z schop)</t>
  </si>
  <si>
    <t>Draagkoker voor HS COQ stokken</t>
  </si>
  <si>
    <t>Zegelband 79x13mm, 2 gaten 7mm(ds=1000)</t>
  </si>
  <si>
    <t>Filterelement gas 123x69x165 # GS-05465</t>
  </si>
  <si>
    <t>&gt;Bocht PE100 spie-eind 11ºx200mm SDR17,6</t>
  </si>
  <si>
    <t>&gt;Bocht PE100 spie-eind 11ºx250mm SDR17,6</t>
  </si>
  <si>
    <t>&gt;Bocht PE100 spie-eind 11ºx315mm SDR17,6</t>
  </si>
  <si>
    <t>&gt;Bocht PE100 spie-eind 11ºx400mm SDR17,6</t>
  </si>
  <si>
    <t>&gt;Bocht PE100 sp-eind 22,5ºx400mm SDR17,6</t>
  </si>
  <si>
    <t>Bocht PE100 spie-eind 11º x200mm SDR11</t>
  </si>
  <si>
    <t>Bocht PE100 spie-eind 11º x250mm SDR11</t>
  </si>
  <si>
    <t>Bocht PE100 spie-eind 11º x315mm SDR11</t>
  </si>
  <si>
    <t>Bocht PE100 spie-eind 11º x400mm SDR11</t>
  </si>
  <si>
    <t>Inlaatfilter v gaslekzoektoestel(ds=100)</t>
  </si>
  <si>
    <t>BO-stop   1/2” M3 v hoofdkr.verwissel</t>
  </si>
  <si>
    <t>BO-stop 1" XS-flex v hoofdkr.verwissel</t>
  </si>
  <si>
    <t>BO-stop   3/4” M3 v hoofdkr.verwissel</t>
  </si>
  <si>
    <t>BO-stop   3/4” std v hoofdkr.verwissel</t>
  </si>
  <si>
    <t>Flens m draadgat ST  DN50 PN16 x bi Rp2"</t>
  </si>
  <si>
    <t>Knelapparaat mechanisch 20 - 63</t>
  </si>
  <si>
    <t>Tapbout zkt St8.8 M10x80 THVZ ds100</t>
  </si>
  <si>
    <t>&gt;Isolatiekap+ksv 250A MagnefixMD(GSMksv)</t>
  </si>
  <si>
    <t>&gt;Isolatiekap+ksv 450A MagnefixMD(GSMksv)</t>
  </si>
  <si>
    <t>&gt;Isolatiekap+ksv 250A MagnefixMF(GSMksv)</t>
  </si>
  <si>
    <t>&gt;Isolatiekap+ksv 450A MagnefixMF(GSMksv)</t>
  </si>
  <si>
    <t>Hangslot 2.7.44 beugel 30mm +2sl   #Lips</t>
  </si>
  <si>
    <t>Cilinder europr 2.7.x DZ 30/30 +2sl#Lips</t>
  </si>
  <si>
    <t>Hangslot 2.2 beugel 30mm           #Lips</t>
  </si>
  <si>
    <t>Cilinder europr 2.2 DZ 30/30       #Lips</t>
  </si>
  <si>
    <t>Cilinder europr 2.2 EZ 85/10       #Lips</t>
  </si>
  <si>
    <t>Cilinder europr 2.1 EZ 80/10       #Lips</t>
  </si>
  <si>
    <t>Cilinder europr 2.1 EZ 85/10       #Lips</t>
  </si>
  <si>
    <t>Cilinder europr 1.3 DZ 30/30       #Lips</t>
  </si>
  <si>
    <t>Cilinder europr 1.6.x DZ 30/30 +2sl#Lips</t>
  </si>
  <si>
    <t>Cilinder europr 1.2 EZ 80/10       #Lips</t>
  </si>
  <si>
    <t>Cilinder europr 1.2 EZ 85/10       #Lips</t>
  </si>
  <si>
    <t>Cilinder europr 1.3 EZ 65/10       #Lips</t>
  </si>
  <si>
    <t>Cilinder europr 1.3 EZ 80/10       #Lips</t>
  </si>
  <si>
    <t>Cilinder europr 1.3 EZ 85/10       #Lips</t>
  </si>
  <si>
    <t>Cilinder europr 1.6.x EZ 80/10 +2sl#Lips</t>
  </si>
  <si>
    <t>Cilinder europr 1.6.x EZ 85/10 +2sl#Lips</t>
  </si>
  <si>
    <t>Cilinder europr 1.6.29 DZ 30/30+2sl#Lips</t>
  </si>
  <si>
    <t>Cilinder europr 1.6.29 EZ 30/10+2sl#Lips</t>
  </si>
  <si>
    <t>Cilinder europr 1.6.29 EZ 55/10+2sl#Lips</t>
  </si>
  <si>
    <t>Hangslot 1.6.29 beugel 30mm +2sl   #Lips</t>
  </si>
  <si>
    <t>Cilinder europr 2.1 DZ 30/30       #Lips</t>
  </si>
  <si>
    <t>Cilinder europr 2.2 EZ 75/10       #Lips</t>
  </si>
  <si>
    <t>Cilinder europr 2.7.x EZ 80/10 +2sl#Lips</t>
  </si>
  <si>
    <t>Cilinder europr 2.7.x EZ 85/10 +2sl#Lips</t>
  </si>
  <si>
    <t>Cilinder europr 2.7.37 DZ 30/30+2sl#Lips</t>
  </si>
  <si>
    <t>Cilinder europr 2.7.37 EZ 30/10+2sl#Lips</t>
  </si>
  <si>
    <t>Cilinder europr 2.7.37 EZ 55/10+2sl#Lips</t>
  </si>
  <si>
    <t>Hangslot 2.7.37 beugel 30mm +2sl   #Lips</t>
  </si>
  <si>
    <t>Cilinder europr E/G EZ 80/10       #Lips</t>
  </si>
  <si>
    <t>Cilinder europr E/G EZ 85/10       #Lips</t>
  </si>
  <si>
    <t>Zadel PE100 aft el-las  63x 63mm</t>
  </si>
  <si>
    <t>Trilstamper BS-30-2 (Wackerstamper)</t>
  </si>
  <si>
    <t>Schroef Torx DIN7981 RVS A2 C3.9x25 T15</t>
  </si>
  <si>
    <t>Beschermdop KST gasmeter G10-1.1/4"</t>
  </si>
  <si>
    <t>Beschermdop KST gasmeter G10/G16-1.1/2"</t>
  </si>
  <si>
    <t>Beschermdop KST gasmeter G25-2"</t>
  </si>
  <si>
    <t>Beveiligingsautomaat 63A C-kar.</t>
  </si>
  <si>
    <t>Beveiligingsautomaat 80A C-kar.</t>
  </si>
  <si>
    <t>/Tr. Cont</t>
  </si>
  <si>
    <t>Spuit v. lekzoekvloeistof hogedruk 2lit.</t>
  </si>
  <si>
    <t>Bitadapter voor 1/4" doppen</t>
  </si>
  <si>
    <t>Aardingsstok MS v kogelbouten         !K</t>
  </si>
  <si>
    <t>Bitboor 3 mm tbv o.a 20031796</t>
  </si>
  <si>
    <t>Bitboor 6 mm tbv o.a 20031796</t>
  </si>
  <si>
    <t>Spiraalboor HSSE-CO D338  1,00mm</t>
  </si>
  <si>
    <t>Spiraalboor HSSE-CO D338  1,50mm</t>
  </si>
  <si>
    <t>Spiraalboor HSSE-CO D338  2,00mm</t>
  </si>
  <si>
    <t>Spiraalboor HSSE-CO D338  2,50mm</t>
  </si>
  <si>
    <t>Spiraalboor HSSE-CO D338  3,00mm</t>
  </si>
  <si>
    <t>Spiraalboor HSSE-CO D338  3,30mm</t>
  </si>
  <si>
    <t>Spiraalboor HSSE-CO D338  3,50mm</t>
  </si>
  <si>
    <t>Spiraalboor HSSE-CO D338  4,00mm</t>
  </si>
  <si>
    <t>Touw nylon  4 MM (klos=100m)</t>
  </si>
  <si>
    <t>Spiraalboor HSSE-CO D338  4,20mm</t>
  </si>
  <si>
    <t>Spiraalboor HSSE-CO D338  4,30mm</t>
  </si>
  <si>
    <t>Spiraalboor HSSE-CO D338  4,50mm</t>
  </si>
  <si>
    <t>Spiraalboor HSSE-CO D338  5,00mm</t>
  </si>
  <si>
    <t>Spiraalboor HSSE-CO D338  5,50mm</t>
  </si>
  <si>
    <t>Spiraalboor HSSE-CO D338  6,00mm</t>
  </si>
  <si>
    <t>Spiraalboor HSSE-CO D338  6,50mm</t>
  </si>
  <si>
    <t>Spiraalboor HSSE-CO D338  6,80mm</t>
  </si>
  <si>
    <t>Spiraalboor HSSE-CO D338  7,00mm</t>
  </si>
  <si>
    <t>Spiraalboor HSSE-CO D338  7,50mm</t>
  </si>
  <si>
    <t>Spiraalboor HSSE-CO D338  8,00mm</t>
  </si>
  <si>
    <t>Spiraalboor HSSE-CO D338  8,50mm</t>
  </si>
  <si>
    <t>Spiraalboor HSSE-CO D338  9,00mm</t>
  </si>
  <si>
    <t>Spiraalboor HSSE-CO D338  9,50mm</t>
  </si>
  <si>
    <t>Spiraalboor HSSE-CO D338 10,00mm</t>
  </si>
  <si>
    <t>Spiraalboor HSSE-CO D338 10,50mm</t>
  </si>
  <si>
    <t>Spiraalboor HSSE-CO D338 11,00mm</t>
  </si>
  <si>
    <t>Spiraalboor HSSE-CO D338 11,50mm</t>
  </si>
  <si>
    <t>Spiraalboor HSSE-CO D338 12,00mm</t>
  </si>
  <si>
    <t>Spiraalboor HSSE-CO D338 12,50mm</t>
  </si>
  <si>
    <t>Spiraalboor HSSE-CO D338 13,00mm</t>
  </si>
  <si>
    <t>Borenset HSSE-CO D338 set 1-10 0,5opl.</t>
  </si>
  <si>
    <t>Borenset HSSE-CO D338 set 1-13 0,5opl.</t>
  </si>
  <si>
    <t>Zadel RVS aft 188-210x2"     POLSAFE</t>
  </si>
  <si>
    <t>Zadel RVS blsgt 370-390x2.1/2" POLSAFE</t>
  </si>
  <si>
    <t>Bit 1/4" kruiskop PH-1 L=25mm</t>
  </si>
  <si>
    <t>Bit 1/4" kruiskop PH-2 L=25mm</t>
  </si>
  <si>
    <t>Bit 1/4" Kruiskop PZ-1 L=25mm</t>
  </si>
  <si>
    <t>Bit 1/4" Kruiskop PZ-2 L=25mm</t>
  </si>
  <si>
    <t>Vochtfilter v gaslekzoeker fabr GMI</t>
  </si>
  <si>
    <t>Klem ronddruk tbv buis PE  50mm</t>
  </si>
  <si>
    <t>Klem ronddruk tbv buis PE  63mm</t>
  </si>
  <si>
    <t>Klem ronddruk tbv buis PE  75mm</t>
  </si>
  <si>
    <t>Montagerail C-profiel 34x20mm  L=200cm</t>
  </si>
  <si>
    <t>Kabelbundelband 146x3,5 wit (zak=100st)</t>
  </si>
  <si>
    <t>Mespatroon 125A DIN-2 gFF (supersnel)</t>
  </si>
  <si>
    <t>Doseerpomp + muursteun voor Dreumex zeep</t>
  </si>
  <si>
    <t>Draagriem v gaslekzoeker (Leck Omio)</t>
  </si>
  <si>
    <t>Kruisadapter v gaslekzoeker (Leckomio)</t>
  </si>
  <si>
    <t>Autolader 12V v gaslekzoeker (20035101)</t>
  </si>
  <si>
    <t>Beschermhoes leer gaslekzoek (Leck Omio)</t>
  </si>
  <si>
    <t>Laadstation 1vaks gaslekzoeker(20035101)</t>
  </si>
  <si>
    <t>Lassok St   1/4” DIN2986</t>
  </si>
  <si>
    <t>Handpomp v gaslekzoeker (20035101)</t>
  </si>
  <si>
    <t>Revisieset v regelaar Fisher 298-EK DN50</t>
  </si>
  <si>
    <t>Revisieset v regelaar Fisher 298-EK DN80</t>
  </si>
  <si>
    <t>Schraapband voor metalen buizen</t>
  </si>
  <si>
    <t>Haaltrekmes voor buizen</t>
  </si>
  <si>
    <t>/Magnefix MD4 KKKT - 450A MetFrm (var.C)</t>
  </si>
  <si>
    <t>/Magnefix MD4 KKT - 450A MetFrm (var.A)</t>
  </si>
  <si>
    <t>&gt;Magnefix MD4 KKT - 450A ZonFrm (var.B)</t>
  </si>
  <si>
    <t>&gt;Magnefix MD4 KKT - 250A MetFrm (var.A)</t>
  </si>
  <si>
    <t>&gt;Magnefix MD4 KT - - MetFrm (std)</t>
  </si>
  <si>
    <t>Magnefix MF KKT - 450A ZonFrm</t>
  </si>
  <si>
    <t>Nettrafo 10kV  100kVA  DYN5 isol</t>
  </si>
  <si>
    <t>Nettrafo 10kV  100kVA DYN11 isol</t>
  </si>
  <si>
    <t>Nettrafo 10kV  100kVA DYN11 ghars</t>
  </si>
  <si>
    <t>Nettrafo 10kV  160kVA  DYN5 isol</t>
  </si>
  <si>
    <t>Nettrafo 10kV  160kVA DYN11 isol</t>
  </si>
  <si>
    <t>Nettrafo 10kV  160kVA DYN11 ghars</t>
  </si>
  <si>
    <t>Nettrafo 10kV  250kVA  DYN5 isol</t>
  </si>
  <si>
    <t>Nettrafo 10kV  250kVA DYN11 isol</t>
  </si>
  <si>
    <t>Nettrafo 10kV  250kVA DYN11 ghars</t>
  </si>
  <si>
    <t>Nettrafo  6kV  250kVA  DYN5 isol</t>
  </si>
  <si>
    <t>+Nettrafo 10kV  250kVA DYN11 elast</t>
  </si>
  <si>
    <t>Nettrafo 10kV  400kVA  DYN5 isol</t>
  </si>
  <si>
    <t>Nettrafo 10kV  400kVA DYN11 isol</t>
  </si>
  <si>
    <t>Nettrafo 10kV  400kVA DYN11 ghars</t>
  </si>
  <si>
    <t>Nettrafo  6kV  400kVA  DYN5 isol</t>
  </si>
  <si>
    <t>Nettrafo 10kV  400kVA DYN11 elast</t>
  </si>
  <si>
    <t>Nettrafo 10kV  630kVA  DYN5 isol</t>
  </si>
  <si>
    <t>Nettrafo 10kV  630kVA DYN11 isol</t>
  </si>
  <si>
    <t>Nettrafo 10kV  630kVA DYN11 ghars</t>
  </si>
  <si>
    <t>Nettrafo  6kV  630kVA  DYN5 isol</t>
  </si>
  <si>
    <t>Nettrafo 10kV  630kVA DYN11 elast</t>
  </si>
  <si>
    <t>Nettrafo 10kV 1000kVA  DYN5 isol</t>
  </si>
  <si>
    <t>Nettrafo 10kV 1000kVA DYN11 isol</t>
  </si>
  <si>
    <t>Nettrafo 10kV 1000kVA DYN11 ghars</t>
  </si>
  <si>
    <t>Nettrafo  6kV 1000kVA  DYN5 isol</t>
  </si>
  <si>
    <t>+Nettrafo 10kV 1000kVA DYN11 elast</t>
  </si>
  <si>
    <t>Nettrafo 10kV 2000kVA  DYN5 isol</t>
  </si>
  <si>
    <t>Nettrafo 10kV 2000kVA DYN11 isol</t>
  </si>
  <si>
    <t>Nettrafo 10kV 1600kVA  DYN5 isol</t>
  </si>
  <si>
    <t>Nettrafo 10kV 1600kVA DYN11 isol</t>
  </si>
  <si>
    <t>Nettrafo 10kV 2500kVA  DYN5 isol</t>
  </si>
  <si>
    <t>Nettrafo 10kV 2500kVA DYN11 isol</t>
  </si>
  <si>
    <t>Kopp. M-blind 230-268 DN225 TV #MJ3207 +</t>
  </si>
  <si>
    <t>Aanwijsblok 25mm letter "P"  geel/zwart</t>
  </si>
  <si>
    <t>Kaart A5 Gesch.bouw Voorl.bevest. (50st)</t>
  </si>
  <si>
    <t>Kaart A5 Gesch.bouw def.bevest. (50st)</t>
  </si>
  <si>
    <t>Flenspakking DN300 PN16    #PERMATIGHT</t>
  </si>
  <si>
    <t>Afschermingslab rubber (oranje) VDE1000V</t>
  </si>
  <si>
    <t>Stoffilter v. gaslekzoektoestel (25st)</t>
  </si>
  <si>
    <t>Filter hydrofoob v lekzoektoestel (10st)</t>
  </si>
  <si>
    <t>Filter v sleepmat gaslekzoektoestel</t>
  </si>
  <si>
    <t>Stoffilter sleepmat lekzoektoestel(25st)</t>
  </si>
  <si>
    <t>Filter hydrofoob sleepmat lekzoektoestel</t>
  </si>
  <si>
    <t>/Wegwerpoverall vlamvertr+asbest 5-6 XL</t>
  </si>
  <si>
    <t>&gt;Bocht Cu 90grd pers 15mm #Viega</t>
  </si>
  <si>
    <t>Hydropomp accu 36V tbv kabelknip app. !K</t>
  </si>
  <si>
    <t>Accu 24V v. hydraulische pomp (20035324)</t>
  </si>
  <si>
    <t>Dummie met klemafscherming DIN-00</t>
  </si>
  <si>
    <t>Doos groot tbv vervoer ADR-goederen</t>
  </si>
  <si>
    <t>Kaart onderbreking Elek(blok a 50 vel)</t>
  </si>
  <si>
    <t>Kaart verzoek om afspraak(blok a 50 vel)</t>
  </si>
  <si>
    <t>Reinigingsdoekjes v PE-lassen (bus100st)</t>
  </si>
  <si>
    <t>Sticker “pijl” (rol=500st)</t>
  </si>
  <si>
    <t>Sticker ADR klasse 9 (rol=500st)</t>
  </si>
  <si>
    <t>Sticker ADR klasse 8 (rol=500st)</t>
  </si>
  <si>
    <t>Sticker ADR klasse 4.1 (rol=500st)</t>
  </si>
  <si>
    <t>Sticker ADR klasse 3.0 (rol=500st)</t>
  </si>
  <si>
    <t>Sticker ADR klasse 2.2 (rol=500st)</t>
  </si>
  <si>
    <t>Sticker ADR klasse 2.1 (rol=500st)</t>
  </si>
  <si>
    <t>Klem ronddruk tbv buis PE 110mm</t>
  </si>
  <si>
    <t>Schakelaar/WCD bodemdeel enkel m1xPG16WD</t>
  </si>
  <si>
    <t>&gt;Strooizout v stoep+straat (emmer=7,5kg)</t>
  </si>
  <si>
    <t>&gt;Kabel 20kV YMeKrvaslqwd 1x630Cu + as50</t>
  </si>
  <si>
    <t>Hoffmankappen LS-rek R7-R11 (set=3st)</t>
  </si>
  <si>
    <t>Hoffmankap LS- rek R7-R11</t>
  </si>
  <si>
    <t>Koevoet 400mm</t>
  </si>
  <si>
    <t>Stootijzer vierkant lichtgewicht L=1400</t>
  </si>
  <si>
    <t>Handdrukballon v gaslekzoeker (20035101)</t>
  </si>
  <si>
    <t>Slang meetnippel gaslekzoeker (20035101)</t>
  </si>
  <si>
    <t>Adapter 7/8 flexkoppeling gasmeter G4/G6</t>
  </si>
  <si>
    <t>Adapter 7/8 tbv gasmeter G4/G6</t>
  </si>
  <si>
    <t>Voeding 230V v gaslekzoeker(20035101) !K</t>
  </si>
  <si>
    <t>Kaart "Niemand thuis" (blok a 50 vel)</t>
  </si>
  <si>
    <t>Hamer stratenmaker 2000 gram</t>
  </si>
  <si>
    <t>Koppeling M-S  46- 71x 63       #MJ3080+</t>
  </si>
  <si>
    <t>Koppeling M-S  84-105x110      #MJ3180+</t>
  </si>
  <si>
    <t>Koppeling M-S 104-132x110      #MJ3080+</t>
  </si>
  <si>
    <t>Koppeling M-S 154-192x160      #MJ3080+</t>
  </si>
  <si>
    <t>Koppeling M-M 154-192x154-192 TV#MJ3007+</t>
  </si>
  <si>
    <t>Koppeling M-M 104-132x104-132 TV#MJ3007+</t>
  </si>
  <si>
    <t>Koppeling M-M  46- 71x 46- 71 TV#MJ3007+</t>
  </si>
  <si>
    <t>Koppeling M-M  84-105x84-105 TV#MJ3007+</t>
  </si>
  <si>
    <t>Koppeling M-M  69- 90x 69- 90 TV#MJ3007+</t>
  </si>
  <si>
    <t>E-stuk M-FL  46- 71xDN 50 TV  #MJ3057+</t>
  </si>
  <si>
    <t>E-stuk M-FL  84-105xDN 80 TV  #MJ3057+</t>
  </si>
  <si>
    <t>E-stuk M-FL 104-132xDN100 TV #MJ3057+</t>
  </si>
  <si>
    <t>E-stuk M-FL 154-192xDN150 TV #MJ3057+</t>
  </si>
  <si>
    <t>Koppeling M-M 132-155x104-132 TV#MJ3107+</t>
  </si>
  <si>
    <t>Koppeling M-M 104-132x84-105 TV #MJ3107+</t>
  </si>
  <si>
    <t>Koppeling M-M 154-192x132-155 TV#MJ3107+</t>
  </si>
  <si>
    <t>Kopp. M-blind 104-132 DN100 TV #MJ3207+</t>
  </si>
  <si>
    <t>Kopp. M-blind 154-192 DN150 TV #MJ3207+</t>
  </si>
  <si>
    <t>Bindtouw Nylon 0,4mm L=1000m</t>
  </si>
  <si>
    <t>Kaart KTO (pak=50vel)</t>
  </si>
  <si>
    <t>Kaart"uw energiemeter niet verwiss" 50st</t>
  </si>
  <si>
    <t>Kaart "Afspraak geannuleerd" (pak=50vel)</t>
  </si>
  <si>
    <t>&gt;Bundel glasvezel+stekker 3x10 m GSM-KSV</t>
  </si>
  <si>
    <t>Dopsleutel geen-VDE 6-kant 10mm</t>
  </si>
  <si>
    <t>Handzaag-blad 18-tands 12" v metaal p.st</t>
  </si>
  <si>
    <t>Weldolet St 219,1x114,3mm   8x4"</t>
  </si>
  <si>
    <t>Verloop SV bu 1.1/2" x bi 2"</t>
  </si>
  <si>
    <t>Densokit WP40 x 4 (rol=2,5m)</t>
  </si>
  <si>
    <t>Kopp. PE adapter 104-132x110 TV MJ3067+</t>
  </si>
  <si>
    <t>Kopp. PE adapter 154-192x160 TV MJ3067+</t>
  </si>
  <si>
    <t>Kopp. PE adapter 192-232x200 TV MJ3067+</t>
  </si>
  <si>
    <t>Kopp. PE adapter 267-310x250 TV MJ3067+</t>
  </si>
  <si>
    <t>Kopp. PE adapter 315-356x315 TV MJ3067+</t>
  </si>
  <si>
    <t>Afstandsmeter digitaal</t>
  </si>
  <si>
    <t>Kabelbundelband 365x7,8 zwart(zak=100st)</t>
  </si>
  <si>
    <t>Kabelbundelband 540x13 zwart (zak=50st)</t>
  </si>
  <si>
    <t>&gt;Kabelbundelband 780x9,0 wit (zak=100st)</t>
  </si>
  <si>
    <t>Kogelafsluiter St 33,7mm PN40 L-L</t>
  </si>
  <si>
    <t>Kogelafsluiter St 42,4mm PN40 L-L</t>
  </si>
  <si>
    <t>Kogelafsluiter St 48,3mm PN40 L-L</t>
  </si>
  <si>
    <t>Kogelafsluiter St 60,3mm PN40 L-L</t>
  </si>
  <si>
    <t>/Magnefix MD4 KKBT W4 250A MetFrm (std)</t>
  </si>
  <si>
    <t>/Magnefix MD4 KKKT - 250A MetFrm (var.C)</t>
  </si>
  <si>
    <t>Snijr.kopp. instelbare knie 12mm-18x1,5</t>
  </si>
  <si>
    <t>Afdekdoek v kabel op haspel</t>
  </si>
  <si>
    <t>Hangslot 1.8.1 beugel 30mm +1sl    #Lips</t>
  </si>
  <si>
    <t>&gt;Uitbreidset meetkoffer dubbelstraat12mm</t>
  </si>
  <si>
    <t>Kopersulfaat v meetelektrode potje=100g</t>
  </si>
  <si>
    <t>Handcreme verzorgend (Tube=100ml)</t>
  </si>
  <si>
    <t>Koppeling M-S 192-232x200       #MJ3080+</t>
  </si>
  <si>
    <t>Snijr.kopp. recht 12mm x bu bsp 3/8"</t>
  </si>
  <si>
    <t>Snijr.kopp. recht 12mm x 12mm</t>
  </si>
  <si>
    <t>Snijr.kopp. haaks 12mm x 12mm</t>
  </si>
  <si>
    <t>Snijr.kopp. recht 12mm x 10mm</t>
  </si>
  <si>
    <t>Snijr.kopp. T-stuk 12 x bu bsp1/4" x 12</t>
  </si>
  <si>
    <t>Verloopring 3/8" bu x 1/4" bi -bsp</t>
  </si>
  <si>
    <t>Verloopring 1/2" bu x 1/4" bi  -bsp</t>
  </si>
  <si>
    <t>Verloopring 1/2" bu x 3/8" bi  -bsp</t>
  </si>
  <si>
    <t>Nippel dubbel 1/4" x 1/4"  -bsp</t>
  </si>
  <si>
    <t>Nippel dubbel 1/4" x 3/8"  -bsp</t>
  </si>
  <si>
    <t>Nippel dubbel 1/4" x 1/2"  -bsp</t>
  </si>
  <si>
    <t>Nippel dubbel 3/8" x 3/8"  -bsp</t>
  </si>
  <si>
    <t>&gt;BMA04 aansl. voor meetkoffer Kamstrup</t>
  </si>
  <si>
    <t>&gt;BMA10 aansl. voor meetkoffer Kamstrup</t>
  </si>
  <si>
    <t>Schutbuis teles PVC-SV 75 L=2x0,60m wd3</t>
  </si>
  <si>
    <t>Zeep v Tork-dispenser 1000ml#Tork 420810</t>
  </si>
  <si>
    <t>Zadel PE blsgt el-las  90x1.1/2" POLSAFE</t>
  </si>
  <si>
    <t>Jerrycan 10liter kunstst m kraan+vuldop</t>
  </si>
  <si>
    <t>Band polytheen geel "GAS" 200mmx2mmx50m</t>
  </si>
  <si>
    <t>Snijr.kopp. T-stuk 12 x bi bsp1/4" x 12</t>
  </si>
  <si>
    <t>Buigtang met slede voor koper + RVS 12mm</t>
  </si>
  <si>
    <t>Foudraal tbv Gereedschap (20 vaks)</t>
  </si>
  <si>
    <t>Datalogger v druk  10 bar</t>
  </si>
  <si>
    <t>Datalogger v druk  50 mbar</t>
  </si>
  <si>
    <t>Datalogger v druk 200 mbar</t>
  </si>
  <si>
    <t>Datakabel (USB) v druk datalogger</t>
  </si>
  <si>
    <t>Buigmal v 10kV en 20kV XLPE-kabel</t>
  </si>
  <si>
    <t>Flenspakking+filter driehoek  huisdr.reg</t>
  </si>
  <si>
    <t>Draadeind M16x1000 RVS</t>
  </si>
  <si>
    <t>Draadeind M20x1000 RVS</t>
  </si>
  <si>
    <t>Bedieningshendel Magnefix MF</t>
  </si>
  <si>
    <t>Aansluitpin 8mm soldeer v KB</t>
  </si>
  <si>
    <t>Aansluitplug 10mm2 v KB</t>
  </si>
  <si>
    <t>Ring keramisch  8mm v KB</t>
  </si>
  <si>
    <t>Kabel PE/PVC 1x10 zwart v kath.besch.</t>
  </si>
  <si>
    <t>Kabel PE/PVC 1x10 rood  v kath.besch.</t>
  </si>
  <si>
    <t>Blaas  50mm     nr.0 #Kleiss P3 MSD-500</t>
  </si>
  <si>
    <t>Overgangstuk PE100 110 SDR11/St114,3x3,6</t>
  </si>
  <si>
    <t>Kopp. mall St 2"    xPE63 TV+bus SDR17,6</t>
  </si>
  <si>
    <t>Kopp. mall St   3/4"xPE32 TV+bus SDR17,6</t>
  </si>
  <si>
    <t>Kabelclip 16/19 mm (ds=150stuks)</t>
  </si>
  <si>
    <t>Lamellenschijf v afbramen D=125mm</t>
  </si>
  <si>
    <t>Inbusset met gat 2 t/m 6mm (6-delig)</t>
  </si>
  <si>
    <t>PECu/PEKo PE40xCu35  2,50 SDR17,6</t>
  </si>
  <si>
    <t>Filterelement gas 106x72x138mm #GS-5401</t>
  </si>
  <si>
    <t>PECu/PEKo PE40xCu28  1,20 SDR17,6</t>
  </si>
  <si>
    <t>&gt;Windmolentrafo 630kVA DYN5 isol10kV/690</t>
  </si>
  <si>
    <t>Bitdop 1/4" x 10mm (M6) magnt.</t>
  </si>
  <si>
    <t>Bitdop 1/4" x 13mm (M10) magnt.</t>
  </si>
  <si>
    <t>Steekmof v beschermbuis flex 110mm</t>
  </si>
  <si>
    <t>Doos klein tbv vervoer ADR-goederen</t>
  </si>
  <si>
    <t>/Magnefix MD4 KKTT - 250A MetFrm (std)</t>
  </si>
  <si>
    <t>Zadel RVS aft 420-440x1.1/2" POLSAFE</t>
  </si>
  <si>
    <t>Zadel RVS aft 420-440x2"     POLSAFE</t>
  </si>
  <si>
    <t>Zadel RVS aft 520-540x1.1/2" POLSAFE</t>
  </si>
  <si>
    <t>Zadel RVS aft 520-540x2"     POLSAFE</t>
  </si>
  <si>
    <t>Kabelbundelband 99x2,5 zwart (zak=100st)</t>
  </si>
  <si>
    <t>Dispencer + nrs.0t/m9 adereind markering</t>
  </si>
  <si>
    <t>Doorslijpschijf metaal D=115mm d=1mm</t>
  </si>
  <si>
    <t>Kabelbeschermbuis PVC 160x4,7 rood L=6m</t>
  </si>
  <si>
    <t>Projectcontainer  1m3</t>
  </si>
  <si>
    <t>Projectcontainer  5FT</t>
  </si>
  <si>
    <t>Projectcontainer  8/10FT</t>
  </si>
  <si>
    <t>Projectcontainer 20FT</t>
  </si>
  <si>
    <t>/Eindsl XLPE 10kV 16 Kabeldon</t>
  </si>
  <si>
    <t>Sleepmat v gaslekzoeker (reserve)</t>
  </si>
  <si>
    <t>Schroevendraaier kruiskop VDE PZ1x 80</t>
  </si>
  <si>
    <t>Schroevendraaier kruiskop VDE PZ2x100</t>
  </si>
  <si>
    <t>Zaagblad recipro st/gy 400mm #Fein</t>
  </si>
  <si>
    <t>Zaagblad recipro st/gy 500mm #Fein</t>
  </si>
  <si>
    <t>Zaagblad recipro st/gy 600mm #Fein</t>
  </si>
  <si>
    <t>Verlichtingset polyester dak ms station</t>
  </si>
  <si>
    <t>Rotatieschiller PE  63mm #RS</t>
  </si>
  <si>
    <t>Rotatieschiller PE  75mm #RS</t>
  </si>
  <si>
    <t>Rotatieschiller PE 110mm #RS</t>
  </si>
  <si>
    <t>Rotatieschiller PE 125mm #RS</t>
  </si>
  <si>
    <t>Rotatieschiller PE 160mm #RS</t>
  </si>
  <si>
    <t>Rotatieschiller PE 200mm #RS</t>
  </si>
  <si>
    <t>Rotatieschiller PE 250mm #RS</t>
  </si>
  <si>
    <t>Rotatieschiller PE 315mm #RS</t>
  </si>
  <si>
    <t>Spindel v schuifafsl steekm #Hawle 9053</t>
  </si>
  <si>
    <t>Buis St+PE  33,7x3,2mm draad/laspijp L=6</t>
  </si>
  <si>
    <t>Buis St+PE  42,4x3,2mm draad/laspijp L=6</t>
  </si>
  <si>
    <t>Buis St+PE  48,3x3,2mm draad/laspijp L=6</t>
  </si>
  <si>
    <t>Buis St+PE  60,3x3,2mm laspijp L=12m GE</t>
  </si>
  <si>
    <t>Buis St+PE  88,9x3,6mm laspijp L=12m GE</t>
  </si>
  <si>
    <t>Buis St+PE 114,3x3,6mm laspijp L=12m GE</t>
  </si>
  <si>
    <t>Buis St+PE 168,3x4,0mm laspijp L=12m GE</t>
  </si>
  <si>
    <t>Buis St+PE 219,1x4,5mm laspijp L=12m GE</t>
  </si>
  <si>
    <t>Buis St+PE 273,0x5,0mm laspijp L=12m GE</t>
  </si>
  <si>
    <t>Buis St+PE 323,9x5,6mm laspijp L=12m GE</t>
  </si>
  <si>
    <t>Buis St+PE 406,4x6,3mm laspijp L=12m GE</t>
  </si>
  <si>
    <t>Fasevergelijker#HorstmannOrionCompare!C</t>
  </si>
  <si>
    <t>Schuifafsluiter ST 406,0mm PN16 L-L</t>
  </si>
  <si>
    <t>Isolatiedop v meterwisseling</t>
  </si>
  <si>
    <t>&gt;BDA10 aansluiting voor meetkoffer 10mm</t>
  </si>
  <si>
    <t>&gt;Aansluitset meetkoffer enkelstraat 10mm</t>
  </si>
  <si>
    <t>Kabel VO/VG-YMvKas  4x10+as10 VDEN</t>
  </si>
  <si>
    <t>Kabel VO/VG-YMvKas  4x16+as16 VDEN</t>
  </si>
  <si>
    <t>Afsluitdop O-ring afdichting bu BSP 1/4"</t>
  </si>
  <si>
    <t>Adaptor overgang met O-ring afd. 10mm</t>
  </si>
  <si>
    <t>Adaptor overgang met O-ring afd. 12mm</t>
  </si>
  <si>
    <t>Aderisolatiesnijder univ. primair #IMS</t>
  </si>
  <si>
    <t>Reservemes aderisolatiesnijder #IMS</t>
  </si>
  <si>
    <t>Sticker "drukdaling" gas (pak=250st)</t>
  </si>
  <si>
    <t>Filter v stolp sonde GLZ (20034313)</t>
  </si>
  <si>
    <t>Steekbats (schop) dul=35mm o.v.v. 00</t>
  </si>
  <si>
    <t>Bitumenband 200mm #Denso AV-G4</t>
  </si>
  <si>
    <t>Momentsleutel recht 40-200Nm          !C</t>
  </si>
  <si>
    <t>Opsteeksleutel 24mm tbv 20036312</t>
  </si>
  <si>
    <t>Opsteeksleutel 30mm tbv 20036312</t>
  </si>
  <si>
    <t>Litze plat  8mm2 vertind (rol=25 m)</t>
  </si>
  <si>
    <t>Litze plat 16mm2 (rol=50m)</t>
  </si>
  <si>
    <t>Litze plat 25mm2 (rol=50m)</t>
  </si>
  <si>
    <t>Kaart "tot maandag!" (50st)</t>
  </si>
  <si>
    <t>Litze plat 35mm2 vertind (rol=25m)</t>
  </si>
  <si>
    <t>Poster "niet vergeten" (50 st)</t>
  </si>
  <si>
    <t>Kaart "tot morgen!" (50st)</t>
  </si>
  <si>
    <t>Formulier "VIAG G22.23" (1 pak = 1 blok)</t>
  </si>
  <si>
    <t>Enveloppe "let op!" (ds=500st)</t>
  </si>
  <si>
    <t>Handout monteurs "de slimme meter"(50st)</t>
  </si>
  <si>
    <t>Schuifafsluiter PE+GGG  75mm PN10 EL-EL</t>
  </si>
  <si>
    <t>Hardsoldeerapp. v Pinbrazing#Easybond !K</t>
  </si>
  <si>
    <t>Verpakkingstape (Liander Logistiek)</t>
  </si>
  <si>
    <t>Schroefverbinder geisoleerd 25-185mm2</t>
  </si>
  <si>
    <t>Sticker meterkaart A1211 (pak = 50st.)</t>
  </si>
  <si>
    <t>Sticker meterkaart B0112 (pak = 50st.)</t>
  </si>
  <si>
    <t>Sticker meterkaart C0212 (pak = 50st.)</t>
  </si>
  <si>
    <t>Kentekenbord 2x12 posities afm.105x57mm</t>
  </si>
  <si>
    <t>Mof  1kV OV aftak/verb #Filof AVM58-220</t>
  </si>
  <si>
    <t>Thermometer infrarood handpistool #Fluke</t>
  </si>
  <si>
    <t>Gasgebrekklep 3/4" HKS wrt#WMG6i-W3/4V-N</t>
  </si>
  <si>
    <t>Nippel dubb verl Ms KK1"xR3/4" con</t>
  </si>
  <si>
    <t>Sorteerkoffer aanwijsplaatjes</t>
  </si>
  <si>
    <t>Schuifafsluiter PE+GGG 315mm PN10 EL-EL</t>
  </si>
  <si>
    <t>Planten(sop)spuit m verstelb spuitmond</t>
  </si>
  <si>
    <t>Mespatroon 361A DIN-3 gTr 250kVA trafo</t>
  </si>
  <si>
    <t>Mespatroon 577A DIN-3 gTr 400kVA trafo</t>
  </si>
  <si>
    <t>Mespatroon 909A DIN-3 gTr 630kVA trafo</t>
  </si>
  <si>
    <t>Brandblusser 2kg poeder vorstvrij ABC !K</t>
  </si>
  <si>
    <t>Modulairtang RJ-11 / 12 / 45</t>
  </si>
  <si>
    <t>Flens m draadgat ST  DN80 PN16 x bi Rp2"</t>
  </si>
  <si>
    <t>Flens m draadgat ST DN100 PN16 x bi Rp2"</t>
  </si>
  <si>
    <t>T-stuk split-T St  88,9 x  88,9mm</t>
  </si>
  <si>
    <t>T-stuk split-T St 114,3x114,3mm</t>
  </si>
  <si>
    <t>T-stuk split-T St 168,3x168,3mm</t>
  </si>
  <si>
    <t>T-stuk split-T St 219.1x219.1mm</t>
  </si>
  <si>
    <t>T-stuk split-T St 273,0x273,0mm</t>
  </si>
  <si>
    <t>T-stuk split-T St 323,9x323,9mm</t>
  </si>
  <si>
    <t>T-stuk split-T St 406,4x406,4mm</t>
  </si>
  <si>
    <t>Etiket "Bevat PCB's" (pak=25st)</t>
  </si>
  <si>
    <t>Etiket "PCB-vrij" (pak=25st)</t>
  </si>
  <si>
    <t>Aanwijsblok 10mm letter "C" geel/zwart</t>
  </si>
  <si>
    <t>Aanwijsblok 25mm letter "C"  geel/zwart</t>
  </si>
  <si>
    <t>Verf wit zijdeglans    (spuitbus 500ml)</t>
  </si>
  <si>
    <t>Gasmeterkopp S Ms MK3/4" x wrt GM3/4"#G4</t>
  </si>
  <si>
    <t>Zadel PVC-SV aft-blsgt  50mmx1.1/2"</t>
  </si>
  <si>
    <t>Reservemes v Jokari-mes (pak=3st.)</t>
  </si>
  <si>
    <t>Formulier VIAG 2010 G07/G12 (1pak=1blok)</t>
  </si>
  <si>
    <t>Kogelkraan Ms bi/bu Rp¾" x G1"</t>
  </si>
  <si>
    <t>Thermometer m sleepw+2 schak.cont #Jumo</t>
  </si>
  <si>
    <t>Meetpaal KST v kathod.besch L=2m geel</t>
  </si>
  <si>
    <t>Onderplaat v meetpaal Kath.Besch.</t>
  </si>
  <si>
    <t>Beker papier automaat #Cup2Paper DS1000</t>
  </si>
  <si>
    <t>Inzamelbox v automaatbekers Cup2Paper</t>
  </si>
  <si>
    <t>Trafo-aansluitvlag recht 630 kVA(set=4)</t>
  </si>
  <si>
    <t>PECu/PEKo PE32xCu22  2,50 SDR17,6</t>
  </si>
  <si>
    <t>PECu/PEKo PE32xCu22  3,75 SDR17,6</t>
  </si>
  <si>
    <t>PECu/PEKo PE32xCu22  5,00 SDR17,6</t>
  </si>
  <si>
    <t>PECu/PEKo PE32xCu22  6,25 SDR17,6</t>
  </si>
  <si>
    <t>PECu/PEKo PE32xCu22  7,50 SDR17,6</t>
  </si>
  <si>
    <t>PECu/PEKo PE32xCu22  8,75 SDR17,6</t>
  </si>
  <si>
    <t>PECu/PEKo PE32xCu22 10,00 SDR17,6</t>
  </si>
  <si>
    <t>Batterij oplb penl AA 1,2V2500LR06 (4st)</t>
  </si>
  <si>
    <t>PEcu/PEKo PE32xCu22 12,50 SDR17,6</t>
  </si>
  <si>
    <t>PECu/PEKo PE32xCu22  1,20 SDR17,6</t>
  </si>
  <si>
    <t>Sluitring vlak St  M6 ELVZ ds100</t>
  </si>
  <si>
    <t>Sluitring vlak St  M8 ELVZ ds100</t>
  </si>
  <si>
    <t>Sluitring vlak St M10 ELVZ ds100</t>
  </si>
  <si>
    <t>Keilbout St8.8 M10x 60x30 elvz ds25</t>
  </si>
  <si>
    <t>Tapbout zkt St8.8 M10x16 THVZ ds200</t>
  </si>
  <si>
    <t>Tapbout zkt St8.8 M10x20 THVZ ds100</t>
  </si>
  <si>
    <t>Tapbout zkt St8.8 M10x25 THVZ ds200</t>
  </si>
  <si>
    <t>Carrosseriering vlak St M8 ELVZ ds100</t>
  </si>
  <si>
    <t>Glijmoer St M8 ELVZ v Flamco-rail ds50</t>
  </si>
  <si>
    <t>Glijmoer St M10 ELVZ v Flamco-rail ds50</t>
  </si>
  <si>
    <t>Veerring St  M6 ELVZ  ds100</t>
  </si>
  <si>
    <t>Veerring St  M8 ELVZ  ds100</t>
  </si>
  <si>
    <t>Veerring St M10 ELVZ ds100</t>
  </si>
  <si>
    <t>Keilbout St8.8  MM8x50x45 elvz ds25</t>
  </si>
  <si>
    <t>Sluitring vlak St  M5 ELVZ ds100</t>
  </si>
  <si>
    <t>Veerring St  M5 ELVZ  ds100</t>
  </si>
  <si>
    <t>Blindklinkmoer M6 (ds 250st)</t>
  </si>
  <si>
    <t>Glijmoer St M8 ELVZ Al prof-rail zak100</t>
  </si>
  <si>
    <t>Metaalschroef bck kk  M5x30 ELVZ ds200</t>
  </si>
  <si>
    <t>Metaalschroef bck kk  M5x40 ELVZ ds200</t>
  </si>
  <si>
    <t>Metaalschroef bck kk  M6x20 ELVZ ds200</t>
  </si>
  <si>
    <t>Metaalschroef bck kk  M6x25 ELVZ ds200</t>
  </si>
  <si>
    <t>Metaalschroef bck kk  M6x30 ELVZ ds200</t>
  </si>
  <si>
    <t>Metaalschroef bck kk  M6x40 ELVZ ds200</t>
  </si>
  <si>
    <t>Metaalschroef bck kk  M8x20 ELVZ ds200</t>
  </si>
  <si>
    <t>Metaalschroef bck kk  M8x25 ELVZ ds200</t>
  </si>
  <si>
    <t>Metaalschroef bck kk  M8x40 ELVZ ds200</t>
  </si>
  <si>
    <t>Spiritus 85% (fles 1 liter)</t>
  </si>
  <si>
    <t>Spreidplug Messing M6 x 24         ds250</t>
  </si>
  <si>
    <t>Tapbout zkt St8.8 M6x16 THVZ  ds500</t>
  </si>
  <si>
    <t>Tapbout zkt St8.8 M6x20 THVZ  ds500</t>
  </si>
  <si>
    <t>Tapbout zkt St8.8 M6x25 THVZ  ds500</t>
  </si>
  <si>
    <t>Tapbout zkt St8.8 M6x30 THVZ  ds500</t>
  </si>
  <si>
    <t>Vuursteen voor komaansteker (DS 10st)</t>
  </si>
  <si>
    <t>Bitdop 1/4" x  7mm (magn)</t>
  </si>
  <si>
    <t>Klepzitting v. Fiorentini Reval 182 DN50</t>
  </si>
  <si>
    <t>&gt;Spanningsindicator v SVS-schak Wega 1.2</t>
  </si>
  <si>
    <t>&gt;Ombouwset Led naar Wega SVS excl Wega</t>
  </si>
  <si>
    <t>Batterij grote-staaf D 1,5V ALK 2st</t>
  </si>
  <si>
    <t>PECu/PEKo PE40xCu35  1,20 SDR17,6</t>
  </si>
  <si>
    <t>Lekzoekspray (fles a 500ml) #Gaspruf</t>
  </si>
  <si>
    <t>Testpen kortsluitvast zek=2A (set=2st)</t>
  </si>
  <si>
    <t>Knie PE100 EL-las 45°x 32mm SDR11+STB ..</t>
  </si>
  <si>
    <t>Knie PE100 EL-las 45°x 40mm SDR11 +STB..</t>
  </si>
  <si>
    <t>Knie PE100 EL-las 90°x 40mm SDR11 +STB</t>
  </si>
  <si>
    <t>Knie PE100 EL-las 90°x 32mm SDR11 +STB</t>
  </si>
  <si>
    <t>Mof verloop PE100 EL-las  32x25mm SDR11+</t>
  </si>
  <si>
    <t>Mof verloop PE100 EL-las  40x32mm SDR11+</t>
  </si>
  <si>
    <t>Mof verloop PE100 EL-las  50x40mm SDR11+</t>
  </si>
  <si>
    <t>Mof verloop PE100 EL-las  63x32mm SDR11+</t>
  </si>
  <si>
    <t>Mof verloop PE100 EL-las  63x40mm SDR11+</t>
  </si>
  <si>
    <t>Mof PE100 EL-las  32mm SDR11+STB SDR17,6</t>
  </si>
  <si>
    <t>Mof PE100 EL-las  40mm SDR11+STB SDR17,6</t>
  </si>
  <si>
    <t>Eindkap PE100 EL-las  32mm SDR11 +STB</t>
  </si>
  <si>
    <t>&gt;Eindkap PE100 EL-las  40mm SDR11 +STB</t>
  </si>
  <si>
    <t>Zadel PE100 aft el-las  63x 40mm</t>
  </si>
  <si>
    <t>Zadel PE100 aft el-las 110x 40mm</t>
  </si>
  <si>
    <t>Zadel PE100 aft el-las 160x 40mm</t>
  </si>
  <si>
    <t>Zadel PE100 aft el-las 200x 40mm</t>
  </si>
  <si>
    <t>Zadel PE100 aft el-las  40x 32mm</t>
  </si>
  <si>
    <t>&gt;Indicator Wega 1.2 sectievld 10-24kVSVS</t>
  </si>
  <si>
    <t>&gt;Indicator Wega 1.2 zekervld 10-24kV SVS</t>
  </si>
  <si>
    <t>Verwarmingselement voor  SVS</t>
  </si>
  <si>
    <t>Eindkap v 40mm beschermbuis v glasvezel</t>
  </si>
  <si>
    <t>Koppelstuk 40mm beschermbuis glasvezel</t>
  </si>
  <si>
    <t>Ring verl Rp 1.1/4"xG1.1/2"bt G16(KK)</t>
  </si>
  <si>
    <t>Ring verl Rp 1.1/2" x G2"bt G25 (KK)</t>
  </si>
  <si>
    <t>Aardscherm aansluitstrip voor magnefix</t>
  </si>
  <si>
    <t>Fundatie v aftakkast RVS (20005002)</t>
  </si>
  <si>
    <t>Reddingsdeken</t>
  </si>
  <si>
    <t>Houtboor 22mm</t>
  </si>
  <si>
    <t>Krachtdop 1/2"-24mm #DO2012-0-027</t>
  </si>
  <si>
    <t>&gt;Verloop PE100 sp-eind 110x90mm SDR17,6</t>
  </si>
  <si>
    <t>&gt;Verloop PE100 sp-eind 125x110mm SDR17,6</t>
  </si>
  <si>
    <t>&gt;T-stuk PE100 spie-eind 160mm SDR17,6</t>
  </si>
  <si>
    <t>&gt;T-stuk PE100 spie-eind 200mm SDR17,6</t>
  </si>
  <si>
    <t>&gt;T-stuk PE100 spie-eind 200x160mmSDR17,6</t>
  </si>
  <si>
    <t>&gt;Eindkap PE100 spie-eind 110mm SDR17,6</t>
  </si>
  <si>
    <t>&gt;Eindkap PE100 spie-eind 160mm SDR17,6</t>
  </si>
  <si>
    <t>&gt;Voorlaskraag PE100 sp-eind 200mmSDR17,6</t>
  </si>
  <si>
    <t>&gt;Bocht PE100 spie-eind 30°x 75mm SDR17,6</t>
  </si>
  <si>
    <t>&gt;Bocht PE100 spie-eind 45°x 75mm SDR17,6</t>
  </si>
  <si>
    <t>&gt;Bocht PE100 spie-eind 90°x 75mm SDR17,6</t>
  </si>
  <si>
    <t>&gt;Bocht PE100 sp-eind 22,5°x110mm SDR17,6</t>
  </si>
  <si>
    <t>&gt;Bocht PE100 spie-eind 30°x110mm SDR17,6</t>
  </si>
  <si>
    <t>&gt;Bocht PE100 spie-eind 90°x110mm SDR17,6</t>
  </si>
  <si>
    <t>&gt;Bocht PE100 sp-eind 22,5°x160mm SDR17,6</t>
  </si>
  <si>
    <t>&gt;Bocht PE100 spie-eind 30°x160mm SDR17,6</t>
  </si>
  <si>
    <t>&gt;Bocht PE100 spie-eind 45°x160mm SDR17,6</t>
  </si>
  <si>
    <t>&gt;Bocht PE100 spie-eind 90°x160mm SDR17,6</t>
  </si>
  <si>
    <t>Verloop PE100 sp-eind 110mm SDR11&gt;17,6</t>
  </si>
  <si>
    <t>Verloop PE100 sp-eind 160mm SDR11&gt;17,6</t>
  </si>
  <si>
    <t>Verloop PE100 sp-eind 200mm SDR11&gt;17,6</t>
  </si>
  <si>
    <t>Verloop PE100 sp-eind 250mm SDR11&gt;17,6</t>
  </si>
  <si>
    <t>Verloop PE100 sp-eind 315mm SDR11&gt;17,6</t>
  </si>
  <si>
    <t>Verloop PE100 sp-eind 400mm SDR11&gt;17,6</t>
  </si>
  <si>
    <t>Kogelkraan ms bi/bu Rp1" x G1"</t>
  </si>
  <si>
    <t>Buis PE100 RC oranje 63x5,8 SDR11  L=12m</t>
  </si>
  <si>
    <t>Buis PE100 RC oranje  75x6,8 SDR11 L=12m</t>
  </si>
  <si>
    <t>Buis PE100 RC oranje 110x10 SDR11  L=12m</t>
  </si>
  <si>
    <t>Buis PE100 RC oranje 160x14,6 SDR11  12m</t>
  </si>
  <si>
    <t>Buis PE100 RC oranje 200x18,2 SDR11  12m</t>
  </si>
  <si>
    <t>Buis PE100 RC oranje 250x22,8 SDR11  12m</t>
  </si>
  <si>
    <t>Buis PE100 RC oranje 315x28,7 SDR11  12m</t>
  </si>
  <si>
    <t>Buis PE100 RC oranje 400x36,3 SDR11  12m</t>
  </si>
  <si>
    <t>Buis PE100 RC oranje  32x3,0 SDR11 100m</t>
  </si>
  <si>
    <t>Buis PE100 RC oranje  63x5,8 SDR11 100m</t>
  </si>
  <si>
    <t>Buis PE100 RC oranje 75x6,8 SDR11 rol100</t>
  </si>
  <si>
    <t>Buis PE100 RC oranje 110x10 SDR11 rol100</t>
  </si>
  <si>
    <t>Buis PE100 RC oranje  32x3,0 SDR11 rol50</t>
  </si>
  <si>
    <t>Buis PE100 RC oranje  63x5,8 SDR11 rol50</t>
  </si>
  <si>
    <t>Buis PE100 RC oranje 110x10  SDR11 rol50</t>
  </si>
  <si>
    <t>&gt;Mof verloop PE100 EL-las  50x32mmSDR11+</t>
  </si>
  <si>
    <t>Schroevendraaier kruiskop VDE SL/PZ1x 80</t>
  </si>
  <si>
    <t>Schroevendraaier kruiskop VDE SL/PZ2x100</t>
  </si>
  <si>
    <t>Dummie met klemafscherming DIN-1</t>
  </si>
  <si>
    <t>Pakkingring 56,0x46,2x2,0 MTRKP-G10/G16</t>
  </si>
  <si>
    <t>Overgangstuk PE100 SDR11 32mmxbi 1" RVS</t>
  </si>
  <si>
    <t>Overgangstuk PE100 SDR11 32mmxbu 1" RVS</t>
  </si>
  <si>
    <t>Zadel PE100 aft el-las  50x 32mm</t>
  </si>
  <si>
    <t>Aardingsadapter 2,5-16 mm2</t>
  </si>
  <si>
    <t>Buis PVC-SV  75x2,0mm geel Kl.41 LT= 3m</t>
  </si>
  <si>
    <t>Voertuiginbouwhouder v Drager XAM5000</t>
  </si>
  <si>
    <t>Autolader 12/24V v Drager XAM5000</t>
  </si>
  <si>
    <t>Autoperf 3/4"</t>
  </si>
  <si>
    <t>Bit m sleufkop 0,8x4.0 v 20037958 VDE</t>
  </si>
  <si>
    <t>Bit Pozidrive SL/PZ1 kop v 20037958 VDE</t>
  </si>
  <si>
    <t>Bit m kruiskop SL/PZ2 kop v 20037958 VDE</t>
  </si>
  <si>
    <t>Bithouder Slim torque v 6mm v 20037958</t>
  </si>
  <si>
    <t>Handlamp ATEX zone 0</t>
  </si>
  <si>
    <t>Overgangstuk PE100  32mm/las St 1"</t>
  </si>
  <si>
    <t>Overgangstuk PE100  40mm/las St 1.1/4" </t>
  </si>
  <si>
    <t>Overgangstuk PE100  50mm/las St 1.1/2"</t>
  </si>
  <si>
    <t>Overgangstuk PE100  63mm/las St 2"</t>
  </si>
  <si>
    <t>Blokkeerfilter tbv bicotester T1660   !K</t>
  </si>
  <si>
    <t>Flexibele stroomtang tbv 20028846</t>
  </si>
  <si>
    <t>Reinigingsdoek Ecowash Power Wipes(90st)</t>
  </si>
  <si>
    <t>Centreerboor tbv gatzagenset (20034412)</t>
  </si>
  <si>
    <t>Verloop PE100 spie-eind 110x90mm SDR11</t>
  </si>
  <si>
    <t>Verloop PE100 spie-eind 160x110mm SDR11</t>
  </si>
  <si>
    <t>Verloop PE100 spie-eind 160x125mm SDR11</t>
  </si>
  <si>
    <t>Verloop PE100 spie-eind 200x160mm SDR11</t>
  </si>
  <si>
    <t>T-stuk PE100 spie-eind 110mm SDR11</t>
  </si>
  <si>
    <t>T-stuk PE100 spie-eind 160mm SDR11</t>
  </si>
  <si>
    <t>T-stuk PE100 spie-eind 160x110mm SDR11</t>
  </si>
  <si>
    <t>T-stuk PE100 spie-eind 200mm SDR11</t>
  </si>
  <si>
    <t>T-stuk PE100 spie-eind 200x110mm SDR11</t>
  </si>
  <si>
    <t>T-stuk PE100 spie-eind 200x160mm SDR11</t>
  </si>
  <si>
    <t>Eindkap PE100 spie-eind 110mm SDR11</t>
  </si>
  <si>
    <t>Eindkap PE100 spie-eind 160mm SDR11</t>
  </si>
  <si>
    <t>Eindkap PE100 spie-eind 200mm SDR11</t>
  </si>
  <si>
    <t>Voorlaskraag PE100spie-eind 200mm SDR11</t>
  </si>
  <si>
    <t>Bocht PE100 spie-eind 90° x110mm SDR11</t>
  </si>
  <si>
    <t>Bocht PE100 spie-eind 90° x160mm SDR11</t>
  </si>
  <si>
    <t>Bocht PE100 spie-eind 22,5° x110mm SDR11</t>
  </si>
  <si>
    <t>Bocht PE100 spie-eind 22,5° x160mm SDR11</t>
  </si>
  <si>
    <t>Bocht PE100 spie-eind 30° x110mm SDR11</t>
  </si>
  <si>
    <t>Bocht PE100 spie-eind 30° x160mm SDR11</t>
  </si>
  <si>
    <t>Bocht PE100 spie-eind 45° x110mm SDR11</t>
  </si>
  <si>
    <t>Bocht PE100 spie-eind 45° x160mm SDR11</t>
  </si>
  <si>
    <t>Accupack 3500 mAh Maglite MagCharger</t>
  </si>
  <si>
    <t>Reservelamp Maglite MagCharger</t>
  </si>
  <si>
    <t>Lamp kogel E27 LED 6,5W 2700K</t>
  </si>
  <si>
    <t>&gt;MO   G4/G6 100mbar Koper 22mm recht</t>
  </si>
  <si>
    <t>&gt;MO   G4/G6  30mbar PE 32mm haaks</t>
  </si>
  <si>
    <t>Kabelschaar  27mm t/m150mm2 Cu/AL VDE</t>
  </si>
  <si>
    <t>Draadzaag l=84cm, dia=2mm v PVC/PE buis</t>
  </si>
  <si>
    <t>Schroevendraaier zaagsn. klem 4x125</t>
  </si>
  <si>
    <t>Telefoontang VDE gebogen 45graden 200mm</t>
  </si>
  <si>
    <t>Kabelmantelmes v loodkabel VDE+besch.kap</t>
  </si>
  <si>
    <t>Klemmenblokset v PE32 PEKO-leiding-enkel</t>
  </si>
  <si>
    <t>Klemmenblokset v PE40 PEKO-leiding-enkel</t>
  </si>
  <si>
    <t>Beugel 150mm (enkele C-rail) v PEKO/PECU</t>
  </si>
  <si>
    <t>Kookplaat 1kW 1-pits    !K</t>
  </si>
  <si>
    <t>Inbussleutel stift T-model VDE  8x250mm</t>
  </si>
  <si>
    <t>Kabelhaak VDE</t>
  </si>
  <si>
    <t>Messen m breekpennen v Kabelsnijk TC-085</t>
  </si>
  <si>
    <t>Afdichtingsplaat kunststof 50x70mm</t>
  </si>
  <si>
    <t>&gt;Zadel PE blsgt el-las 250x2.1/2"POLSAFE</t>
  </si>
  <si>
    <t>&gt;Zadel PE blsgt el-las 315x2.1/2"POLSAFE</t>
  </si>
  <si>
    <t>Overbruggingskoppeling voor 1” sluitstuk</t>
  </si>
  <si>
    <t>Overbruggingskoppeling voor 1¼”sluitstuk</t>
  </si>
  <si>
    <t>Buigtang rond 160mm VDE</t>
  </si>
  <si>
    <t>Combinatietang 200mm VDE</t>
  </si>
  <si>
    <t>Platbektang VDE L=160mm</t>
  </si>
  <si>
    <t>Telefoontang VDE recht 200mm</t>
  </si>
  <si>
    <t>Waterpomptang VDE L=250mm</t>
  </si>
  <si>
    <t>Karton rib 1200x800mm enkele golf</t>
  </si>
  <si>
    <t>Dop afdicht Ms bi G1"</t>
  </si>
  <si>
    <t>Fietspomp</t>
  </si>
  <si>
    <t>Storingsverklikkers v SVS #Sigma-plus</t>
  </si>
  <si>
    <t>Inbussleutel bit VDE 3/8" -  5mm</t>
  </si>
  <si>
    <t>Inbussleutel bit VDE 3/8" -  6mm</t>
  </si>
  <si>
    <t>Inbussleutel bit VDE 3/8" -  8mm</t>
  </si>
  <si>
    <t>Inbussleutel bit VDE 3/8" - 10mm</t>
  </si>
  <si>
    <t>Ombouwset 1 naar 3-fase laagbouw</t>
  </si>
  <si>
    <t>Huisaansluitkast 3-fase max. 63A leeg</t>
  </si>
  <si>
    <t>Stijgleid.combik. 1-fase bev.aut. 40A C</t>
  </si>
  <si>
    <t>Stijgleid.combik. 3-fase bev.aut. 25A C</t>
  </si>
  <si>
    <t>Meterbord 220x350x50mm</t>
  </si>
  <si>
    <t>Ratelsleutel omschakelbaar 1000V/VDE</t>
  </si>
  <si>
    <t>Dopsleutel VDE 3/8" - 6-kant 10mm</t>
  </si>
  <si>
    <t>Dopsleutel VDE 3/8" - 6-kant 11mm</t>
  </si>
  <si>
    <t>Dopsleutel VDE 3/8" - 6-kant 12mm</t>
  </si>
  <si>
    <t>Dopsleutel VDE 3/8" - 6-kant 13mm</t>
  </si>
  <si>
    <t>Dopsleutel VDE 3/8" - 6-kant 14mm</t>
  </si>
  <si>
    <t>Dopsleutel VDE 3/8" - 6-kant 15mm</t>
  </si>
  <si>
    <t>Dopsleutel VDE 3/8" - 6-kant 16mm</t>
  </si>
  <si>
    <t>Dopsleutel VDE 3/8" - 6-kant 17mm</t>
  </si>
  <si>
    <t>Dopsleutel VDE 3/8" - 6-kant 19mm</t>
  </si>
  <si>
    <t>Dopsleutel VDE 3/8" - 6-kant 22mm</t>
  </si>
  <si>
    <t>Dopsleutel VDE 3/8" - 6-kant 24mm</t>
  </si>
  <si>
    <t>Sleutel verstelbaar  8" (Bahco) VDE</t>
  </si>
  <si>
    <t>Beugelzaag v metaal 150mm VDE Junior</t>
  </si>
  <si>
    <t>E-stuk MJ-FL 392-433xDN400TV PN10-PN16</t>
  </si>
  <si>
    <t>PECu/PEKo PE25xCu15  3,75 SDR17,6</t>
  </si>
  <si>
    <t>Schopsteel gebogen Atlas 95 cm (z schop)</t>
  </si>
  <si>
    <t>Steekbats Ruhr-Brillant 000 ¼ (z steel)</t>
  </si>
  <si>
    <t>T-opsteeksleutel 3/8” VDE</t>
  </si>
  <si>
    <t>Mof GPLK 10kV 3x240-300/XLPE20kV3x1x630</t>
  </si>
  <si>
    <t>Momentsleutel 3/8” VDE 10-50Nm        !C</t>
  </si>
  <si>
    <t>Pleisterbox</t>
  </si>
  <si>
    <t>Bit inbus 4mm VDE</t>
  </si>
  <si>
    <t>&gt;Muurbeugel verhoogd gasmeteropst CGR/KZ</t>
  </si>
  <si>
    <t>Inbussleutel stift T-model 5mm</t>
  </si>
  <si>
    <t>Slotkast opleg 1T M-paniek rechts #1533</t>
  </si>
  <si>
    <t>Slotkast opleg 1T M-paniek links  #1533</t>
  </si>
  <si>
    <t>Aardingsgarnituur LS 35mm2 &amp; 25mm2    !K</t>
  </si>
  <si>
    <t>Spie verl PE100 el-las 125x110mm SDR11</t>
  </si>
  <si>
    <t>Slijpschijf diamant D=125 mm</t>
  </si>
  <si>
    <t>Meetsnoeren set tbv multimeters (set=2)</t>
  </si>
  <si>
    <t>Afdichtdop v GPLK eindsluiting Magnefix</t>
  </si>
  <si>
    <t>Veerhouder snisvergrendeling MagnefixMD4</t>
  </si>
  <si>
    <t>Draad 25mm2 massief vertind (rol=44m)</t>
  </si>
  <si>
    <t>Dopsleutel T-greep 270mm - 6KT 13mm</t>
  </si>
  <si>
    <t>Dopsleutel T-greep 10mm L268mm</t>
  </si>
  <si>
    <t>Multimeter #Fluke 27II                !K</t>
  </si>
  <si>
    <t>Spanningtester 12-1000V #Duspol      !K</t>
  </si>
  <si>
    <t>kWh-trad 3f 120A 400V LDN/ODN</t>
  </si>
  <si>
    <t>Trafo-aansluitstrip 4DL  400kVA</t>
  </si>
  <si>
    <t>Trafo-aansluitstrip 4DL  630kVA</t>
  </si>
  <si>
    <t>Trafo-aansluitstrip 4DL 1000kVA (M42)</t>
  </si>
  <si>
    <t>Trafo-aansluitstrip 4DL 1000kVA (M46)</t>
  </si>
  <si>
    <t>Beugel vgasmeter G4/G6 St.GM 3/4"x220mm</t>
  </si>
  <si>
    <t>Schakelhandgreep tbv bediening Xiria</t>
  </si>
  <si>
    <t>Ringsleutel VDE 10mm</t>
  </si>
  <si>
    <t>Ringsleutel VDE 17mm</t>
  </si>
  <si>
    <t>Steeksleutel VDE 11mm</t>
  </si>
  <si>
    <t>Steeksleutel VDE 13mm</t>
  </si>
  <si>
    <t>Inbussleutel stift T-model VDE  6x200mm</t>
  </si>
  <si>
    <t>Inbussleutel stift T-model VDE  4x115mm</t>
  </si>
  <si>
    <t>Steeksleutel VDE 22mm</t>
  </si>
  <si>
    <t>Schroevendraaier Dop VDE 6-kant  8 mm</t>
  </si>
  <si>
    <t>Schroevendraaier Dop VDE 6-kant 10 mm</t>
  </si>
  <si>
    <t>Schroevendraaier zaagsn. VDE  6 x 150</t>
  </si>
  <si>
    <t>Schroevendraaier zaagsn. VDE 2,5 x ±75</t>
  </si>
  <si>
    <t>Schroevendraaier zaagsn. VDE  3 x ±100</t>
  </si>
  <si>
    <t>Schroevendraaier zaagsn. VDE  3,5 x ±100</t>
  </si>
  <si>
    <t>Schroevendraaier zaagsn. VDE  4,5 x ±125</t>
  </si>
  <si>
    <t>Schroevendraaier zaagsn. VDE  5,5 x ±125</t>
  </si>
  <si>
    <t>Schroevendraaier zaagsn. VDE  8 x ±175</t>
  </si>
  <si>
    <t>Schroevendraaier zaagsn. VDE 10 x ±200</t>
  </si>
  <si>
    <t>Kabelhaspel 50m 3xWCD+aarde spatwaterd!K</t>
  </si>
  <si>
    <t>Trap van Kunststof (3-treden)        !K</t>
  </si>
  <si>
    <t>Momentschroevendraaier  1-5 Nm VDE    !C</t>
  </si>
  <si>
    <t>Afvalzak binn 70x110x0,01cm v asbest</t>
  </si>
  <si>
    <t>PECu/PEKo PE40xCu35  6,25 SDR17,6</t>
  </si>
  <si>
    <t>Drukregelaar+B-kl hks bi-bi 3/4"</t>
  </si>
  <si>
    <t>Schroefbus 3/8“ x 12mm knel #EO</t>
  </si>
  <si>
    <t>Schroefbus 1/2“ x 12mm knel #EO</t>
  </si>
  <si>
    <t>Schroefbus 1/4“ x 12mm knel #EO</t>
  </si>
  <si>
    <t>Gripzak 300x400mm 3 schrijfvlakken</t>
  </si>
  <si>
    <t>Zaagblad tbv kabelmantelzaag Dick</t>
  </si>
  <si>
    <t>Zaagblad tbv kabelmantelzaag VDE</t>
  </si>
  <si>
    <t>Kabelmantelsnijder v kunststof MS-kabel</t>
  </si>
  <si>
    <t>Pijpsleutel  6/ 7mm</t>
  </si>
  <si>
    <t>Pijpsleutel  8/ 9mm</t>
  </si>
  <si>
    <t>Pijpsleutel 10/11mm</t>
  </si>
  <si>
    <t>Pijpsleutel 12/13mm</t>
  </si>
  <si>
    <t>Pijpsleutel 14/15mm</t>
  </si>
  <si>
    <t>Pijpsleutel 16/17mm</t>
  </si>
  <si>
    <t>Pijpsleutel 18/19mm</t>
  </si>
  <si>
    <t>Pijpsleutel 20/22mm</t>
  </si>
  <si>
    <t>Pijpsleutel 24/27mm</t>
  </si>
  <si>
    <t>Pijpsleutel 30/32mm</t>
  </si>
  <si>
    <t>kWh TRAD 3F 5(65)A ET LDN/ODN Din rail</t>
  </si>
  <si>
    <t>Statief v bouwlamp 3 poot 3dlg, 130-320</t>
  </si>
  <si>
    <t>Meterbord 220x330x50mm</t>
  </si>
  <si>
    <t>Schroevendraaier Kruiskop PZ-0 VDE</t>
  </si>
  <si>
    <t>Kabelselectie stroomslang (rood)#S220</t>
  </si>
  <si>
    <t>Scharnierbeugel voor bevestiging K-bord</t>
  </si>
  <si>
    <t>Nippel dubb mall bu-bu 1"     nr 280</t>
  </si>
  <si>
    <t>Ring verl mall bu-bi 1.1/2"x  3/4" nr 24</t>
  </si>
  <si>
    <t>Ring mall 3/4" x 1/2" nr 241</t>
  </si>
  <si>
    <t>Sok mall bi-bi 1"       nr 270</t>
  </si>
  <si>
    <t>Sok verl mall bi-bi   3/4"x  1/2" nr240</t>
  </si>
  <si>
    <t>Sok verl mall bi-bi 1.1/2"x1"    nr240</t>
  </si>
  <si>
    <t>Soknippel verl mall   1/2"x  3/4" nr.246</t>
  </si>
  <si>
    <t>Soknippel verl mall 1.1/4"x  3/4" nr.246</t>
  </si>
  <si>
    <t>Soknippel verl mall 1.1/2"x1"     nr.246</t>
  </si>
  <si>
    <t>Dop mall bi   3/4" nr 300</t>
  </si>
  <si>
    <t>Dop mall bi 1"     nr 300</t>
  </si>
  <si>
    <t>Compressor-insteeknippel 1/4" binnendr.</t>
  </si>
  <si>
    <t>Compressor-snelkoppeling 1/4" binnendr.</t>
  </si>
  <si>
    <t>Compressor-spiraalleiding 5m</t>
  </si>
  <si>
    <t>Compressor-blaaspistool 1/4" aansluiting</t>
  </si>
  <si>
    <t>Synthoglass SG 205: 50 mm x 1500 mm</t>
  </si>
  <si>
    <t>Synthoglass SG 309: 76 mm x 2700 mm</t>
  </si>
  <si>
    <t>Balk voor ondersteuning levering buis</t>
  </si>
  <si>
    <t>Drukregelaar+VAK 50mm 100mbar Dival</t>
  </si>
  <si>
    <t>Drukregelaar+VAK 50mm  30mbar Dival</t>
  </si>
  <si>
    <t>Drukregelaar+VAK 182 100mbar Reval</t>
  </si>
  <si>
    <t>Drukregelaar+VAK 182  30mbar Reval</t>
  </si>
  <si>
    <t>Snijr.kopp. recht 12mm x bu bsp 1/8"</t>
  </si>
  <si>
    <t>Snijr.kopp. knie 12mm x bu bsp 1/8"</t>
  </si>
  <si>
    <t>Verloopring 3/4" x 1/2" st</t>
  </si>
  <si>
    <t>Nippel dubb St bu R3/4"con x bu R3/4"con</t>
  </si>
  <si>
    <t>Isolatiebuis tbv M16 bout</t>
  </si>
  <si>
    <t>Isolatiebuis tbv M20 bout</t>
  </si>
  <si>
    <t>Lasklem inst 1-2,5mm2 5x #Wago 2273-205</t>
  </si>
  <si>
    <t>Rotatieschillerset d25-63 SDR11+17,6</t>
  </si>
  <si>
    <t>Diametermeter tbv meting buistolerantie</t>
  </si>
  <si>
    <t>Klem ronddruk tbv buis PE 200mm</t>
  </si>
  <si>
    <t>Guillotineschaar 63 t/m 125mm</t>
  </si>
  <si>
    <t>Guillotineschaar 90 t/m 225mm</t>
  </si>
  <si>
    <t>Lasklem tbv PE 250mm</t>
  </si>
  <si>
    <t>Lasklem tbv PE 315mm</t>
  </si>
  <si>
    <t>Lasklem tbv PE  63 t/m 200 mm</t>
  </si>
  <si>
    <t>Inspectiespiegel KS-Tools 175mm VDE</t>
  </si>
  <si>
    <t>Stootijzer vierkant L=1400</t>
  </si>
  <si>
    <t>Montagehulpstuk set compleet</t>
  </si>
  <si>
    <t>Montagehulpstuk set   63</t>
  </si>
  <si>
    <t>Montagehulpstuk set  90</t>
  </si>
  <si>
    <t>Montagehulpstuk set 110</t>
  </si>
  <si>
    <t>Montagehulpstuk set 160</t>
  </si>
  <si>
    <t>Montagehulpstuk set 200</t>
  </si>
  <si>
    <t>Montagehulpstuk set 250</t>
  </si>
  <si>
    <t>Montagehulpstuk set 315</t>
  </si>
  <si>
    <t>Reservemes v kabelmantelsnijder 20038034</t>
  </si>
  <si>
    <t>Slagdop inbus 1/2" x  4mm</t>
  </si>
  <si>
    <t>Slagdop inbus 1/2" x  5mm</t>
  </si>
  <si>
    <t>Slagdop inbus 1/2" x  8mm</t>
  </si>
  <si>
    <t>Slagdop inbus 1/2" x 10mm</t>
  </si>
  <si>
    <t>Slagdop inbus 1/2" x 12mm</t>
  </si>
  <si>
    <t>Tegenhouder v schroefverb. (geisoleerd)</t>
  </si>
  <si>
    <t>Aardingsadapter v LS-aardingsmes</t>
  </si>
  <si>
    <t>Klinkertrekker (incl. messen)</t>
  </si>
  <si>
    <t>Mes v klinkertrekker (20038520)</t>
  </si>
  <si>
    <t>Slotkast opleg 1T M-paniek links  #1543</t>
  </si>
  <si>
    <t>Slotkast opleg 1T M-paniek rechts #1543</t>
  </si>
  <si>
    <t>Aanwijsblok 10mm letter "G" geel/zwart</t>
  </si>
  <si>
    <t>Aanwijsblok 10mm letter "R" geel/zwart</t>
  </si>
  <si>
    <t>Blikschaar (ideaal doorloopschaar)</t>
  </si>
  <si>
    <t>Railaftakklem aftak 16-70mm2 v aardrail</t>
  </si>
  <si>
    <t>&gt;Buispatroon 25A aM 10x38mm tbv Laadpaal</t>
  </si>
  <si>
    <t>Afvalzak extra sterk 80x120x0,01"Asbest"</t>
  </si>
  <si>
    <t>Pijpensnijder 6-28 mm met ratel</t>
  </si>
  <si>
    <t>Zegelkap v deksel HAS kast ABB</t>
  </si>
  <si>
    <t>Lamellenschijf (Polyclean schijf) 125mm</t>
  </si>
  <si>
    <t>Slotkast opleg 1T Z-paniek links   #1522</t>
  </si>
  <si>
    <t>Slotkast opleg 1T Z-paniek rechts  #1522</t>
  </si>
  <si>
    <t>Sorteerkoffer kleine onderdelen</t>
  </si>
  <si>
    <t>Kopp. 2-dlg Ms gas wrt 1"x bu G1"</t>
  </si>
  <si>
    <t>Batterij staaf potlood AAA 1,5V ALK 10st</t>
  </si>
  <si>
    <t>Afsluitstop 601 - 1/2"</t>
  </si>
  <si>
    <t>Afsluitstop 601 - 3/4"</t>
  </si>
  <si>
    <t>Afsluitstop 601 - 1"</t>
  </si>
  <si>
    <t>Afsluitstop 601 - 1.1/4"</t>
  </si>
  <si>
    <t>Afsluitstop 601 - 1.1/2"</t>
  </si>
  <si>
    <t>Afsluitstop 601 - 2"</t>
  </si>
  <si>
    <t>Opzetstuk PVC-SV KR 50mmx1.1/2" SDR17,6</t>
  </si>
  <si>
    <t>Aansluitrail v aardset tbv LS kast</t>
  </si>
  <si>
    <t>Aansluitrail v aardset tbv LS rek (FR)</t>
  </si>
  <si>
    <t>&gt;MO  G4/G6  30mb 30mbar Koper 28mm haaks</t>
  </si>
  <si>
    <t>Metaalschroef bck kk  M8x30 ELVZ ds200</t>
  </si>
  <si>
    <t>Blindklinkmoertang v verschillende typen</t>
  </si>
  <si>
    <t>Batterij staaf penlight AA 1,5V ALK 10st</t>
  </si>
  <si>
    <t>Batterij Engelse staaf C 1,5V ALK 10st</t>
  </si>
  <si>
    <t>Schroefpatroonhouder D2 railmontage 1-p</t>
  </si>
  <si>
    <t>Schroefpatroonhouder D3 railmontage 1-p</t>
  </si>
  <si>
    <t>Pijpsleutel 21/23mm</t>
  </si>
  <si>
    <t>Kruissleutel v lichtmasten OV</t>
  </si>
  <si>
    <t>Reiniger"Cockpitspray" (spuitbus=600ml)</t>
  </si>
  <si>
    <t>&gt;Steunschalen PVC  75mm HDPE SDR17,6(2st</t>
  </si>
  <si>
    <t>Meshouder v kabelmantelsnijder 20038034</t>
  </si>
  <si>
    <t>Reservemes rotatieschiller 2 snijkanten</t>
  </si>
  <si>
    <t>Blindklinkmoer M8 (ds 250st)</t>
  </si>
  <si>
    <t>Tester optisch tbv glasvezel</t>
  </si>
  <si>
    <t>Knie mall 90° bi-bu 1" nr 92 verzinkt</t>
  </si>
  <si>
    <t>Schuim brandwerend NE 2-comp koker=380ml</t>
  </si>
  <si>
    <t>Slang iso brand vert D35 Cu&amp;1" St/PE</t>
  </si>
  <si>
    <t>Slang iso brand vert D42 Cu&amp;1.1/4" St/PE</t>
  </si>
  <si>
    <t>Slang iso brand vert D54 Cu&amp;1.1/2" St/PE</t>
  </si>
  <si>
    <t>Tape iso brand vert 2+3+4" St/PE (6mtr)</t>
  </si>
  <si>
    <t>Mengtuit v NE-schuim brand-rook (12st.)</t>
  </si>
  <si>
    <t>Schuimpistool NE schuim brand/rookwerend</t>
  </si>
  <si>
    <t>Lotion voor Hand&amp;Body 250ml</t>
  </si>
  <si>
    <t>Parapluhouder (klein)</t>
  </si>
  <si>
    <t>Amperetang open bek 10mm max 100A     !K</t>
  </si>
  <si>
    <t>Blindklinkmoer M5 (ds 250st)</t>
  </si>
  <si>
    <t>Boorhamer #HiKoki SDS-max 45mm       !K</t>
  </si>
  <si>
    <t>Buispatroonhouder 10x38mm tbv Laadpaal</t>
  </si>
  <si>
    <t>Accu (steek) tbv kniptang</t>
  </si>
  <si>
    <t>Kast 0,1m3 v HAS m vaste sokkel #Zador</t>
  </si>
  <si>
    <t>Verf RAL6009 dennengroen Lakstift</t>
  </si>
  <si>
    <t>Aggregaat 3000W                       !K</t>
  </si>
  <si>
    <t>Glasplaatje tbv XLPE/HPTE (set=2stuks)</t>
  </si>
  <si>
    <t>Verdeelblok stekker 4-dlg (5m snoer)  !K</t>
  </si>
  <si>
    <t>Sleuteltang verstelbaar (niet VDE)</t>
  </si>
  <si>
    <t>Aansluitvlag 200 t/m 400kVA v trafo</t>
  </si>
  <si>
    <t>Verzegelingsset v deksel oude has kast</t>
  </si>
  <si>
    <t>Inspectiespiegel (voor in lasgat)</t>
  </si>
  <si>
    <t>HAS Pi=3,0-8,0B Pu=100mb</t>
  </si>
  <si>
    <t>HAS Pi=1,5-4,0B Pu=100mb</t>
  </si>
  <si>
    <t>HAS Pi=0,4-1,0B Pu=100mb</t>
  </si>
  <si>
    <t>AS  G40 Pi=3,0-8,0B Qinst=260 DN=50/80</t>
  </si>
  <si>
    <t>AS  G40 Pi=1,5-4,0B Qinst=162 DN=50/50</t>
  </si>
  <si>
    <t>AS  G40 Pi=0,4-1,0B Qinst= 91 DN=50/50</t>
  </si>
  <si>
    <t>AS  G65 Pi=3,0-8,0B Qinst=400 DN=50/80</t>
  </si>
  <si>
    <t>AS  G65 Pi=1,5-4,0B Qinst=250 DN=50/80</t>
  </si>
  <si>
    <t>AS  G65 Pi=0,4-1,0B Qinst=140 DN=50/50</t>
  </si>
  <si>
    <t>AS G100 Pi=3,0-8,0B Qinst= 640 DN=50/100</t>
  </si>
  <si>
    <t>AS G100 Pi=1,5-4,0B Qinst= 400 DN=50/80</t>
  </si>
  <si>
    <t>AS G100 Pi=0,4-1,0B Qinst= 224 DN=50/80</t>
  </si>
  <si>
    <t>AS G160 Pi=3,0-8,0B Qinst=1000 DN=50/150</t>
  </si>
  <si>
    <t>AS G160 Pi=1,5-4,0B Qinst= 625 DN=50/100</t>
  </si>
  <si>
    <t>AS G160 Pi=0,4-1,0B Qinst= 350 DN=50/80</t>
  </si>
  <si>
    <t>DS Pi=3,0-8,0B Pu= 30mb DN 50/150 Q= 600</t>
  </si>
  <si>
    <t>DS Pi=1,5-4,0B Pu=100mb DN 50/150 Q= 600</t>
  </si>
  <si>
    <t>DS Pi=1,5-4,0B Pu= 30mb DN 50/150 Q= 600</t>
  </si>
  <si>
    <t>DS Pi=3,0-8,0B Pu=100mb DN 50/150 Q=1000</t>
  </si>
  <si>
    <t>DS Pi=3,0-8,0B Pu= 30mb DN 80/200 Q=1200</t>
  </si>
  <si>
    <t>DS Pi=1,5-4,0B Pu=100mb DN 80/200 Q=1200</t>
  </si>
  <si>
    <t>DS Pi=1,5-4,0B Pu= 30mb DN 80/200 Q=1200</t>
  </si>
  <si>
    <t>DS Pi=3,0-8,0B Pu=100mb DN 80/200 Q=2150</t>
  </si>
  <si>
    <t>OEL G160 Pi=3,0-8,0B Q=1000 DN 80/80</t>
  </si>
  <si>
    <t>Gasmeterkopp R GM3/4"bux GMWM 3/4" +N</t>
  </si>
  <si>
    <t>TA-stuk+drukreg+B-klep#WMRG-A+WMRG-10F</t>
  </si>
  <si>
    <t>TA-stuk+B-klep          #WMG-A+WMG6-FZV</t>
  </si>
  <si>
    <t>Kabel storingsring 3x 95Alrm+50 (L=15m)</t>
  </si>
  <si>
    <t>Kabel storingsring 4x150Alrm+4x6 (L=15m)</t>
  </si>
  <si>
    <t>Overbruggingskabel v meteropstelling gas</t>
  </si>
  <si>
    <t>Kabel  3kV YMeKaslqwd 3x25Cu rs + as</t>
  </si>
  <si>
    <t>Eindsluiting 3kV #EPKT-2041</t>
  </si>
  <si>
    <t>Gaslekzoek/drukmeter LeckOmio complt !C</t>
  </si>
  <si>
    <t>Kabelmantelmes m voet VDE</t>
  </si>
  <si>
    <t>Dompelpomp 220V dubbel geisoleerd    !K</t>
  </si>
  <si>
    <t>Slang tbv dompelpomp 20039018 (6mtr)</t>
  </si>
  <si>
    <t>Hogedrukspuit m lans v asbestkit</t>
  </si>
  <si>
    <t>Kniptang incl. accu + lader           !K</t>
  </si>
  <si>
    <t>Gasmeterkop S+N Ms MK3/4"x wrt GM3/4"#G4</t>
  </si>
  <si>
    <t>Deksel retrofit set O&amp;K voor oude kasten</t>
  </si>
  <si>
    <t>Krompasser 500mm</t>
  </si>
  <si>
    <t>Armatuur LED-TL voor 2x LED-tube 20W</t>
  </si>
  <si>
    <t>Gaslekzoek/drukm0-10000ppm/0-2000mbar!C</t>
  </si>
  <si>
    <t>&gt;Rolbandveer 44-70mm P65</t>
  </si>
  <si>
    <t>Aanschuiner tbv PE leidingen 20 tm 63mm</t>
  </si>
  <si>
    <t>&gt;kWh-AMR 1f 5(80)A CDMA DLMS SMR 5 Iskra</t>
  </si>
  <si>
    <t>Draadstuk 3 fase naar 1 fase</t>
  </si>
  <si>
    <t>Nettrafo  3/0.40kV  60kVA  DYN5 droog</t>
  </si>
  <si>
    <t>Nettrafo  3/0.40kV 100kVA  DYN5 droog</t>
  </si>
  <si>
    <t>Omslagmanchet  2" #DEKOTEC®-MTS55 Geel</t>
  </si>
  <si>
    <t>Omslagmanchet  3" #DEKOTEC®-MTS55 Geel</t>
  </si>
  <si>
    <t>Omslagmanchet  4" #DEKOTEC®-MTS55 Geel</t>
  </si>
  <si>
    <t>Omslagmanchet  6" #DEKOTEC®-MTS55 Geel</t>
  </si>
  <si>
    <t>Omslagmanchet  8" #DEKOTEC®-MTS55 Geel</t>
  </si>
  <si>
    <t>Omslagmanchet 10" #DEKOTEC®-MTS55 Geel</t>
  </si>
  <si>
    <t>Omslagmanchet 12" #DEKOTEC®-MTS55 Geel</t>
  </si>
  <si>
    <t>AS uitl G40/65 Pi=3/8 Pu=100 DN50/50</t>
  </si>
  <si>
    <t>AS uitl G100 Pi=3/8 Pu=100 DN50/80</t>
  </si>
  <si>
    <t>Inbussleutel stift haaks  4mm</t>
  </si>
  <si>
    <t>Kniestuk 1/2” tbv krachtdop</t>
  </si>
  <si>
    <t>Krachtdop 1/2"-30mm</t>
  </si>
  <si>
    <t>Krachtdop 1/2"-32mm</t>
  </si>
  <si>
    <t>Omslagmanchet  2"#Dirax 2375x24+Epoxy</t>
  </si>
  <si>
    <t>Omslagmanchet  3"#Dirax 3500x24+Epoxy</t>
  </si>
  <si>
    <t>Omslagmanchet  4"#Dirax 4500x24+Epoxy</t>
  </si>
  <si>
    <t>Omslagmanchet  6"#Dirax 6625x24+Epoxy</t>
  </si>
  <si>
    <t>Omslagmanchet  8"#Dirax 8625x24+Epoxy</t>
  </si>
  <si>
    <t>Omslagmanchet 10"#Dirax 10750x24+Epoxy</t>
  </si>
  <si>
    <t>Omslagmanchet 12"#Dirax 12750x24+Epoxy</t>
  </si>
  <si>
    <t>&gt;kWh-AMR 3f 5(100)A CDMA DLMS SMR5.0</t>
  </si>
  <si>
    <t>&gt;G-Mtr AMR G16 SMR 5.0 Mbus RF Flonidan</t>
  </si>
  <si>
    <t>&gt;G-Mtr AMR G6 SMR 5.0 Mbus RF L+G</t>
  </si>
  <si>
    <t>Kniestuk type1 v MS KP5 spanningstester</t>
  </si>
  <si>
    <t>Kniestuk type2 v MS KPII spanningstester</t>
  </si>
  <si>
    <t>Kniestuk type3 v MS KPII spanningstester</t>
  </si>
  <si>
    <t>Beugel 180mm C-rail PeKo/PeCu v kelderw</t>
  </si>
  <si>
    <t>Snelkoppeling 17KA 1/4 binnendraad</t>
  </si>
  <si>
    <t>Snelkoppeling 20KA 1/8 binnendraad</t>
  </si>
  <si>
    <t>Snelkoppeling 21KA 1/4 binnendraad</t>
  </si>
  <si>
    <t>Insteeknippel 17SF / 1/4 buitendraad</t>
  </si>
  <si>
    <t>Insteeknippel 21SF / 1/4 buitendraad</t>
  </si>
  <si>
    <t>Nettrafo 10/3kV 400kVA  DYN5 olie</t>
  </si>
  <si>
    <t>Buispatroon  3kV 10A voor magnefix MA</t>
  </si>
  <si>
    <t>Buispatroon  3kV 10A voor magnefix MG</t>
  </si>
  <si>
    <t>Doorverbinder 3kV magnefix MA+</t>
  </si>
  <si>
    <t>Doorverbinder 3kV magnefix MG</t>
  </si>
  <si>
    <t>Koppelstukken 3kV magnefix MA railzijdig</t>
  </si>
  <si>
    <t>Koppelrail 3kV magnefix MG railzijdig</t>
  </si>
  <si>
    <t>Mica grondplaat 3KV  2-velds magnefix MA</t>
  </si>
  <si>
    <t>Grondplaat Mica 3KV  3-velds magnefix MA</t>
  </si>
  <si>
    <t>Grondplaat Mica 3kV  3-velds magnefix MG</t>
  </si>
  <si>
    <t>Grondplaat Mica 3KV  4-velds magnefix MG</t>
  </si>
  <si>
    <t>Grondplaat Mica 3KV  5-velds magnefix MG</t>
  </si>
  <si>
    <t>Schakelkap 3kV magnefix MA 3-fase</t>
  </si>
  <si>
    <t>Schakelkap 3kV magnefix MA doorverbinder</t>
  </si>
  <si>
    <t>Schakelkap 3kV magnefix MA patroonhouder</t>
  </si>
  <si>
    <t>Schakelkap 3kV magnefix MG patroonhouder</t>
  </si>
  <si>
    <t>Schakelstok/handgreep 3kV v. magnefix MA</t>
  </si>
  <si>
    <t>Schakelstok/handgreep 3kV v. magnefix MG</t>
  </si>
  <si>
    <t>Schakelveld 3-fase 3kV magnefix MA plaat</t>
  </si>
  <si>
    <t>Schakelveld 3-fase 3kV magnefix MA</t>
  </si>
  <si>
    <t>Schakelveld 3-fase 3kV magnefix MG</t>
  </si>
  <si>
    <t>Netstation compleet 3kV</t>
  </si>
  <si>
    <t>Kabel  3kV   3x10 mm2 kunststof</t>
  </si>
  <si>
    <t>Kabel  3kV  3x16 mm2 kunststof</t>
  </si>
  <si>
    <t>Aardingsset 3kV Magnefix MA 3-fase</t>
  </si>
  <si>
    <t>Aardingsset 3kV Magnefix MG 3-fase</t>
  </si>
  <si>
    <t>Nettrafo 10/3kV 400kVA DYN11 olie</t>
  </si>
  <si>
    <t>Mof XLPE 10-20kV 1x630</t>
  </si>
  <si>
    <t>Mof XLPE 10-20kV 3x95-240</t>
  </si>
  <si>
    <t>Flyer "de slimme meter" (ds=500)</t>
  </si>
  <si>
    <t>Kaart "Aangepaste wz BAM" (blok a 50)</t>
  </si>
  <si>
    <t>Handleiding "slimme meter L&amp;G" (ds=500)</t>
  </si>
  <si>
    <t>Handleiding "slimme meter Kaifa"(ds=500)</t>
  </si>
  <si>
    <t>Handleiding "Itron gasmeters" (ds=500)</t>
  </si>
  <si>
    <t>Handleiding "L&amp;G G4 en G6" (ds=500)</t>
  </si>
  <si>
    <t>Kaart "Nieuwe afspraak BAM" (blok a 50)</t>
  </si>
  <si>
    <t>Kaart "meterstanden" (blok a 50)</t>
  </si>
  <si>
    <t>Mof XLPE 10-20kV 3x95-240 reparatie</t>
  </si>
  <si>
    <t>Eindsl XLPE 10-20kV 3x95-240 ks</t>
  </si>
  <si>
    <t>Eindsl XLPE 10-20kV 3x95-240 magnefix</t>
  </si>
  <si>
    <t>Eindsl XLPE 20kV 3x1x240 ks</t>
  </si>
  <si>
    <t>Eindsl XLPE 20kV 3x1x630 ks</t>
  </si>
  <si>
    <t>Eindsl XLPE 15-20kV 3x1x16-25Cu ks</t>
  </si>
  <si>
    <t>Mof GPLK 10kV 3x95-240</t>
  </si>
  <si>
    <t>Mof GPLK 10kV 3x35-95</t>
  </si>
  <si>
    <t>Mof GPLK 10kV 3x95-240/XLPE10-20kV3x240</t>
  </si>
  <si>
    <t>Mof GPLK 10kV 3x35-70/XLPE 10-20kV3x240</t>
  </si>
  <si>
    <t>Mof GPLK 10kV 3x95-240 reparatie</t>
  </si>
  <si>
    <t>Mof GPLK 10kV 3x35-95 reparatie</t>
  </si>
  <si>
    <t>Mof GPLK 10kV 3x10-35 reparatie</t>
  </si>
  <si>
    <t>Mof GPLK 10kV 3x10-35 / XLPE 10kV 3x95</t>
  </si>
  <si>
    <t>Mof GPLK 10kV 3x10-35</t>
  </si>
  <si>
    <t>&gt;Eindsluiting hks 10-20kV XLPE 3x1x630</t>
  </si>
  <si>
    <t>Kaart onderbreking Gas (blok a 50 vel)</t>
  </si>
  <si>
    <t>Kaart "Gaslekkage" (blok a 50 vel)</t>
  </si>
  <si>
    <t>Nettrafo  3/0.40kV  40kVA  DYN5 droog</t>
  </si>
  <si>
    <t>Nettrafo  3/0.40kV  40kVA  DYN5 olie</t>
  </si>
  <si>
    <t>Nettrafo  3/0.40kV  40kVA DYN11 droog</t>
  </si>
  <si>
    <t>Nettrafo  3/0.40kV  40kVA DYN11 olie</t>
  </si>
  <si>
    <t>Nettrafo  3/0.40kV  60kVA  DYN5 olie</t>
  </si>
  <si>
    <t>Nettrafo  3/0.40kV  60kVA DYN11 droog</t>
  </si>
  <si>
    <t>Nettrafo  3/0.40kV  60kVA DYN11 olie</t>
  </si>
  <si>
    <t>Nettrafo  3/0.40kV 100kVA  DYN5 olie</t>
  </si>
  <si>
    <t>Nettrafo  3/0.40kV 100kVA DYN11 droog</t>
  </si>
  <si>
    <t>Nettrafo  3/0.40kV 100kVA DYN11 olie</t>
  </si>
  <si>
    <t>Nettrafo  3/0.38kV  40kVA  DYN5 droog</t>
  </si>
  <si>
    <t>Nettrafo  3/0.38kV  40kVA  DYN5 olie</t>
  </si>
  <si>
    <t>Nettrafo  3/0.38kV  40kVA DYN11 droog</t>
  </si>
  <si>
    <t>Nettrafo  3/0.38kV  40kVA DYN11 olie</t>
  </si>
  <si>
    <t>Nettrafo  3/0.38kV  60kVA  DYN5 droog</t>
  </si>
  <si>
    <t>Nettrafo  3/0.38kV  60kVA  DYN5 olie</t>
  </si>
  <si>
    <t>Nettrafo  3/0.38kV  60kVA DYN11 droog</t>
  </si>
  <si>
    <t>Nettrafo  3/0.38kV  60kVA DYN11 olie</t>
  </si>
  <si>
    <t>Nettrafo  3/0.38kV 100kVA  DYN5 droog</t>
  </si>
  <si>
    <t>Nettrafo  3/0.38kV 100kVA  DYN5 olie</t>
  </si>
  <si>
    <t>Nettrafo  3/0.38kV 100kVA DYN11 droog</t>
  </si>
  <si>
    <t>Nettrafo  3/0.38kV 100kVA DYN11 olie</t>
  </si>
  <si>
    <t>Aansluitblokje voor 3 draden met pen</t>
  </si>
  <si>
    <t>Nettrafo 10/3kV 150kVA DYN11 olie</t>
  </si>
  <si>
    <t>Drukregelaar+VAK FL DN50 30mbar #RB4711</t>
  </si>
  <si>
    <t>Drukregelaar+VAK FL DN50 100mbar #RB4711</t>
  </si>
  <si>
    <t>Bedieningsknop GMO G4/6 hoofdkraan#Ermaf</t>
  </si>
  <si>
    <t>Kaart "Stroomstoring/Gasstoring"(ds=500)</t>
  </si>
  <si>
    <t>Schroevendraaier inbus 4mm L=186 VDE</t>
  </si>
  <si>
    <t>Schroevendraaier inbus 5mm L=186 VDE</t>
  </si>
  <si>
    <t>Bit inbus 5mm VDE</t>
  </si>
  <si>
    <t>Mof GPLK 10kV 3x50-95 / XLPE 10kV 3x95</t>
  </si>
  <si>
    <t>Deksel herplaatsbaar AVP</t>
  </si>
  <si>
    <t>Buis RVS 10x1,0mm AISI316 precisie L=3m</t>
  </si>
  <si>
    <t>Buis RVS 12x1,0mm AISI316 precisie L=3m</t>
  </si>
  <si>
    <t>Buis RVS 15x1,0mm AISI316 precisie L=3m</t>
  </si>
  <si>
    <t>Afvalzak extra sterk 60x 60x0,01"Asbest"</t>
  </si>
  <si>
    <t>Trafoklem 2-direct 16-95mm2 (set=3)</t>
  </si>
  <si>
    <t>Kabel YMvK  4x6Cu bl/br/zw/gry</t>
  </si>
  <si>
    <t>Slagdop inbus 1/2" x 19mm</t>
  </si>
  <si>
    <t>Afschermplaat Ls-zij 1000kVA-trafo+bev.b</t>
  </si>
  <si>
    <t>Raamtrekker</t>
  </si>
  <si>
    <t>Renovatie koppeling 1.1/4” v kelderwand</t>
  </si>
  <si>
    <t>Gevelkruiper 1”  incl gevelkap</t>
  </si>
  <si>
    <t>Kabel 20kV YMeKrvaslqwd 1x240Alrm + as25</t>
  </si>
  <si>
    <t>Kabelgoot 15x200x2000mm #Betterman</t>
  </si>
  <si>
    <t>/Mof GPLK 10kV 25-70/XLPE 20kV3x1x240Al</t>
  </si>
  <si>
    <t>/Mof GPLK 10kV 95-240/XLPE20kV3x1x240Al</t>
  </si>
  <si>
    <t>/Mof XLPE 10-20kV 3x95-240Al/3x1x240Al</t>
  </si>
  <si>
    <t>&gt;Kabel VD 70Cu gr/gl verdikte isolatie</t>
  </si>
  <si>
    <t>Kabelselectie apparaat compl v3 !C</t>
  </si>
  <si>
    <t>&gt;Buis PE100 zw/gl  75x 6,8 SDR11   L=12m</t>
  </si>
  <si>
    <t>&gt;Buis PE100 zw/gl 160x14,6 SDR11   L=12m</t>
  </si>
  <si>
    <t>&gt;Buis PE100 zw/gl 200x18,2 SDR11   L=12m</t>
  </si>
  <si>
    <t>Beveiligingskast type 1 v I-net</t>
  </si>
  <si>
    <t>+Beveiligingskast type 2 v I-net</t>
  </si>
  <si>
    <t>+Beveiligingskast type 3 v I-net</t>
  </si>
  <si>
    <t>+Montageframe v DA-kast tbv I-net</t>
  </si>
  <si>
    <t>Accu lood 12V 7Ah 151x65x98mm</t>
  </si>
  <si>
    <t>Tapbouten v montage B-/combiklep G4/G6</t>
  </si>
  <si>
    <t>Standschakelaar tbv I-net #Sirius</t>
  </si>
  <si>
    <t>Eindsl XLPE 20kV 3x1x240 magnefix</t>
  </si>
  <si>
    <t>Briefpapier Liander (DS=1000)</t>
  </si>
  <si>
    <t>Meetmal kabel</t>
  </si>
  <si>
    <t>Gevelkap RVS m leidingbeugel 32mm</t>
  </si>
  <si>
    <t>Renovatie koppeling 1” v kelderwand</t>
  </si>
  <si>
    <t>Markeerstift v PE-buis &amp; MS-kabel WIT</t>
  </si>
  <si>
    <t>Beproevingsapparatuur v MS-kab #HVA   !C</t>
  </si>
  <si>
    <t>Renovatie koperen doorvoer 22/32 L=0,60m</t>
  </si>
  <si>
    <t>Renovatie koperen doorvoer 22/32L=2,50m</t>
  </si>
  <si>
    <t>Renovatie koperen doorvoer 22/32L=3,75m</t>
  </si>
  <si>
    <t>Renovatie koperen doorvoer 22/32 L=5,00m</t>
  </si>
  <si>
    <t>Renovatie koperen doorvoer 22/32 L=6,25m</t>
  </si>
  <si>
    <t>Renovatie koperen doorvoer 22/32 L=7,50m</t>
  </si>
  <si>
    <t>Moer kunststof M40 v wartel metrisch</t>
  </si>
  <si>
    <t>Moer kunststof M20 v wartel metrisch</t>
  </si>
  <si>
    <t>Kast RVS met frontklep 0,1m3 #Zador</t>
  </si>
  <si>
    <t>Sokkel 0,1m3-kast RVS #Zador</t>
  </si>
  <si>
    <t>Muurkast RVS 1/2m3 met frontdeur #Zador</t>
  </si>
  <si>
    <t>Kast RVS 1/2m3 met frontdeur #Zador</t>
  </si>
  <si>
    <t>Sokkel 1/2m3-kast RVS #Zador</t>
  </si>
  <si>
    <t>Nettrafo 10/3kV 200kVA  DYN5 olie</t>
  </si>
  <si>
    <t>Soknippel verl mall 1"    x  3/4" nr246</t>
  </si>
  <si>
    <t>Borgpen + ring tbv 20039201</t>
  </si>
  <si>
    <t>Geologenhamer</t>
  </si>
  <si>
    <t>Sticker v storingen/fraude/de(pak25vel)</t>
  </si>
  <si>
    <t>&gt;Isolatielichaam hks v eindsl 16mm2+klem</t>
  </si>
  <si>
    <t>Kabellasdoos m 3 wartels IP40</t>
  </si>
  <si>
    <t>Vloerroosterklem thermisch verzinkt</t>
  </si>
  <si>
    <t>Kopp. 2-dlg Ms gas wrt 3/4” x bu G1”</t>
  </si>
  <si>
    <t>Afstandhouder gaslekdetectie D=13mm</t>
  </si>
  <si>
    <t>Afstandhouder gaslekdetectie D=17,5mm</t>
  </si>
  <si>
    <t>Nippel dubb verl mall 1"x 3/4" nr.245</t>
  </si>
  <si>
    <t>Aanwijsblok 10mm letter "J" geel/zwart</t>
  </si>
  <si>
    <t>Aanwijsblok 25mm letter "J" geel/zwart</t>
  </si>
  <si>
    <t>Wandcontactdoos RA dubbel v kabellasdoos</t>
  </si>
  <si>
    <t>Accu (schuif) tbv kniptang</t>
  </si>
  <si>
    <t>Clickerbout St M10x85 ELVZ ds50</t>
  </si>
  <si>
    <t>Kabelmes universeel 185mm VDE+besch.kap</t>
  </si>
  <si>
    <t>Kopp. M-blind 392-433 DN400 TV #MJ3207+</t>
  </si>
  <si>
    <t>E-stuk MJ-FL 500-532xDN500TV PN10/PN16</t>
  </si>
  <si>
    <t>EATON Xiria Block KKV 20kV tbv Windmolen</t>
  </si>
  <si>
    <t>Envelop C5 Liander met venster PB ds500</t>
  </si>
  <si>
    <t>Sticker "gevaar hoogspanning" (pak10vel)</t>
  </si>
  <si>
    <t>Sokkel verstel.1/2m3 RVS klapkast#Zador</t>
  </si>
  <si>
    <t>Kast elektra RVS incl bord</t>
  </si>
  <si>
    <t>Kaart onderbr. Gas aannemer blok=50vel</t>
  </si>
  <si>
    <t>Bit inbus 2,5mm VDE</t>
  </si>
  <si>
    <t>Ventilator dubbelwandige constructie  !K</t>
  </si>
  <si>
    <t>Opschuifplaten tbv mof (set van 4)</t>
  </si>
  <si>
    <t>Gasmeterkopp R GM3/4"bux GMWM 3/4"</t>
  </si>
  <si>
    <t>Gasmeterkopp S 250/300 1 ¾”x2 “#G10(set)</t>
  </si>
  <si>
    <t>Stofzuiger afvoerzak v 20039890 (pak10)</t>
  </si>
  <si>
    <t>Stofafzuigkap tbv slijpen</t>
  </si>
  <si>
    <t>Stofzuiger hulpstuk v 20039890</t>
  </si>
  <si>
    <t>Stofzuiger filter (M) v 20039890</t>
  </si>
  <si>
    <t>Slagdop inbus 1/2" x 14mm</t>
  </si>
  <si>
    <t>Schroefverbinder geisoleerd  2,5-10mm2</t>
  </si>
  <si>
    <t>Schroefverbinder geisoleerd 10-25mm2</t>
  </si>
  <si>
    <t>Bocht PE100 spie-eind 30° x315mm SDR11</t>
  </si>
  <si>
    <t>Kabelbokje/krukje</t>
  </si>
  <si>
    <t>&gt;Kabelbevestigingsklem 3x11-29mm</t>
  </si>
  <si>
    <t>&gt;Kabelbevestigingsklem 3x34-60mm</t>
  </si>
  <si>
    <t>/Kabelbevestigingsklem  60-78mm</t>
  </si>
  <si>
    <t>Schakelinstallatie 10kV Xiria KVV</t>
  </si>
  <si>
    <t>Steekwagen inklapbaar aluminium</t>
  </si>
  <si>
    <t>Drukregelaar tbv testen leckomio</t>
  </si>
  <si>
    <t>Monsternemer tbv transformator olie</t>
  </si>
  <si>
    <t>Adapter tbv monsternemer</t>
  </si>
  <si>
    <t>Fles  60ml tbv olie monsteren</t>
  </si>
  <si>
    <t>Fles 500ml tbv olie monsteren</t>
  </si>
  <si>
    <t>Schuurgaas K180, rol=25mx25mm</t>
  </si>
  <si>
    <t>Slang tbv oliemonsteren</t>
  </si>
  <si>
    <t>Spanningtester 10-20 kV               !K</t>
  </si>
  <si>
    <t>Sticker "Energiefraude" (pak = 250 st)</t>
  </si>
  <si>
    <t>Kaart onderh aan uw gasinstallatie 50vel</t>
  </si>
  <si>
    <t>Nettrafo 10kV/420V  630kVA DYN5 droog</t>
  </si>
  <si>
    <t>Nettrafo 10kV/420V 1000kVA DYN11 droog</t>
  </si>
  <si>
    <t>Schroefpatroon 16A D01 traag</t>
  </si>
  <si>
    <t>Reduceerklem v Patroonlastscheider(12st)</t>
  </si>
  <si>
    <t>Patroonlastscheider D01/02 1P 63A</t>
  </si>
  <si>
    <t>FlexOV device</t>
  </si>
  <si>
    <t>Beugel v montage FlexOV</t>
  </si>
  <si>
    <t>Eindsl XLPE 10-20kV 3x1x630 ks bu-opst</t>
  </si>
  <si>
    <t>LS-strook 910A boven/onder-aansluiting</t>
  </si>
  <si>
    <t>Dopsleutel 1/2" - 12-kant 13mm lang</t>
  </si>
  <si>
    <t>Dopsleutel 1/2" - 12-kant 17mm lang</t>
  </si>
  <si>
    <t>Rugzak gereedschap incl. frame</t>
  </si>
  <si>
    <t>Tapbout zkt St8.8 M10x60 THVZ ds100</t>
  </si>
  <si>
    <t>Filter v boormachine (20038730)</t>
  </si>
  <si>
    <t>Schroevendraaier 4x25x81 (Stubby)</t>
  </si>
  <si>
    <t>Steeksleutel 8mm No.8</t>
  </si>
  <si>
    <t>Buis St+PE 114,3x4,0mm laspijp L=12m ZW</t>
  </si>
  <si>
    <t>Buis St+PE 168,3x4,5mm laspijp L=12m ZW</t>
  </si>
  <si>
    <t>Buis St+PE 219,1x5,0mm laspijp L=12m ZW</t>
  </si>
  <si>
    <t>Accu 18V 5Ah (v 18V Bosch accumachines)</t>
  </si>
  <si>
    <t>Zadel PVC-SV aft 107mmx1.1/2"</t>
  </si>
  <si>
    <t>Aansluitkast meterb DIN00 vert. bouwkast</t>
  </si>
  <si>
    <t>Aansluitkast meterb DIN00 horiz bouwkast</t>
  </si>
  <si>
    <t>U-profiel laag v opstelling trafo (L=1m)</t>
  </si>
  <si>
    <t>/Router CDMA FlexOV</t>
  </si>
  <si>
    <t>Kabel ethernet shielded 50cm FlexOV</t>
  </si>
  <si>
    <t>DS Pi=3,0-8,0B Pu=100mb DN 50/80 Q=200</t>
  </si>
  <si>
    <t>Kleine poort met aardingsvoorziening</t>
  </si>
  <si>
    <t>Stofzuigerbuis kunststof v 20039890</t>
  </si>
  <si>
    <t>Zaagblad recipro voor takken</t>
  </si>
  <si>
    <t>Beugel L-vormig v montage FlexOV</t>
  </si>
  <si>
    <t>Reparatieset MJ3000 Grip. NBR DN150</t>
  </si>
  <si>
    <t>Reparatieset MJ3000 Grip. NBR DN200</t>
  </si>
  <si>
    <t>Reparatieset MJ3000 Grip. NBR DN225</t>
  </si>
  <si>
    <t>Reparatieset MJ3000 Grip. NBR DN250</t>
  </si>
  <si>
    <t>Reparatieset MJ3000 Grip. NBR DN100</t>
  </si>
  <si>
    <t>Reparatieset MJ3000 Grip. NBR DN125</t>
  </si>
  <si>
    <t>Reparatieset MJ3000 Grip. NBR DN300</t>
  </si>
  <si>
    <t>Reparatieset MJ3000 Bout DN125-150</t>
  </si>
  <si>
    <t>Reparatieset MJ3000 Bout DN200</t>
  </si>
  <si>
    <t>Reparatieset MJ3000 Bout DN225-250</t>
  </si>
  <si>
    <t>Reparatieset MJ3000 Bout DN300-350</t>
  </si>
  <si>
    <t>Insteeknippel slangtule (QR-koppeling)</t>
  </si>
  <si>
    <t>Elektrolasmachine voor PE #GF MSA2.1  !K</t>
  </si>
  <si>
    <t>Gatzaag 19mm (tbv 20040093)</t>
  </si>
  <si>
    <t>BO-stop 1" XSFL(13/11,5 mm) v 20040093</t>
  </si>
  <si>
    <t>BO-stop 3/4" M3FL(13/11,5 mm) v 20040093</t>
  </si>
  <si>
    <t>Sticker "REGELAAR NIET VERWIJDEREN"</t>
  </si>
  <si>
    <t>Overgangsstuk St.flens  DN50/ PE63mm</t>
  </si>
  <si>
    <t>Overgangsstuk St.flens  DN80/PE110mm</t>
  </si>
  <si>
    <t>Overgangsstuk St.flens DN100/PE110mm</t>
  </si>
  <si>
    <t>Overgangsstuk St.flens DN150/PE160mm</t>
  </si>
  <si>
    <t>Overgangsstuk St.flens DN200/PE200mm</t>
  </si>
  <si>
    <t>Beveiligingsautomaat 10A C-kar.</t>
  </si>
  <si>
    <t>&gt;kWh-AMR 1f 5(80)A CDMA DLMS SMR 5.0 Isk</t>
  </si>
  <si>
    <t>Afblaasunit PE 63mm PN10</t>
  </si>
  <si>
    <t>Zegelkap 43/48 KK1-1/4"</t>
  </si>
  <si>
    <t>Ontvetter BioSafe A (fles=50ml)</t>
  </si>
  <si>
    <t>Fundatieplaat EPS (2x1x0,25mtr)</t>
  </si>
  <si>
    <t>Mespatroon 361A DIN-4 gTr 250kVA trafo</t>
  </si>
  <si>
    <t>Mespatroon 577A DIN-4 gTr 400kVA trafo</t>
  </si>
  <si>
    <t>Mespatroon 909A DIN-4 gTr 630kVA trafo</t>
  </si>
  <si>
    <t>&gt;Regelaar + VAK GASCAT Brise DN50 30mbar</t>
  </si>
  <si>
    <t>ZGC 2” PE 110X63 SDR17,6</t>
  </si>
  <si>
    <t>ZGC 4” PE 110X110 SDR17,6</t>
  </si>
  <si>
    <t>Meetslang (spiraal) 2x rectus 21</t>
  </si>
  <si>
    <t>Snelkoppeling 21KA 20SF (rectus20-&gt;21)</t>
  </si>
  <si>
    <t>Meetslang met rectus 21 X petes insteek</t>
  </si>
  <si>
    <t>Ontvetter/remmenreiniger Motip</t>
  </si>
  <si>
    <t>Klemmenkast v meting excl beveiliging</t>
  </si>
  <si>
    <t>Aardingsset tr.veld md/mf kogelb.20mm!K</t>
  </si>
  <si>
    <t>Zadel RVS aft 149-169x1.1/2" POLSAFE</t>
  </si>
  <si>
    <t>Zadel RVS aft 149-169x 2" POLSAFE</t>
  </si>
  <si>
    <t>Pakkingring 49x40,2x2 G10 DIN (oud)</t>
  </si>
  <si>
    <t>Pakkingring 53,5x42,0x2,0 KK1.1/2"</t>
  </si>
  <si>
    <t>Pakkingring 65,5x54,0x2,0 KK 2"</t>
  </si>
  <si>
    <t>Brugstuk RVS ZGC 2”&amp;4”</t>
  </si>
  <si>
    <t>Strippenset RVS v brugstuk ZGC 2”&amp; 4”</t>
  </si>
  <si>
    <t>&gt;kWh-AMR 3f 5(100)A CDMA DLMS SMR  5.0</t>
  </si>
  <si>
    <t>&gt;kWh-AMR 1f 5(80)A GPRS DLMS SMR 5.0  LG</t>
  </si>
  <si>
    <t>&gt;kWh-AMR 3f 5(100)A GPRS DLMS SMR5.0  LG</t>
  </si>
  <si>
    <t>Krompasser 150mm</t>
  </si>
  <si>
    <t>Krompasser 200mm</t>
  </si>
  <si>
    <t>Krompasser 300mm</t>
  </si>
  <si>
    <t>Schuifmaat (digitaal)</t>
  </si>
  <si>
    <t>Deur Xiria Eaton 20 kA-1s + 100 mm</t>
  </si>
  <si>
    <t>BO-stop 1.1/4" M5V v hoofdkr. verwissel</t>
  </si>
  <si>
    <t>BO-stop huis 1,5"</t>
  </si>
  <si>
    <t>Beugel v hoekverdraaiing HEHA 760x100x8</t>
  </si>
  <si>
    <t>Beugel v hoekverdraaiing HEHA 850x100x8</t>
  </si>
  <si>
    <t>Mof XLPE 20kV 1x150-240</t>
  </si>
  <si>
    <t>Kaart Verzoek om afspraak gasinspectie</t>
  </si>
  <si>
    <t>Spleetmondstuk 250 mm v stofzuiger Bosch</t>
  </si>
  <si>
    <t>Vloerzuigmondset v stofzuiger (Bosch)</t>
  </si>
  <si>
    <t>Bochtstuk v stofzuiger (Bosch)</t>
  </si>
  <si>
    <t>+Kabelset 5-velds DA-kast 1100-2274 3mtr</t>
  </si>
  <si>
    <t>+Accu DA kast los 1100-0402</t>
  </si>
  <si>
    <t>+Scheider los P111n relais 2418-0182</t>
  </si>
  <si>
    <t>Snoer los deur contact 20 mtr 1110-225</t>
  </si>
  <si>
    <t>Paraplu tbv montagewerk 250cm</t>
  </si>
  <si>
    <t>Schakelhandgreep tbv COQ</t>
  </si>
  <si>
    <t>Kit v kelderwand waterdicht #Aquaswell</t>
  </si>
  <si>
    <t>Magnefix MF KKKT - 450A ZonFrm</t>
  </si>
  <si>
    <t>Omtrekmeter 60-950mm</t>
  </si>
  <si>
    <t>Toolkit voor gasregelstations</t>
  </si>
  <si>
    <t>Slang iso brand vert D22 Cu22mm</t>
  </si>
  <si>
    <t>Slang iso brand vert D28 Cu28mm</t>
  </si>
  <si>
    <t>Schuimkap type Solcap-1 75mm</t>
  </si>
  <si>
    <t>Schuimkap type Solcap-2 111mm</t>
  </si>
  <si>
    <t>Schuimkap type Solcap-3 161mm</t>
  </si>
  <si>
    <t>Wiggen v. centreren Cu branddoorvoer</t>
  </si>
  <si>
    <t>Zegelkap 16/21 KK 1/2" voor kraan 15 mm</t>
  </si>
  <si>
    <t>Aanwijspaal zwart/geel “GAS”</t>
  </si>
  <si>
    <t>Aanwijspaal Zinker zwart/geel “Z-GAS”</t>
  </si>
  <si>
    <t>Aanwijspaal Zinker zwart/geel “K-Kabel”</t>
  </si>
  <si>
    <t>Kabelbevest.blok Xiria 26-38 mm (1 fase)</t>
  </si>
  <si>
    <t>Test unit v dubbelpoligespanningstester</t>
  </si>
  <si>
    <t>Silicagel (bus=3kg)</t>
  </si>
  <si>
    <t>Slijpmachine hks 18V zonde accu/lader!K</t>
  </si>
  <si>
    <t>Deksel GEB zwart met witte letters</t>
  </si>
  <si>
    <t>Adapter G 1” v affakkelinstallatie</t>
  </si>
  <si>
    <t>Koppel. M-M 392-433x315-356 TV #MJ3007+</t>
  </si>
  <si>
    <t>Kopp. PE adapter 46-71x 63 TV MJ3067+</t>
  </si>
  <si>
    <t>Sok verl mall bi-bi 1.1/2"x  3/4" nr 240</t>
  </si>
  <si>
    <t>Soknippel verl mall   1/4"x  1/8" nr.246</t>
  </si>
  <si>
    <t>Soknippel verl mall 1.1/2"x  3/4" nr.246</t>
  </si>
  <si>
    <t>Manchet rubber 160-180mm DN150</t>
  </si>
  <si>
    <t>PECu/PEKo PE25xCu15  6,25 WD2,3</t>
  </si>
  <si>
    <t>PECu/PEKo PE25xCu15  1,85 WD2,3</t>
  </si>
  <si>
    <t>Kopp. mall St 3/4"xPE25 TV+bus SDR17,6</t>
  </si>
  <si>
    <t>Kogelkraan ms  bi/bu Rp¾" x G1" haaks</t>
  </si>
  <si>
    <t>Dop mall bi   1/2" nr 300</t>
  </si>
  <si>
    <t>Dop mall bi 1.1/4" nr 300</t>
  </si>
  <si>
    <t>Dop mall bi 1.1/2" nr 300</t>
  </si>
  <si>
    <t>Dop mall bi 2"     nr 300</t>
  </si>
  <si>
    <t>Nippel dubb mall bu-bu   3/4" nr 280</t>
  </si>
  <si>
    <t>Nippel dubb mall bu-bu   2"   nr 280</t>
  </si>
  <si>
    <t>Sok mall bi-bi   1/4"  nr 270</t>
  </si>
  <si>
    <t>Sok mall bi-bi   1/2"  nr 270</t>
  </si>
  <si>
    <t>Sok mall bi-bi   2"  nr 270</t>
  </si>
  <si>
    <t>Verlengkast stijgkabel v open railkast</t>
  </si>
  <si>
    <t>Ls-rek R5 v 5 groepen m1 groep 250A C3P</t>
  </si>
  <si>
    <t>PECu/PEKo PE25xCu15  7,50 WD2,3</t>
  </si>
  <si>
    <t>&gt;kWh-AMR 3f 5(100)A CDMA DLMS SMR 5.0</t>
  </si>
  <si>
    <t>&gt;kWh-AMR 1f 5(80)A CDMA DLMS SMR 5.0</t>
  </si>
  <si>
    <t>Zadel PE blsgt el-las 63x2"-2.1/2" HD1</t>
  </si>
  <si>
    <t>Magneet met haak (tbv RMU)</t>
  </si>
  <si>
    <t>Afbakeningsketting 25mtr (tbv RMU)</t>
  </si>
  <si>
    <t>Steekmof v beschermbuis flex 160mm</t>
  </si>
  <si>
    <t>Vloerbeugel gasmeterG4/G6St.GM3/4"x220mm</t>
  </si>
  <si>
    <t>/Kr. doos (HU)</t>
  </si>
  <si>
    <t>/Kr. pallet (HU)</t>
  </si>
  <si>
    <t>/Kr. rol (HU)</t>
  </si>
  <si>
    <t>/Kr. lengte (HU)</t>
  </si>
  <si>
    <t>/Kr. container (HU)</t>
  </si>
  <si>
    <t>/Kr. trafo (HU)</t>
  </si>
  <si>
    <t>/Kr. haspel (HU)</t>
  </si>
  <si>
    <t>Steker hks C XLPE 10-20kV 3x1x630</t>
  </si>
  <si>
    <t>Steker hks C XLPE 10-20kV 3x95-240</t>
  </si>
  <si>
    <t>Steker hks C XLPE 20kV 3x1x240</t>
  </si>
  <si>
    <t>Verhogingsbeugel staand frame Magn(2st)</t>
  </si>
  <si>
    <t>Steun vloermont MF v betreedb.ruim</t>
  </si>
  <si>
    <t>Gasm.kopp mall 2-dl R1.1/2" G10/G16 nip</t>
  </si>
  <si>
    <t>Gasm.kopp mall 2-dl R2” G25 nip</t>
  </si>
  <si>
    <t>/Buisfolie v AC200-300mm B65cm(Rol=100m)</t>
  </si>
  <si>
    <t>/Buisfolie v AC 300mm B99cm (Rol=100m)</t>
  </si>
  <si>
    <t>/Buisfolie v AC 200mm B50cm (Rol=100m)</t>
  </si>
  <si>
    <t>Zinkerbord "K"+"Liander" 40x40cm + frame</t>
  </si>
  <si>
    <t>Perskabelschoen  50mm2 Cu   gat=9mm KL</t>
  </si>
  <si>
    <t>Koppelinstallatie Xiria 5 velds m meting</t>
  </si>
  <si>
    <t>Koppelinstallatie Xiria 5velds z. meting</t>
  </si>
  <si>
    <t>Kabeldoorvoering 1x32-80 v MSR</t>
  </si>
  <si>
    <t>Kabeldoorvoering 6x8-35 v MSR</t>
  </si>
  <si>
    <t>Kabeldoorvoering 3x22-54 v MSR</t>
  </si>
  <si>
    <t>Frituurpan tbv bruisproef</t>
  </si>
  <si>
    <t>Cilinder europr 1.2 EZ 35/10       #Lips</t>
  </si>
  <si>
    <t>Kaart A5 U heeft tijdelijk geen gas250st</t>
  </si>
  <si>
    <t>Kabelbeschermbuis PVC  50x2,35 rood L=6m</t>
  </si>
  <si>
    <t>Afstandhouder gaslekdetectie D=14&amp;16mm</t>
  </si>
  <si>
    <t>Tapbout zkt 8.8 ELVZ M16x 40 XYLAN-coat</t>
  </si>
  <si>
    <t>Tapbout zkt 8.8 ELVZ M16x 45 XYLAN-coat</t>
  </si>
  <si>
    <t>Tapbout zkt 8.8 ELVZ M16x 50 XYLAN-coat</t>
  </si>
  <si>
    <t>Tapbout zkt 8.8 ELVZ M20x 45 XYLAN-coat</t>
  </si>
  <si>
    <t>Tapbout zkt 8.8 ELVZ M20x 55 XYLAN-coat</t>
  </si>
  <si>
    <t>Tapbout zkt 8.8 ELVZ M16x 55 XYLAN-coat</t>
  </si>
  <si>
    <t>Zeskantbout 8.8 ELVZ M16x 60 XYLAN-coat</t>
  </si>
  <si>
    <t>Zeskantbout 8.8 ELVZ M16x 65 XYLAN-coat</t>
  </si>
  <si>
    <t>Zeskantbout 8.8 ELVZ M16x 70 XYLAN-coat</t>
  </si>
  <si>
    <t>Zeskantbout 8.8 ELVZ M16x 75 XYLAN-coat</t>
  </si>
  <si>
    <t>Zeskantbout 8.8 ELVZ M16x 80 XYLAN-coat</t>
  </si>
  <si>
    <t>Zeskantbout 8.8 ELVZ M16x 90 XYLAN-coat</t>
  </si>
  <si>
    <t>Zeskantbout 8.8 ELVZ M16x100 XYLAN-coat</t>
  </si>
  <si>
    <t>Zeskantbout 8.8 ELVZ M16x110 XYLAN-coat</t>
  </si>
  <si>
    <t>Zeskantbout 8.8 ELVZ M16x120 XYLAN-coat</t>
  </si>
  <si>
    <t>Zeskantbout 8.8 ELVZ M20x 70 XYLAN-coat</t>
  </si>
  <si>
    <t>Zeskantbout 8.8 ELVZ M20x 75 XYLAN-coat</t>
  </si>
  <si>
    <t>Zeskantbout 8.8 ELVZ M20x 80 XYLAN-coat</t>
  </si>
  <si>
    <t>Zeskantbout 8.8 ELVZ M20x 90 XYLAN-coat</t>
  </si>
  <si>
    <t>Zeskantbout 8.8 ELVZ M20x100 XYLAN-coat</t>
  </si>
  <si>
    <t>Zeskantbout 8.8 ELVZ M20x110 XYLAN-coat</t>
  </si>
  <si>
    <t>Zeskantbout 8.8 ELVZ M20x120 XYLAN-coat</t>
  </si>
  <si>
    <t>Zeskantbout 8.8 ELVZ M20x130 XYLAN-coat</t>
  </si>
  <si>
    <t>Zeskantbout 8.8 ELVZ M20x140 XYLAN-coat</t>
  </si>
  <si>
    <t>Zeskantbout 8.8 ELVZ M20x160 XYLAN-coat</t>
  </si>
  <si>
    <t>Zeskantbout 8.8 ELVZ M20x180 XYLAN-coat</t>
  </si>
  <si>
    <t>Zeskantbout 8.8 ELVZ M24x 80 XYLAN-coat</t>
  </si>
  <si>
    <t>Zeskantbout 8.8 ELVZ M24x 90 XYLAN-coat</t>
  </si>
  <si>
    <t>Zeskantbout 8.8 ELVZ M24x120 XYLAN-coat</t>
  </si>
  <si>
    <t>Zeskantbout 8.8 ELVZ M24x140 XYLAN-coat</t>
  </si>
  <si>
    <t>Zeskantbout 8.8 ELVZ M24x150 XYLAN-coat</t>
  </si>
  <si>
    <t>Zeskantbout 8.8 ELVZ M27x100 XYLAN-coat</t>
  </si>
  <si>
    <t>Zeskantbout 8.8 ELVZ M27x150 XYLAN-coat</t>
  </si>
  <si>
    <t>Zeskantmoer 8.8 ELVZ M16 XYLAN-coat</t>
  </si>
  <si>
    <t>Zeskantmoer 8.8 ELVZ M20 XYLAN-coat</t>
  </si>
  <si>
    <t>Zeskantmoer 8.8 ELVZ M24 XYLAN-coat</t>
  </si>
  <si>
    <t>Zeskantmoer 8.8 ELVZ M27 XYLAN-coat</t>
  </si>
  <si>
    <t>Keilbout M6x60 elvz ds a 100st</t>
  </si>
  <si>
    <t>Brandblusser A/B (spuitbus 750ml)     !K</t>
  </si>
  <si>
    <t>Decoupeerzaag stofafzuigset</t>
  </si>
  <si>
    <t>Accu Klauke 12V 3Ah (v. perstang)</t>
  </si>
  <si>
    <t>Mondstuk kleine ronde borstel</t>
  </si>
  <si>
    <t>Dummie v mespatroonhouder gr. 1-2-3</t>
  </si>
  <si>
    <t>Kabelbevestigingsklem 1x18-26mm</t>
  </si>
  <si>
    <t>Kabelbevestigingsklem 1x36-52mm</t>
  </si>
  <si>
    <t>Kabelbevestigingsklem v 3 kabels 38-53mm</t>
  </si>
  <si>
    <t>Kaart A5 Asbest bij de klant IFS (50st)</t>
  </si>
  <si>
    <t>Install.draad VD  6mm2 rood massief</t>
  </si>
  <si>
    <t>Install.draad VD  6mm2 geel massief</t>
  </si>
  <si>
    <t>Kabel 20kV P1/Y MeKrvaslqwd 1x800Alrm35</t>
  </si>
  <si>
    <t>Ontbramer incl. S10, S20 en S35</t>
  </si>
  <si>
    <t>Fase-uitkleur unit FPN-50ACC         !K</t>
  </si>
  <si>
    <t>Zadel PE blsgt el-las 75x2"-2.1/2" HD1</t>
  </si>
  <si>
    <t>Eindkap PE100 EL-las  63mm SDR11</t>
  </si>
  <si>
    <t>&gt;Ls-strook 910A 1-p schakelb HAGER</t>
  </si>
  <si>
    <t>20050472</t>
  </si>
  <si>
    <t>Beproevingsplug PVC-SV v opzetstuk 2”</t>
  </si>
  <si>
    <t>Nettrafo regel. 10kV  250kVA  DYN5 isol</t>
  </si>
  <si>
    <t>Nettrafo regel. 10kV  400kVA  DYN5 isol</t>
  </si>
  <si>
    <t>Nettrafo regel. 10kV  630kVA  DYN5 isol</t>
  </si>
  <si>
    <t>Nettrafo regel. 10kV 1000kVA  DYN5 isol</t>
  </si>
  <si>
    <t>Anti-insectenspray (teken muggen)</t>
  </si>
  <si>
    <t>Assortimentsdoos (9 vaks)</t>
  </si>
  <si>
    <t>Buispatroon 25A gG 10x38mm tbv laadpaal</t>
  </si>
  <si>
    <t>Buispatroon 32A gG 10x38mm tbv laadpaal</t>
  </si>
  <si>
    <t>Montagerail C-Profiel verhoogd L=1m</t>
  </si>
  <si>
    <t>Kabelbevest.blok Xiria 36-52 mm (1 fase)</t>
  </si>
  <si>
    <t>Tekentang (pincet)</t>
  </si>
  <si>
    <t>Glijmiddel voor kunststof buis (500ml)</t>
  </si>
  <si>
    <t>Antenne extern (v FlexOv)</t>
  </si>
  <si>
    <t>Kabel 2m v externe antenne (v FlexOv)</t>
  </si>
  <si>
    <t>Kabel 4m v externe antenne (v FlexOv)</t>
  </si>
  <si>
    <t>Kabel 7m v externe antenne (v FlexOv)</t>
  </si>
  <si>
    <t>Kapbeugel zonder gat</t>
  </si>
  <si>
    <t>Beugel samengesteld met muurplaat</t>
  </si>
  <si>
    <t>Muurplaat 250x40x5</t>
  </si>
  <si>
    <t>Beugel samengesteld 100mm</t>
  </si>
  <si>
    <t>Gasdetector zoeken brandb.gas#GMI 700 !C</t>
  </si>
  <si>
    <t>Beugel samengesteld 300mm</t>
  </si>
  <si>
    <t>Beugel samengesteld 600mm</t>
  </si>
  <si>
    <t>Antennebuis  500mm</t>
  </si>
  <si>
    <t>Antennebuis  800mm</t>
  </si>
  <si>
    <t>Antennebuis 1200mm</t>
  </si>
  <si>
    <t>Tapbout RVS M8x30 + Moer RVS M8 zelfborg</t>
  </si>
  <si>
    <t>Steun verhoger vloermont MF betreed.ruim</t>
  </si>
  <si>
    <t>MO G10/G16  30mbar 40mm PE NB</t>
  </si>
  <si>
    <t>MO G10/G16 100mbar 40mm PE NB</t>
  </si>
  <si>
    <t>MO G10/G16  30mbar renovatie</t>
  </si>
  <si>
    <t>MO G10/G16 100mbar renovatie</t>
  </si>
  <si>
    <t>MO G25  30mbar 50mm PE  NB</t>
  </si>
  <si>
    <t>MO G25 100mbar NB 40mm PE</t>
  </si>
  <si>
    <t>MO G25  30mbar renovatie</t>
  </si>
  <si>
    <t>MO G25 100mbar renovatie</t>
  </si>
  <si>
    <t>Schilboor v PE 22,4mm</t>
  </si>
  <si>
    <t>Schilboor v PE 29,5mm</t>
  </si>
  <si>
    <t>Schilboor v PE 39mm</t>
  </si>
  <si>
    <t>Schilboor v PE 49mm</t>
  </si>
  <si>
    <t>Stofzuigerslang antistatisch (L5m+D35mm)</t>
  </si>
  <si>
    <t>Kabelbevestigingset Magnefix 3x1x240Al</t>
  </si>
  <si>
    <t>Aardscherm aansluitstrip lang Magnefix</t>
  </si>
  <si>
    <t>Ontluchtingslang gasmeter G10/16/G25</t>
  </si>
  <si>
    <t>Flenzenpen (boutenpen)</t>
  </si>
  <si>
    <t>Herinzet _1: SVS Workum</t>
  </si>
  <si>
    <t>Schakelinst Xiria KVV 12kV   (wo430247)</t>
  </si>
  <si>
    <t>Herinzet _3: SVS</t>
  </si>
  <si>
    <t>Herinzet _4: SVS08            (wo307405)</t>
  </si>
  <si>
    <t>Schakelinst SVS08 KKVm        (wo307076)</t>
  </si>
  <si>
    <t>Herinzet _6:                  (wo302094)</t>
  </si>
  <si>
    <t>Herinzet _8:                  (wo302093)</t>
  </si>
  <si>
    <t>Herinzet _9: SVS Poederooijen</t>
  </si>
  <si>
    <t>MS-installatie KKVm 20kVnet v Windmolen</t>
  </si>
  <si>
    <t>Nettrafo 250kVA reg Dyn5 &lt;herinzet15&gt;</t>
  </si>
  <si>
    <t>Kabelschaarmes v kabelsnijkop TC-096</t>
  </si>
  <si>
    <t>Stofzuiger vliesafvoerzak (pak5)</t>
  </si>
  <si>
    <t>Aardingsoverbrugging set Hakatel kabel</t>
  </si>
  <si>
    <t>Aanboortoestel gasm.Opst.3/4"-1" ST</t>
  </si>
  <si>
    <t>Aanboortoestel gasm.Opst.22/28mm CU</t>
  </si>
  <si>
    <t>Aanboortoestel gasmOpst.22/28CU-3/4”1"ST</t>
  </si>
  <si>
    <t>Lamp TL LED-Tube 150cm 18,2W kleur840</t>
  </si>
  <si>
    <t>Aansluitk. AK250 AC4 Klemmenkast Links</t>
  </si>
  <si>
    <t>Slijptol haaks 125mm KLN    (gebruikt)!K</t>
  </si>
  <si>
    <t>Kabelblokje 120x60x5cm (singels)</t>
  </si>
  <si>
    <t>Frees 19mm x M8 ST (IPCO)</t>
  </si>
  <si>
    <t>Gatzaag 22 mm FT CU</t>
  </si>
  <si>
    <t>Bocht Cu 45grd pers 22mm #Sanha</t>
  </si>
  <si>
    <t>Bocht Cu 45grd pers 28mm #Sanha</t>
  </si>
  <si>
    <t>Bocht Cu 45grd pers 35mm #Sanha</t>
  </si>
  <si>
    <t>Bocht Cu 45grd pers 42mm #Sanha</t>
  </si>
  <si>
    <t>Bocht Cu 45grd pers 54mm #Sanha</t>
  </si>
  <si>
    <t>Bocht Cu 90grd pers 22mm #Sanha</t>
  </si>
  <si>
    <t>Bocht Cu 90grd pers 28mm #Sanha</t>
  </si>
  <si>
    <t>Bocht Cu 90grd pers 35mm #Sanha</t>
  </si>
  <si>
    <t>Bocht Cu 90grd pers 42mm #Sanha</t>
  </si>
  <si>
    <t>Bocht Cu 90grd pers 54mm #Sanha</t>
  </si>
  <si>
    <t>Knie BRS pers 22mm x bi 1" #Sanha</t>
  </si>
  <si>
    <t>Knie BRS pers 28mm x bi 1" #Sanha</t>
  </si>
  <si>
    <t>T-stuk Cu pers 22mm #Sanha</t>
  </si>
  <si>
    <t>T-stuk Cu pers 28mm #Sanha</t>
  </si>
  <si>
    <t>T-stuk Cu pers 42mm #Sanha</t>
  </si>
  <si>
    <t>T-stuk Cu pers 54mm #Sanha</t>
  </si>
  <si>
    <t>T-stuk verl Cu pers 28x22x28 #Sanha</t>
  </si>
  <si>
    <t>T-stuk verl Cu pers 35x22x35 #Sanha</t>
  </si>
  <si>
    <t>T-stuk verl Cu pers 35x28x35 #Sanha</t>
  </si>
  <si>
    <t>T-stuk verl Cu pers 42x28x42 #Sanha</t>
  </si>
  <si>
    <t>T-stuk verl Cu pers 54x42x54 #Sanha</t>
  </si>
  <si>
    <t>Sok Cu pers 22mm #Sanha</t>
  </si>
  <si>
    <t>Sok Cu pers 28mm #Sanha</t>
  </si>
  <si>
    <t>Sok Cu pers 35mm #Sanha</t>
  </si>
  <si>
    <t>Sok Cu pers 42mm #Sanha</t>
  </si>
  <si>
    <t>Sok Cu pers 54mm #Sanha</t>
  </si>
  <si>
    <t>Sok reparatie Cu pers 22mm #Sanha</t>
  </si>
  <si>
    <t>Sok reparatie Cu pers 28mm #Sanha</t>
  </si>
  <si>
    <t>Sok reparatie Cu pers 35mm #Sanha</t>
  </si>
  <si>
    <t>Sok reparatie Cu pers 42mm #Sanha</t>
  </si>
  <si>
    <t>Sok reparatie Cu pers 54mm #Sanha</t>
  </si>
  <si>
    <t>Sok verloop CU spie28mm x pers22mm#Sanha</t>
  </si>
  <si>
    <t>Sok verloop CU spie35mm x pers22mm#Sanha</t>
  </si>
  <si>
    <t>Sok verloop CU spie35mm x pers28mm#Sanha</t>
  </si>
  <si>
    <t>Sok verloop CU spie42mm x pers22mm#Sanh</t>
  </si>
  <si>
    <t>Sok verloop CU spie42mm x pers28mm#Sanh</t>
  </si>
  <si>
    <t>Sok verloop CU spie42mm x pers35mm#Sanh</t>
  </si>
  <si>
    <t>Sok verloop CU spie54mm xpers42mm#Sanha</t>
  </si>
  <si>
    <t>Nettrafo 20kV  250kVA  DYN5 isol</t>
  </si>
  <si>
    <t>Nettrafo 20kV  400kVA  DYN5 isol</t>
  </si>
  <si>
    <t>Nettrafo 20kV  630kVA  DYN5 isol</t>
  </si>
  <si>
    <t>Nettrafo 20kV 1000kVA  DYN5 isol</t>
  </si>
  <si>
    <t>Koppeling BRS pers22mm x bi1" #Sanha</t>
  </si>
  <si>
    <t>Koppeling BRS pers28mm x bi1" #Sanha</t>
  </si>
  <si>
    <t>Splitter tbv P1 poort slimme meter</t>
  </si>
  <si>
    <t>Bocht Cu 45grd pers22xspie22 #Sanha</t>
  </si>
  <si>
    <t>Bocht Cu 45grd pers28xspie28 #Sanha</t>
  </si>
  <si>
    <t>Bocht Cu 45grd pers35xspie35 #Sanha</t>
  </si>
  <si>
    <t>Bocht Cu 45grd pers42xspie42 #Sanha</t>
  </si>
  <si>
    <t>Bocht Cu 45grd pers54xspie54 #Sanha</t>
  </si>
  <si>
    <t>Knie BRS pers 35mm x bi 1.1/4" #Sanha</t>
  </si>
  <si>
    <t>Knie BRS pers 42mm x bi 1.1/2" #Sanha</t>
  </si>
  <si>
    <t>Knie BRS pers 54mm x bi 2" #Sanha</t>
  </si>
  <si>
    <t>Koppeling BRS pers35mm x bu1.1/4" #Sanha</t>
  </si>
  <si>
    <t>T-stuk Cu pers 35mm #Sanha</t>
  </si>
  <si>
    <t>T-stuk verl Cu pers 42x35x42 #Sanha</t>
  </si>
  <si>
    <t>Koppeling BRS pers35mm x bi1.1/4" #Sanha</t>
  </si>
  <si>
    <t>Koppeling BRS pers42mm x bi1.1/2"#Sanha</t>
  </si>
  <si>
    <t>Koppeling BRS pers54mm x bi2" #Sanha</t>
  </si>
  <si>
    <t>Koppeling BRS pers22mm x bu1" #Sanha</t>
  </si>
  <si>
    <t>Koppeling BRS pers28mm x bu1.1/4" #Sanha</t>
  </si>
  <si>
    <t>Koppeling BRS pers35mm x bu1.1/2" #Sanha</t>
  </si>
  <si>
    <t>Koppeling BRS pers42mm x bu1.1/4"#Sanha</t>
  </si>
  <si>
    <t>Koppeling BRS pers42mm x bu1.1/2"#Sanha</t>
  </si>
  <si>
    <t>Koppeling BRS pers54mm x bu1.1/2" #Sanha</t>
  </si>
  <si>
    <t>Koppeling BRS pers54mm x bu2" #Sanha</t>
  </si>
  <si>
    <t>Sok verloop CU spie54mm x pers35mm#Sanha</t>
  </si>
  <si>
    <t>Koppeling BRS pers22mm x bi 3/4" #Sanha</t>
  </si>
  <si>
    <t>Koppeling BRS pers22mm x bu 3/4" #Sanha</t>
  </si>
  <si>
    <t>T-stuk verl Cu pers 42x22x42 #Sanha</t>
  </si>
  <si>
    <t>Koppeling BRS pers28mm x bu1" #Sanha</t>
  </si>
  <si>
    <t>Koppeling BRS pers28mm x bu 3/4" #Sanha</t>
  </si>
  <si>
    <t>Eindkap pers 22mm #Sanha</t>
  </si>
  <si>
    <t>Eindkap pers 28mm #Sanha</t>
  </si>
  <si>
    <t>Eindkap pers 35mm #Sanha</t>
  </si>
  <si>
    <t>Eindkap pers 42mm #Sanha</t>
  </si>
  <si>
    <t>Eindkap pers 54mm #Sanha</t>
  </si>
  <si>
    <t>Ringklem 4x95-120Cu / 4x6Cu-50Al</t>
  </si>
  <si>
    <t>Ringklem 4x95-150Al / 4x6Cu-50Al</t>
  </si>
  <si>
    <t>Sok verloop CU spie22mm x pers15mm#Sanha</t>
  </si>
  <si>
    <t>Knie BRS pers 22mm x bi 3/4"#Sanha</t>
  </si>
  <si>
    <t>Koppeling BRS pers15mm x bi 3/4" #Sanha</t>
  </si>
  <si>
    <t>Bocht Cu 90grd pers 15mm #Sanha</t>
  </si>
  <si>
    <t>Koppeling BRS pers15mm x bu 3/4" #Sanha</t>
  </si>
  <si>
    <t>Sok reparatie Cu pers 15mm #Sanha</t>
  </si>
  <si>
    <t>Knie BRS pers 22mm x bu 3/4" #Sanha</t>
  </si>
  <si>
    <t>Bocht Cu 90grd pers35xspie35 #Sanha</t>
  </si>
  <si>
    <t>Bocht Cu 90grd pers22xspie22 #Sanha</t>
  </si>
  <si>
    <t>Bocht Cu 90grd pers28xspie28 #Sanha</t>
  </si>
  <si>
    <t>Koppeling BRS pers35mm x bu 1" #Sanha</t>
  </si>
  <si>
    <t>Koppeling MS pers22mm x G1" #Sanha</t>
  </si>
  <si>
    <t>Moerklem 10-25 mm2</t>
  </si>
  <si>
    <t>Snelkoppeling Rectus 21ka 1/4buitendraad</t>
  </si>
  <si>
    <t>Heater 2 kW                         !K</t>
  </si>
  <si>
    <t>Buis PVC 315mm LT=0,5m</t>
  </si>
  <si>
    <t>Desinfectiemiddel Spray (500ml)</t>
  </si>
  <si>
    <t>Flyer "de slimme meter" Aansluiting a500</t>
  </si>
  <si>
    <t>Flyer "Altijd 3 fasen" (ds=500)</t>
  </si>
  <si>
    <t>Ringklem 4x35-70Cu &amp; 4x50Al /4x6Cu-50Al</t>
  </si>
  <si>
    <t>Ringklem 3x25+1x16Cu / 4x6Cu-50Al</t>
  </si>
  <si>
    <t>Ringklem 4x25Cu / 4x6Cu-50Al</t>
  </si>
  <si>
    <t>Ringklem 3x70-95+1x50-70 / 4x6Cu-50Al</t>
  </si>
  <si>
    <t>Ringklem 4x150Cu / 4x6Cu-50Al</t>
  </si>
  <si>
    <t>Ringklem 4x95Al / 4x95Al-150Al</t>
  </si>
  <si>
    <t>Ringklem 4x150Al &amp; 4x120Cu /4x95Al-150Al</t>
  </si>
  <si>
    <t>Ringklem 4x150Cu / 4x95Al -150Al</t>
  </si>
  <si>
    <t>Aftakklem geïsol. 16-95Cu&amp;25-150Al/150Al</t>
  </si>
  <si>
    <t>Aftakklem geïsoleerd 1-10Cu/1-10Cu</t>
  </si>
  <si>
    <t>Aftakklem geïsoleerd 16Cu / 6-16Cu</t>
  </si>
  <si>
    <t>Schroefverbinder geïsoleerd 16-95 mm2</t>
  </si>
  <si>
    <t>/Schakelinstall. 24kV ABB FVCCC W4 O</t>
  </si>
  <si>
    <t>&gt;Schakelinst 10/20kV Siemens RRT-R</t>
  </si>
  <si>
    <t>20050312</t>
  </si>
  <si>
    <t>&gt;Schakelinstall. 10/20kV Siemens RRT</t>
  </si>
  <si>
    <t>20050313</t>
  </si>
  <si>
    <t>Schroefverbinder  1-16 mm2</t>
  </si>
  <si>
    <t>Schroefverbinder  4-50 mm2</t>
  </si>
  <si>
    <t>Schroefverbinder 25-150 mm2</t>
  </si>
  <si>
    <t>Schroefverbinder blok  4x 6-50 mm2</t>
  </si>
  <si>
    <t>Schroefverbinder blok 4x 25-150 mm2</t>
  </si>
  <si>
    <t>Moerklem  2,5-6 mm2</t>
  </si>
  <si>
    <t>Moerklem  6-16 mm2</t>
  </si>
  <si>
    <t>Moerklem 10-35 mm2</t>
  </si>
  <si>
    <t>Moerklem 25-50 mm2</t>
  </si>
  <si>
    <t>Aftakklem geïsoleer Aarde-0 16-70/16-35</t>
  </si>
  <si>
    <t>Aftakklem geïsoleer Aarde0 95-150/35-50</t>
  </si>
  <si>
    <t>Lamp E27 LED 3,4W (voorheen 40W) 2700K</t>
  </si>
  <si>
    <t>Lamp E27 LED 8W (voorheen 60W) 2700K</t>
  </si>
  <si>
    <t>/Lamp E27 LED 11W (voorheen 75W) 2700K</t>
  </si>
  <si>
    <t>Lamp E27 LED 13W (voorheen 100W) 2700K</t>
  </si>
  <si>
    <t>Lamp E27 LED 13W (voorheen 120W) 4000K</t>
  </si>
  <si>
    <t>Lamp kogel E14 LED 7W (voorh. 60W)2700K</t>
  </si>
  <si>
    <t>Lamp kogel E27 LED 7W (voorh. 60W)2700K</t>
  </si>
  <si>
    <t>Cilinder europr 1.3 EZ 35/10       #Lips</t>
  </si>
  <si>
    <t>Dopsleutel VDE 3/8" - 6-kant 13mm(lang)</t>
  </si>
  <si>
    <t>Hamer VDE</t>
  </si>
  <si>
    <t>&gt;G-mtr AMR G4 SMR5 Mbus RF Flonidan MKII</t>
  </si>
  <si>
    <t>Buispatroon 24kV 10A m slagst Fullrange</t>
  </si>
  <si>
    <t>Buispatroon 24kV 16A m slagst Fullrange</t>
  </si>
  <si>
    <t>Buispatroon 24kV 20A m slagst Fullrange</t>
  </si>
  <si>
    <t>Buispatroon 24kV 25A m slagst Fullrange</t>
  </si>
  <si>
    <t>Buispatroon 24kV 31,5A+slagst Fullrange</t>
  </si>
  <si>
    <t>Ipcosafe stop 1"</t>
  </si>
  <si>
    <t>Ipcosafe stop 3/4"</t>
  </si>
  <si>
    <t>/Schakelinst. 10/20kV ABB CFC-DA ZOL</t>
  </si>
  <si>
    <t>/Schakelinst. 10kV ABB CVmC-DA ZOL  60/5</t>
  </si>
  <si>
    <t>+Beveiligingkast 3-relais voor ABB</t>
  </si>
  <si>
    <t>Beveiligingkast 4-relais voor ABB</t>
  </si>
  <si>
    <t>+Kabelset v beveil.kast 1234-relais betr</t>
  </si>
  <si>
    <t>+Kabelset v beveil.kast0-relais betreedb</t>
  </si>
  <si>
    <t>Kabelset v beveil.kast 0-relais compact</t>
  </si>
  <si>
    <t>Montageframe tbv beveiligingkast v ABB</t>
  </si>
  <si>
    <t>Montageframe tbv DA-kast Alliander</t>
  </si>
  <si>
    <t>26000744</t>
  </si>
  <si>
    <t>&gt;Schakelinstall. 24kV ABB VVVV-DA O</t>
  </si>
  <si>
    <t>Buispatroon 20/10kV patroon 50A le=442mm</t>
  </si>
  <si>
    <t>Buispatroon 20/10kV patroon 80A le=442mm</t>
  </si>
  <si>
    <t>Schroefpatroon 25A D02 traag</t>
  </si>
  <si>
    <t>Zadel RVS T-klem DN100xFL DN50 108-128</t>
  </si>
  <si>
    <t>Zadel RVS T-klem DN150xFL DN50 168-188</t>
  </si>
  <si>
    <t>Dopsleutel 19mm tbv isoplug steker</t>
  </si>
  <si>
    <t>Dopsleutel 22mm tbv isoplug steker</t>
  </si>
  <si>
    <t>Reciproluchtzaag STS325R compleet !K</t>
  </si>
  <si>
    <t>LS-rek R6 v 6 groep tbv GYkast Amsterdam</t>
  </si>
  <si>
    <t>Blokkering v beveiligingsautomaat t/m80A</t>
  </si>
  <si>
    <t>Gatzaag 43mm tbv HD aanboortoestel</t>
  </si>
  <si>
    <t>Kabel VO/VG-YMvKas  4x6+as6 VDEN</t>
  </si>
  <si>
    <t>Centreerboor 8x100mm v HD aanboortoestel</t>
  </si>
  <si>
    <t>Aanboortoestel HD afblaas IPCO</t>
  </si>
  <si>
    <t>Meetpen m aardkogel MS v Magnefix MF  !K</t>
  </si>
  <si>
    <t>Schroevendraaier zaagsn. VDE  4 x ±100</t>
  </si>
  <si>
    <t>Steker hks A XLPE 20kV 3x1x25</t>
  </si>
  <si>
    <t>Mof 20kV XLPE 1x800 Al/Cu rm/rs</t>
  </si>
  <si>
    <t>Boorhamermachine SDS+2-26mm (gebruikt)!K</t>
  </si>
  <si>
    <t>Bedieningsstok voor Magnefix MD/MF    !K</t>
  </si>
  <si>
    <t>Meetkap m aardkogel MS v Magnefix MD  !K</t>
  </si>
  <si>
    <t>Install. 10/20 kV EATON Xiria KKV W2</t>
  </si>
  <si>
    <t>Steker hks C XLPE 15-20kV 3x1x16-25</t>
  </si>
  <si>
    <t>Leaflet ‘tijdelijk geen gas’ (ds=500st)</t>
  </si>
  <si>
    <t>+Persmachine Ridgid RP340B            !K</t>
  </si>
  <si>
    <t>Accu Persmachine Ridgid 340B Viega 4B/5B</t>
  </si>
  <si>
    <t>Accu voor Ridgid RP240</t>
  </si>
  <si>
    <t>Haakse plugkraan verwisselset</t>
  </si>
  <si>
    <t>Mes Secumax 350 #Martor</t>
  </si>
  <si>
    <t>Mes Secupro 625 #Martor</t>
  </si>
  <si>
    <t>Afschuiner v kunststof buis 110-160mm</t>
  </si>
  <si>
    <t>Afschuiner v kunststof buis  75-110mm</t>
  </si>
  <si>
    <t>Mengstaaf 80x500mm v encapress</t>
  </si>
  <si>
    <t>&gt;Mof XLPE 20kV 1x630/1x800</t>
  </si>
  <si>
    <t>Reservemes v Secumax 350 (pak=10st)</t>
  </si>
  <si>
    <t>Reservemes v Secupro 625 (pak=10st)</t>
  </si>
  <si>
    <t>Aftekenmal v inst.diepte Sanha 15-54mm</t>
  </si>
  <si>
    <t>Mof XLPE 10kV 1x400 / 20kV 1x630</t>
  </si>
  <si>
    <t>Mof 10kV GPLK 1x1000/20kV XLPE 1x630</t>
  </si>
  <si>
    <t>Mof 10kV GPLK 3x(1x95-240)/XLPE 3x1x240</t>
  </si>
  <si>
    <t>Mof 10kV GPLK 1x185 / 20kV XLPE 1x240</t>
  </si>
  <si>
    <t>Mof 10kV GPLK 3x400 / 20kV XLPE 3x1x630</t>
  </si>
  <si>
    <t>Mof 10kV XLPE 1x500 / 20kV XLPE 1x630</t>
  </si>
  <si>
    <t>Breekpen tbv kabelsnijkop #TC-085</t>
  </si>
  <si>
    <t>Aardrail 25x5mm</t>
  </si>
  <si>
    <t>&gt;Schakelinstall. 24kV ABB VCVV-DA A</t>
  </si>
  <si>
    <t>/Schakelinstall. 24kV ABB FCC O</t>
  </si>
  <si>
    <t>/Schakelinstall. 24kV ABB FCVV 2xW4 O</t>
  </si>
  <si>
    <t>Verhogingsplint 29cm 3-veld ABB install</t>
  </si>
  <si>
    <t>Verhogingsplint 29cm 4-veld ABB install</t>
  </si>
  <si>
    <t>Verhogingsplint 29cm 5-veld ABB install</t>
  </si>
  <si>
    <t>&gt;Ombouwset 3CT 630mm-kabel ABB V-velVAST</t>
  </si>
  <si>
    <t>RMU &gt;GEBR 20043486</t>
  </si>
  <si>
    <t>&gt;Ombouwset 3CT 630mm-kabel ABB V-veldLOS</t>
  </si>
  <si>
    <t>Kabel flex 12x2,5mm2</t>
  </si>
  <si>
    <t>Sok verl mall bi-bi 1.1/4"x  3/4" nr 240</t>
  </si>
  <si>
    <t>Afdichtplug 17-19mm in mb50 tbv kbl 4x6</t>
  </si>
  <si>
    <t>Afdichtplug 25-27mm in mb50 tbv kbl 4x16</t>
  </si>
  <si>
    <t>Snijr. kopp. recht 12mm x BSP ¼ met afd.</t>
  </si>
  <si>
    <t>Bithouder 1/4" x 300mm</t>
  </si>
  <si>
    <t>Mof GPLK 10kV 3x25-70/XLPE 20kV 3x1x240</t>
  </si>
  <si>
    <t>Mof GPLK 10kV 3x95-240/XLPE 20kV 3x1x240</t>
  </si>
  <si>
    <t>Mof XLPE 10-20kV 3x95-240 / 20kV 3x1x240</t>
  </si>
  <si>
    <t>Buisklem RVS 216-238mm B=600</t>
  </si>
  <si>
    <t>Buisklem RVS 168-190mm B=600</t>
  </si>
  <si>
    <t>Buisklem RVS 190-210mm B=600</t>
  </si>
  <si>
    <t>Buisklem RVS 158-180mm B=600</t>
  </si>
  <si>
    <t>Buisklem RVS 108-128mm B=600</t>
  </si>
  <si>
    <t>Buisklem RVS 130-150mm B=600</t>
  </si>
  <si>
    <t>Buisklem RVS 138-160mm B=600</t>
  </si>
  <si>
    <t>Buisklem RVS  88-110mm  B=600</t>
  </si>
  <si>
    <t>Schroevendraaier z accu 12V #Bosch    !K</t>
  </si>
  <si>
    <t>LS strook trafo 910A met Ref links</t>
  </si>
  <si>
    <t>LS strook trafo 910A met Ref rechts</t>
  </si>
  <si>
    <t>Knie steek PE32xPE32 zwart #HAWLE K6425</t>
  </si>
  <si>
    <t>Knie steek PE40xPE40 zwart #HAWLE K6425</t>
  </si>
  <si>
    <t>Knie steek PE50xPE50 zwart #HAWLE K6425</t>
  </si>
  <si>
    <t>Knie steek PE63xPE63 zwart #HAWLE K6425</t>
  </si>
  <si>
    <t>Platbektang 220mm volledig VDE #Knipex</t>
  </si>
  <si>
    <t>Kopp. verl steek PE25xPE20 zwart K6335</t>
  </si>
  <si>
    <t>Kopp. verl steek PE32xPE25 zwart K6335</t>
  </si>
  <si>
    <t>Kopp. verl steek PE40xPE25 zwart K6335</t>
  </si>
  <si>
    <t>Kopp. verl steek PE40xPE32 zwart K6335</t>
  </si>
  <si>
    <t>Kopp. verl steek PE50xPE32 zwart K6335</t>
  </si>
  <si>
    <t>Kopp. verl steek PE50xPE40 zwart K6335</t>
  </si>
  <si>
    <t>Kopp. verl steek PE63xPE40 zwart K6335</t>
  </si>
  <si>
    <t>Kopp. verl steek PE63xPE50 zwart K6335</t>
  </si>
  <si>
    <t>Kopp. steek PE25xCu 15 mm zwart K6385</t>
  </si>
  <si>
    <t>Kopp. steek PE25xCu 22 mm zwart K6385</t>
  </si>
  <si>
    <t>Kopp. steek PE32xCu 22 mm zwart K6385</t>
  </si>
  <si>
    <t>Kopp. steek PE32xCu 28 mm zwart K6385</t>
  </si>
  <si>
    <t>Eindkap steek PE25 zwart #HAWLE K6226</t>
  </si>
  <si>
    <t>Eindkap steek PE32 zwart #HAWLE K6226</t>
  </si>
  <si>
    <t>Eindkap steek PE40 zwart #HAWLE K6226</t>
  </si>
  <si>
    <t>Eindkap steek PE50 zwart #HAWLE K6226</t>
  </si>
  <si>
    <t>Eindkap steek PE63 zwart #HAWLE K6226</t>
  </si>
  <si>
    <t>Steunbus steekf 20mm SDR17,6 wit WD 2,0</t>
  </si>
  <si>
    <t>Steunbus steekf 25mm SDR17,6 wit WD 2,0</t>
  </si>
  <si>
    <t>Steunbus steekf 32mm SDR17,6 wit WD 2,0</t>
  </si>
  <si>
    <t>Steunbus steekf 25mm SDR17,6 geel WD2,3</t>
  </si>
  <si>
    <t>Steunbus steekf 32mm SDR17,6 geel WD2,3</t>
  </si>
  <si>
    <t>Steunbus steekf 40mm SDR17,6 geel WD2,3</t>
  </si>
  <si>
    <t>Steunbus steekf 50mm SDR17,6 geel WD2,9</t>
  </si>
  <si>
    <t>Steunbus steekf 63mm SDR17,6 geel WD3,6</t>
  </si>
  <si>
    <t>Steunbus steekf 25mm SDR11 grijs WD 3,0</t>
  </si>
  <si>
    <t>Steunbus steekf 32mm SDR11 grijs WD 3,0</t>
  </si>
  <si>
    <t>Steunbus steekf 40mm SDR11 grijs WD 3,7</t>
  </si>
  <si>
    <t>Steunbus steekf 50mm SDR11 grijs WD 4,6</t>
  </si>
  <si>
    <t>Steunbus steekf 63mm SDR11 grijs WD 5,8</t>
  </si>
  <si>
    <t>Kopp.steek PE25xPVC16 zwart K6386</t>
  </si>
  <si>
    <t>Kopp.steek PE25xPE25 zwart #HAWLE K6325</t>
  </si>
  <si>
    <t>Kopp.steek PE32xPE32 zwart #HAWLE K6325</t>
  </si>
  <si>
    <t>Kopp.steek PE40xPE40 zwart #HAWLE K6325</t>
  </si>
  <si>
    <t>T-stuk steek PE32xPE32xPE32 zwart K6555</t>
  </si>
  <si>
    <t>T-stuk steek PE40xPE40xPE40 zwart K6555</t>
  </si>
  <si>
    <t>Kopp.steek PE25mm x 3/4" Rp bin. zwart</t>
  </si>
  <si>
    <t>T-stuk steek PE50xPE50xPE50 zwart K6555</t>
  </si>
  <si>
    <t>T-stuk steek PE63xPE63xPE63 zwart K6555</t>
  </si>
  <si>
    <t>Kopp.steek PE50xPE50 zwart #HAWLE K6325</t>
  </si>
  <si>
    <t>Kopp.steek PE63xPE63 zwart #HAWLE K6325</t>
  </si>
  <si>
    <t>Schuifafsluiter POM 32mm PN8 M-M +toebh</t>
  </si>
  <si>
    <t>Schuifafsluiter POM 40mm PN8 M-M +toebh</t>
  </si>
  <si>
    <t>Schuifafsluiter POM 50mm PN8 M-M +toebh</t>
  </si>
  <si>
    <t>Schuifafsluiter POM 63mm PN8 M-M +toebh</t>
  </si>
  <si>
    <t>Kopp.steek PE32mm x 1" Rp bin. zwart</t>
  </si>
  <si>
    <t>Kopp.steek PE40mm x 1 1/4" Rp bin. zwart</t>
  </si>
  <si>
    <t>Kopp.steek PE50mm x 1 1/2" Rp bin. zwart</t>
  </si>
  <si>
    <t>Kopp.steek PE63mm x 2" Rp bin. zwart</t>
  </si>
  <si>
    <t>Trekring 20mm PVC zwart #HAWLE</t>
  </si>
  <si>
    <t>Trekring 25mm PVC zwart #HAWLE</t>
  </si>
  <si>
    <t>Trekring 32mm PVC zwart #HAWLE</t>
  </si>
  <si>
    <t>Trekring 40mm PVC zwart #HAWLE</t>
  </si>
  <si>
    <t>Trekring 50mm PVC zwart #HAWLE</t>
  </si>
  <si>
    <t>Trekring 63mm PVC zwart #HAWLE</t>
  </si>
  <si>
    <t>&gt;Veiligh.afs.DN50 Pi&gt;1,5B#WW+G106+SP2000</t>
  </si>
  <si>
    <t>Revisieset v regelaar RS300SAF DN50/37,5</t>
  </si>
  <si>
    <t>Deurhanger "Slimme meter" (ds = 1000 st)</t>
  </si>
  <si>
    <t>Buigveer m binnenkabel v inst.buis 1"</t>
  </si>
  <si>
    <t>Verfschraper</t>
  </si>
  <si>
    <t>Koppeling staal 1" x 1" R #Primofit</t>
  </si>
  <si>
    <t>Koppeling staal 1.1/4"x1.1/4" R#Primofit</t>
  </si>
  <si>
    <t>Koppeling staal 1.1/2"x1.1/2" R#Primofit</t>
  </si>
  <si>
    <t>Koppeling staal 2" x 2" R #Primofit</t>
  </si>
  <si>
    <t>Koppeling staal 3/4" x 3/4" R #Primofit</t>
  </si>
  <si>
    <t>Kabelbevestigingsklem 52-56mm K56 2S</t>
  </si>
  <si>
    <t>Kabelbevestigingsklem 52-56mm K56 2U</t>
  </si>
  <si>
    <t>Kabelbevestigingsklem 52-56mm K56 S</t>
  </si>
  <si>
    <t>Kabelbevestigingsklem 52-56mm K56 U</t>
  </si>
  <si>
    <t>Kabelbevestigingsklem 20-24mm K24 U</t>
  </si>
  <si>
    <t>Kabelbevestigingsklem 24-28mm K28 U</t>
  </si>
  <si>
    <t>Kabelbevestigingsklem 36-40mm K40 U</t>
  </si>
  <si>
    <t>Kabelbevestigingsklem 64-70mm K70 U</t>
  </si>
  <si>
    <t>Wartel M40 metrisch 16-28mm</t>
  </si>
  <si>
    <t>&gt;G-Mtr AMR G4 SMR 5.0 Mbus RF L+G</t>
  </si>
  <si>
    <t>Aardpen T-model (30x120)</t>
  </si>
  <si>
    <t>Band polyetheen v Magnefix eindsluiting</t>
  </si>
  <si>
    <t>Tordeersleutel VDE 50-300mm</t>
  </si>
  <si>
    <t>SCKI (Storing Container Klant Install.)</t>
  </si>
  <si>
    <t>Vloerframe voor 3-velds ABB +2xhoekstrip</t>
  </si>
  <si>
    <t>Vloerframe voor 4-velds ABB +2xhoekstrip</t>
  </si>
  <si>
    <t>Vloerframe voor 5-velds ABB +2xhoekstrip</t>
  </si>
  <si>
    <t>Hoekstripset aluminium v ABB 3,4,5-velds</t>
  </si>
  <si>
    <t>Buis PE80 GL     32x 3,0 SDR11 rol 100</t>
  </si>
  <si>
    <t>/Stroomtrafo 900/5A    3VA 0,5s RM85E6A</t>
  </si>
  <si>
    <t>Grondpijpstuk inlaatzijdig DN50 staal</t>
  </si>
  <si>
    <t>Grondpijpstuk inlaatzijdig DN80 staal</t>
  </si>
  <si>
    <t>Grondpijpstuk inlaatzijdig DN100 staal</t>
  </si>
  <si>
    <t>Afdichtplug 19-22mm in mb50 tbv kbl4x10</t>
  </si>
  <si>
    <t>Ls-rek R4 tbv GY kast Amsterdam</t>
  </si>
  <si>
    <t>Stuurventiel v afsl.ve 30mb #OPSO416010</t>
  </si>
  <si>
    <t>Matrijs zeskant 95mm</t>
  </si>
  <si>
    <t>Matrijs zeskant 150mm</t>
  </si>
  <si>
    <t>Matrijs zeskant 185mm</t>
  </si>
  <si>
    <t>Matrijs zeskant 300mm</t>
  </si>
  <si>
    <t>Filter v masker half gelaat ABEK P3</t>
  </si>
  <si>
    <t>Stopverf worst 2kg #STOPAQ PUTTY 4100</t>
  </si>
  <si>
    <t>Wikkelband 50mm (rol=5m) #STOPAQ CZ 50</t>
  </si>
  <si>
    <t>Afdekzeil 5x15m v bescherming UVstraling</t>
  </si>
  <si>
    <t>Kabelbevest.blok ABB RMU 3x 35-54mm</t>
  </si>
  <si>
    <t>Bocht  PE100 90°x160mm SDR17 stroomlijn</t>
  </si>
  <si>
    <t>Bocht  PE100 90°x200mm SDR17 stroomlijn</t>
  </si>
  <si>
    <t>T-stuk PE100 90°x160mm SDR17 stroomlijn</t>
  </si>
  <si>
    <t>T-stuk PE100 90°x200mm SDR17 stroomlijn</t>
  </si>
  <si>
    <t>Sticker "GAS" 15x165mm (pak=50st)</t>
  </si>
  <si>
    <t>Mof XLPE 10kV 1x150 / 20kV 1x240</t>
  </si>
  <si>
    <t>Afschermset v telcon onder Magnefix</t>
  </si>
  <si>
    <t>Afdekband 50mm x 10m #STOPAQ PVC Zwart</t>
  </si>
  <si>
    <t>Ontmantelhaak v MS kabel kunststof</t>
  </si>
  <si>
    <t>Gaasmat 3D 360mm x 200mm #FiloSlim</t>
  </si>
  <si>
    <t>Mof verloop PE100 EL-las 110x 75mm SDR11</t>
  </si>
  <si>
    <t>Ophoogstuk 15mm v bev.automaat 25t/m63</t>
  </si>
  <si>
    <t>Monsternamekit tbv Chroom-6</t>
  </si>
  <si>
    <t>Vulkraan v bijvullen Magnefix Eindsl.</t>
  </si>
  <si>
    <t>Schroefkabelschoen 630mm2 Cu gat=21mm</t>
  </si>
  <si>
    <t>Perstang 0,08 - 16mm</t>
  </si>
  <si>
    <t>Acculader v kniptang #Klauke  !K</t>
  </si>
  <si>
    <t>+Plint v Xiria 3-velds H=250mm        !H</t>
  </si>
  <si>
    <t>+Plint v Xiria 4-velds H=250mm        !H</t>
  </si>
  <si>
    <t>Contactgel v wanddiktemeter (355ml)</t>
  </si>
  <si>
    <t>Inbrengstang 70cm flexibel v T-stopper</t>
  </si>
  <si>
    <t>Inbrengstang 40cm massief v T-stopper</t>
  </si>
  <si>
    <t>Inbrengstang 50cm massief v T-stopper</t>
  </si>
  <si>
    <t>Aanboorzadel 1" v gasvoerend meterbeugel</t>
  </si>
  <si>
    <t>Invoerstuk kleine poort 19 mm(O&amp;K+ABB)</t>
  </si>
  <si>
    <t>T-stopper 22mm  3/4"</t>
  </si>
  <si>
    <t>T-stopper 28mm  1"</t>
  </si>
  <si>
    <t>T-stopper 28mm  1" met afstandhouder</t>
  </si>
  <si>
    <t>Wikkelapparaat tbv wikkelfolie</t>
  </si>
  <si>
    <t>Wikkelfolie B-10cm x L-150m</t>
  </si>
  <si>
    <t>Verbindingsslang voor meetkoffer #Esders</t>
  </si>
  <si>
    <t>Sticker blauw meterprocedure (25vel) KV</t>
  </si>
  <si>
    <t>Momentsleutel 1/2" 20-100Nm           !C</t>
  </si>
  <si>
    <t>Matrijs zeskant 95-120mm Al.  #Klauke</t>
  </si>
  <si>
    <t>Matrijs zeskant 150mm Al.  #Klauke</t>
  </si>
  <si>
    <t>Kabelkanaal 100x62mm grijs (LT=2mtr)</t>
  </si>
  <si>
    <t>&gt;Schakelinstall. 10kV ABB CCVm  60/5 W3O</t>
  </si>
  <si>
    <t>&gt;Schakelinstall. 10kV ABB CCVm  90/5 W3O</t>
  </si>
  <si>
    <t>&gt;Schakelinstall. 10kV ABB CCVm 135/5 W3O</t>
  </si>
  <si>
    <t>&gt;Schakelinstall. 10kV ABB CCVm 135/5 W3A</t>
  </si>
  <si>
    <t>&gt;Schakelinstall. 20kV ABB CCVm  60/5 W3A</t>
  </si>
  <si>
    <t>&gt;Schakelinstall. 20kV ABB CCVm  60/5 W3O</t>
  </si>
  <si>
    <t>/Schakelinstall. 10/20kV ABB CCV W2 A</t>
  </si>
  <si>
    <t>/Schakelinstall. 24kV ABB FVCCC W4 A</t>
  </si>
  <si>
    <t>/Schakelinstall. 24kV ABB CCV W2 A</t>
  </si>
  <si>
    <t>/Schakelinstall. 24kV ABB FCC A</t>
  </si>
  <si>
    <t>/Schakelinstall. 24kV ABB CCF O</t>
  </si>
  <si>
    <t>/Schakelinstall. 24kV ABB FCCC A</t>
  </si>
  <si>
    <t>/Schakelinstall. 24kV ABB CVF A</t>
  </si>
  <si>
    <t>/Schakelinstall. 24kV ABB FVCC W4 A</t>
  </si>
  <si>
    <t>&gt;Schakelinst 10kV ABB CCVm-DA ZOL 135/5A</t>
  </si>
  <si>
    <t>&gt;Schakelinst 10kV ABB CCVm-DA ZOL  90/5A</t>
  </si>
  <si>
    <t>&gt;Schakelinst 10kV ABB CCVm-DA ZOL  90/5O</t>
  </si>
  <si>
    <t>&gt;Schakelinst 20kV ABB CCVm-DA ZOL  60/5A</t>
  </si>
  <si>
    <t>&gt;Schakelinst 20kV ABB CCVm-DA ZOL  60/5O</t>
  </si>
  <si>
    <t>Schakelinst. 24kV ABB CCF-DA ZOL A</t>
  </si>
  <si>
    <t>Schakelinst. 24kV ABB CCF-DA ZOL O</t>
  </si>
  <si>
    <t>&gt;Schakelinstall. 24kV ABB FCVVF 2xW4 A</t>
  </si>
  <si>
    <t>/Schakelinstall. 24kV ABB FCVV 2xW4 A</t>
  </si>
  <si>
    <t>/Schakelinstall. 24kV ABB FCVC W4 A</t>
  </si>
  <si>
    <t>Filter v gaslekzoektoestel GMI700 (30st)</t>
  </si>
  <si>
    <t>Pijpensnijder 12-60mm 5090 tbv st 4-wiel</t>
  </si>
  <si>
    <t>Reservemes v pijpensnijder type 5090</t>
  </si>
  <si>
    <t>Afdichtplug 50x28mm v schutbuis 63mm</t>
  </si>
  <si>
    <t>Kabelolie eindsluiting Kabeldon(blik 4l)</t>
  </si>
  <si>
    <t>Vet tbv bruisproef GPLK (ds=1kg)</t>
  </si>
  <si>
    <t>Beugel 300mm (enkele C-rail) v PEKO/PECU</t>
  </si>
  <si>
    <t>Aarde-nul strip v lichtmastset LS94</t>
  </si>
  <si>
    <t>Bouwsleutel</t>
  </si>
  <si>
    <t>Kabelmantelreparatiemanchet L1000</t>
  </si>
  <si>
    <t>Draadstuk VD  6mm2 soepel blauw(L=35cm)</t>
  </si>
  <si>
    <t>Draadstuk VD 10mm2 soepel blauw(L=65cm)</t>
  </si>
  <si>
    <t>Draadstuk VD 10mm2 soepel zwart(L=65cm)</t>
  </si>
  <si>
    <t>Draadstuk VD 16mm2 soepel blauw(L=35cm)</t>
  </si>
  <si>
    <t>Draadstuk VD 16mm2 soepel zwart(L=25cm)</t>
  </si>
  <si>
    <t>Draadstuk VD 16mm2 soepel blauw(L=65cm)</t>
  </si>
  <si>
    <t>Draadstuk VD 16mm2 soepel zwart(L=65cm)</t>
  </si>
  <si>
    <t>Draadstuk silico. 25mm2 soepel L=25cm zw</t>
  </si>
  <si>
    <t>Dop 10mm2 aanrakingsveilig (strip=10st)</t>
  </si>
  <si>
    <t>Draadstuk VD  6mm2 soepel zwart(L=25cm)</t>
  </si>
  <si>
    <t>Draadstuk VD  6mm2 soepel blauw(L=65cm)</t>
  </si>
  <si>
    <t>Draadstuk VD  6mm2 soepel zwart(L=65cm)</t>
  </si>
  <si>
    <t>Draadstuk VD 10mm2 soepel blauw(L=35cm)</t>
  </si>
  <si>
    <t>Draadstuk VD 10mm2 soepel zwart(L=25cm)</t>
  </si>
  <si>
    <t>Schakelinstall. 24kV ABB VCVV-DA O</t>
  </si>
  <si>
    <t>Schakelinstall. 24kV ABB VVVV-DA O</t>
  </si>
  <si>
    <t>Glijmoer M12 kwikstrut v Flamco-rail</t>
  </si>
  <si>
    <t>&gt;Handgel Hygeniq Dermal Med S.31 500ml</t>
  </si>
  <si>
    <t>Overnamesnoer tbv Aggregaat</t>
  </si>
  <si>
    <t>Eindsl XLPE 20kV 3x1x800 ks</t>
  </si>
  <si>
    <t>Beugel samengesteld 300mm + bout M10x60</t>
  </si>
  <si>
    <t>&gt;Mondkapje wit wasbaar zonder logo</t>
  </si>
  <si>
    <t>Kabelbevestigingsklem v 3 kabels 53-66mm</t>
  </si>
  <si>
    <t>Kabelselectie draaiveldspoel #S230</t>
  </si>
  <si>
    <t>Steker hks C XLPE 20kV 3x1x800</t>
  </si>
  <si>
    <t>Eindsl XLPE 20kV 3x1x800 ks bu-opst</t>
  </si>
  <si>
    <t>Mof XLPE 10-20kV 1x630-800 / 20kV 1x800</t>
  </si>
  <si>
    <t>&gt;Filtermasker M-Safe 6220 FFP2 (ds=20st)</t>
  </si>
  <si>
    <t>Nettrafo 10kV  400kVA  DYN5 ghars</t>
  </si>
  <si>
    <t>Aardblok v Antenne extern spriet CDMA/4G</t>
  </si>
  <si>
    <t>Antenne extern 4G</t>
  </si>
  <si>
    <t>Antenne puck 4G</t>
  </si>
  <si>
    <t>Antenne puck CDMA</t>
  </si>
  <si>
    <t>Verlengkabel  2m v antenne puck</t>
  </si>
  <si>
    <t>Verlengkabel 10m v antenne puck</t>
  </si>
  <si>
    <t>Deurschakelaar tbv Alfen station</t>
  </si>
  <si>
    <t>Zadel PE100 aft el-las 400x63mm SDR11</t>
  </si>
  <si>
    <t>Aansluitklem 2x50-185mm2 vdirekt(set=3)</t>
  </si>
  <si>
    <t>Frame wand v Magnefix MF KKT  +toebh</t>
  </si>
  <si>
    <t>Frame wand v Magnefix MF KKKT +toebh</t>
  </si>
  <si>
    <t>Frame wand v Magnefix MF KKK  +toebh</t>
  </si>
  <si>
    <t>Frame wand v Magnefix MF KKKKT +toebh</t>
  </si>
  <si>
    <t>Frame vloer v Magnefix  MF KKT  +toebh</t>
  </si>
  <si>
    <t>Frame vloer v Magnefix  MF KKKT +toebh</t>
  </si>
  <si>
    <t>Frame vloer v Magnefix  MF KKK  +toebh</t>
  </si>
  <si>
    <t>Frame vloer v Magnefix  MF KKKKT+toebh</t>
  </si>
  <si>
    <t>Ring/steeksleutel +ratel (gebogen)  6mm</t>
  </si>
  <si>
    <t>Ring/steeksleutel +ratel (gebogen)  7mm</t>
  </si>
  <si>
    <t>Ring/steeksleutel +ratel (gebogen)  8mm</t>
  </si>
  <si>
    <t>Ring/steeksleutel +ratel (gebogen)  9mm</t>
  </si>
  <si>
    <t>Ring/steeksleutel +ratel (gebogen) 10mm</t>
  </si>
  <si>
    <t>Ring/steeksleutel +ratel (gebogen) 11mm</t>
  </si>
  <si>
    <t>Ring/steeksleutel +ratel (gebogen) 12mm</t>
  </si>
  <si>
    <t>Ring/steeksleutel +ratel (gebogen) 13mm</t>
  </si>
  <si>
    <t>Ring/steeksleutel +ratel (gebogen) 14mm</t>
  </si>
  <si>
    <t>Ring/steeksleutel +ratel (gebogen) 15mm</t>
  </si>
  <si>
    <t>Ring/steeksleutel +ratel (gebogen) 16mm</t>
  </si>
  <si>
    <t>Ring/steeksleutel +ratel (gebogen) 17mm</t>
  </si>
  <si>
    <t>Ring/steeksleutel +ratel (gebogen) 18mm</t>
  </si>
  <si>
    <t>Ring/steeksleutel +ratel (gebogen) 19mm</t>
  </si>
  <si>
    <t>Ring/steeksleutel +ratel (gebogen) 21mm</t>
  </si>
  <si>
    <t>Ring/steeksleutel +ratel (gebogen) 22mm</t>
  </si>
  <si>
    <t>Ring/steeksleutel +ratel (gebogen) 24mm</t>
  </si>
  <si>
    <t>Ring/steeksleutel +ratel (gebogen) 27mm</t>
  </si>
  <si>
    <t>Ring/steeksleutel +ratel (gebogen) 30mm</t>
  </si>
  <si>
    <t>Ring/steeksleutel +ratel (gebogen) 32mm</t>
  </si>
  <si>
    <t>Schuifafsluiter PExPE 400mm PN10 EL-EL</t>
  </si>
  <si>
    <t>Stroomtrafo 900/5A   0-5VA 0,2s RM85E6A</t>
  </si>
  <si>
    <t>Aansluitvlag trafo LS  630kVA  (set=4st)</t>
  </si>
  <si>
    <t>Aansluitvlag trafo LS 1000kVA (set=4st)</t>
  </si>
  <si>
    <t>Muurbeugel voor monteren trafokabels</t>
  </si>
  <si>
    <t>Pakkingring 33,5x26,5x2 MK-G6 oud/REG1"</t>
  </si>
  <si>
    <t>Pakkingring 27,0x21,0x2,0  MTRKP-G4/G6</t>
  </si>
  <si>
    <t>Pakkingring 28,5x22,5x2,0 KK3/4"</t>
  </si>
  <si>
    <t>Pakkingring 30,0x20,0x2,0 MOG</t>
  </si>
  <si>
    <t>Pakkingring 26,5x20,5x4,0 GM3/4"</t>
  </si>
  <si>
    <t>Kopp.steek PE32mm x 1" R bu zwart</t>
  </si>
  <si>
    <t>Dop voor inbrengstang T-stopper</t>
  </si>
  <si>
    <t>Schroevendraaier Dop VDE 6-kant 11 mm</t>
  </si>
  <si>
    <t>Afzetkegel 750mm Klasse 3</t>
  </si>
  <si>
    <t>Deksel v huisaansluitkast 3D dicht O&amp;K</t>
  </si>
  <si>
    <t>Drukwig voor Isicompact ringklem</t>
  </si>
  <si>
    <t>Blokkeringspl. z. bed.stok (Gebruikt)!K</t>
  </si>
  <si>
    <t>Stroomtrafo  250/5A    1-5VA 0,2s 4M8530</t>
  </si>
  <si>
    <t>Schiller v zwakgeleider laag XLPE</t>
  </si>
  <si>
    <t>Reservemes v schiller zwakgeleiderlaag</t>
  </si>
  <si>
    <t>Perskabelschoen  25mm2 Cu gat=11mm KL</t>
  </si>
  <si>
    <t>Buis Cu 15x1,0mm L=3,1m</t>
  </si>
  <si>
    <t>Knikbare moersleutel v Hauff blinddeksel</t>
  </si>
  <si>
    <t>Voedingspunt OV v kl. kasten Amsterdam</t>
  </si>
  <si>
    <t>Voedingspunt OV voor peperbus</t>
  </si>
  <si>
    <t>Beveiligingsautomaat 16A C-kar. 1P 6 kA</t>
  </si>
  <si>
    <t>Gelijkrichter Xiria 32Ah 24 Vdc in kast</t>
  </si>
  <si>
    <t>Gelijkrichter ABB 65Ah 24 Vdc in kast</t>
  </si>
  <si>
    <t>Gelijkrichter ABB 32Ah 24 Vdc in kast</t>
  </si>
  <si>
    <t>Gelijkrichter ABB 90Ah 24 Vdc in kast</t>
  </si>
  <si>
    <t>Gelijkrichter Xiria 65Ah 24 Vdc in kast</t>
  </si>
  <si>
    <t>Deksel retrofit voor huisaansluitkast</t>
  </si>
  <si>
    <t>+Veiligh.afs.DN50 Pi&gt;1,5B#WW+G106+OpsoPn</t>
  </si>
  <si>
    <t>Stroomtrafo 900/5A   0-5VA 0,2s RM100E8B</t>
  </si>
  <si>
    <t>&gt;Kop voor spindel vierkant gat 26x26mm</t>
  </si>
  <si>
    <t>Veiligh.afs.DN80 Pi&gt;1,5B#WW+G106+OpsoPn</t>
  </si>
  <si>
    <t>Lakstift rood 12ml</t>
  </si>
  <si>
    <t>Accublok 32Ah Sonnenschein 412/32F10</t>
  </si>
  <si>
    <t>Accublok 65Ah Sonnenschein 412/65F10</t>
  </si>
  <si>
    <t>Accublok 90Ah Sonnenschein 412/90F10</t>
  </si>
  <si>
    <t>kWh-trad 3f 100A 400V LDN/ODN 1tarief</t>
  </si>
  <si>
    <t>Buispatroon 10A gG 10x38mm</t>
  </si>
  <si>
    <t>kWh-trad 1f 80A 230V LDN/ODN 1tarief</t>
  </si>
  <si>
    <t>Snijtouw incl. klosjes (L=2 meter)</t>
  </si>
  <si>
    <t>Sanering set GH (Pipe Puller)        !K</t>
  </si>
  <si>
    <t>/Schakelinst. 10/20kV ABB FCCVV A</t>
  </si>
  <si>
    <t>Ontbramer tbv 10 t/m 54 Cu en RVS</t>
  </si>
  <si>
    <t>Inductor v schroefdr.lijmverbindingen !K</t>
  </si>
  <si>
    <t>Kaart onveilige aarding</t>
  </si>
  <si>
    <t>Veiligh.afs.DN50 Pi&gt;1,5B#RD10+OpsoPneum</t>
  </si>
  <si>
    <t>Veiligh.afs.DN50 Pi&gt;0,8B#RD20+OpsoPneum</t>
  </si>
  <si>
    <t>Veiligh.afs.DN80 Pi&gt;0,8B#RD40+OpsoPneum</t>
  </si>
  <si>
    <t>Veiligh.afs.DN80 Pi&gt;1,5B#RD20+OpsoPneum</t>
  </si>
  <si>
    <t>Veiligh.afs.DN100 Pi&gt;0,8B#RD40+OpsoPneu</t>
  </si>
  <si>
    <t>Veiligh.afs.DN100 Pi&gt;1,5B#RD20+OpsoPneu</t>
  </si>
  <si>
    <t>Pijpensnijder 15 &amp; 22 mm voor Cu</t>
  </si>
  <si>
    <t>Sleutelplaat recht incl. afdekplaat</t>
  </si>
  <si>
    <t>G-mtr AMR G4-6 SMR5 Mbus RF FloniSciFlo</t>
  </si>
  <si>
    <t>Sleutel 1.8.5 aannemer nwe MSR bouwcil.</t>
  </si>
  <si>
    <t>Kleine poort met wartel PG21</t>
  </si>
  <si>
    <t>Muurbeugel + rubber  21- 27mm x M10</t>
  </si>
  <si>
    <t>Muurbeugel + rubber  28- 35mm x M10</t>
  </si>
  <si>
    <t>Muurbeugel + rubber  38- 45mm x M10</t>
  </si>
  <si>
    <t>Kleine poort met wartel PG16</t>
  </si>
  <si>
    <t>Muurbeugel + rubber  48- 56mm x M10</t>
  </si>
  <si>
    <t>Muurbeugel + rubber  57- 63mm x M10</t>
  </si>
  <si>
    <t>Muurbeugel + rubber  73- 80mm x M10</t>
  </si>
  <si>
    <t>Muurbeugel + rubber  88- 93mm x M10</t>
  </si>
  <si>
    <t>Muurbeugel + rubber 108-114mm x M10</t>
  </si>
  <si>
    <t>Muurbeugel + rubber 116-125mm x M10</t>
  </si>
  <si>
    <t>Muurbeugel + rubber 159-171mm x M10</t>
  </si>
  <si>
    <t>Muurplaat St M10 ELVZ ds50</t>
  </si>
  <si>
    <t>Houtdraadeind+trx St M10x 60 ELVZ ds100</t>
  </si>
  <si>
    <t>Houtdraadeind+trx St M10x 80 ELVZ ds100</t>
  </si>
  <si>
    <t>Houtdraadeind+trx St M10x100 ELVZ ds100</t>
  </si>
  <si>
    <t>Houtdraadeind+trx St M10x120 ELVZ  ds50</t>
  </si>
  <si>
    <t>Houtdraadeind+trx St M10x140 ELVZ  ds50</t>
  </si>
  <si>
    <t>Cilinder europr 1.8.5 EZ 40/10 bouwcil.</t>
  </si>
  <si>
    <t>Afdichting kabeldoorvoering  75mm   #FF</t>
  </si>
  <si>
    <t>Afdichting kabeldoorvoering 110mm   #FF</t>
  </si>
  <si>
    <t>Pijpensnijder 28 mm voor Cu</t>
  </si>
  <si>
    <t>Nettrafo  3/0.40kV  50kVA DYN5 olie</t>
  </si>
  <si>
    <t>Revisieset O-ringen voor Mueller-T</t>
  </si>
  <si>
    <t>Steunbus met keg  63mm SDR11</t>
  </si>
  <si>
    <t>Steunbus met keg  75mm SDR17,6</t>
  </si>
  <si>
    <t>Steunbus met keg  75mm SDR11</t>
  </si>
  <si>
    <t>Steunbus met keg 110mm SDR17,6</t>
  </si>
  <si>
    <t>Steunbus met keg 110mm SDR11</t>
  </si>
  <si>
    <t>Steunbus met keg 160mm SDR17,6</t>
  </si>
  <si>
    <t>Steunbus met keg  63mm SDR17,6</t>
  </si>
  <si>
    <t>Steunbus met keg 200mm SDR17,6</t>
  </si>
  <si>
    <t>G-mtr TRAD  G6 Apator Metrix 2UG G6</t>
  </si>
  <si>
    <t>G-mtr TRAD G10 Apator Metrix UG G10</t>
  </si>
  <si>
    <t>G-mtr TRAD G16 Apator Metrix UG G16</t>
  </si>
  <si>
    <t>G-mtr TRAD G25 Apator Metrix UG G25</t>
  </si>
  <si>
    <t>Zaagblad recipro metaal 0,7-3mm L150</t>
  </si>
  <si>
    <t>Knevelapparaat PE 25 - 32 - 40mm</t>
  </si>
  <si>
    <t>Zaagblad recipro metaal 3-8mm L150#Bosc</t>
  </si>
  <si>
    <t>Bedieningshendel Magnefix MF (gebruikt)</t>
  </si>
  <si>
    <t>Stroomtrafo omschakelbaar 60-90-135/5A</t>
  </si>
  <si>
    <t>Deksel 3D voor oude kast afm. 10x20cm</t>
  </si>
  <si>
    <t>Nettrafo 10kV  200kVA  DYN5 isol</t>
  </si>
  <si>
    <t>Nettrafo 10kV  200kVA DYN11 ghars</t>
  </si>
  <si>
    <t>Nettrafo 10kV  200kVA DYN11 elast</t>
  </si>
  <si>
    <t>Nettrafo 10kV  400kVA  DYN5 isol spec</t>
  </si>
  <si>
    <t>Nettrafo 10kV  200kVA DYN11 isol</t>
  </si>
  <si>
    <t>Nettrafo 10kV  315kVA  DYN5 isol</t>
  </si>
  <si>
    <t>Nettrafo 10kV  315kVA DYN11 elast</t>
  </si>
  <si>
    <t>Nettrafo 10kV  315kVA DYN11 ghars</t>
  </si>
  <si>
    <t>Nettrafo 10kV  315kVA DYN11 isol</t>
  </si>
  <si>
    <t>Aanboorzadel 22mm v Cu excentrisch</t>
  </si>
  <si>
    <t>Inbussleutel haaks Torx T20</t>
  </si>
  <si>
    <t>Kniekussen</t>
  </si>
  <si>
    <t>Perskabelschoen  25mm2 Cu gat=13mm 45grd</t>
  </si>
  <si>
    <t>Cilinder europr 1.8.5 DZ 50/40 bouwcil.</t>
  </si>
  <si>
    <t>Krimpkous   6,4-3,2mm transpar. (L=7,5m)</t>
  </si>
  <si>
    <t>Krimpkous 19-9,5  mm transpar. (L=5m)</t>
  </si>
  <si>
    <t>Kast RTU v bewaking N-1 AC6-install.</t>
  </si>
  <si>
    <t>Railcontacthaken NH1-3 (set=3st)</t>
  </si>
  <si>
    <t>&gt;Schakelinstall. 24kV ABB FCC O SVK</t>
  </si>
  <si>
    <t>Aardkabel geisoleerd 25mm2 VD geel/groen</t>
  </si>
  <si>
    <t>Montageset v gelijkrichterkastABB/Xiria</t>
  </si>
  <si>
    <t>Gasm.flex DN20 KK/Bu 3/4" L300 RVS ISO</t>
  </si>
  <si>
    <t>Gasm.flex DN20 KK/Bu 3/4" L300 RVS</t>
  </si>
  <si>
    <t>Gasm.flex DN20 KK/Bu 3/4" L370 RVS</t>
  </si>
  <si>
    <t>Gasm.flex DN20 MK/Bu 3/4" L300 RVS Nip</t>
  </si>
  <si>
    <t>Gasm.flex DN20 MK/Bu 3/4" L400 RVS</t>
  </si>
  <si>
    <t>Gasm.flex DN20 MK/KK 3/4" L300 RVS ISO</t>
  </si>
  <si>
    <t>Gasm.flex DN20 MK/KK 3/4" L390 RVS</t>
  </si>
  <si>
    <t>Gasm.flex DN25 MK/Bu 1" L350 RVS</t>
  </si>
  <si>
    <t>+Gasm.flex DN25 MK/KK 1" L390 RVS</t>
  </si>
  <si>
    <t>Gasm.flex DN32 Bi/Bu 1.1/4" L385 RVS</t>
  </si>
  <si>
    <t>Gasm.flex DN32 KK/Bu 1.1/4" L385 RVS</t>
  </si>
  <si>
    <t>Gasm.flex DN32 KK/Bu 1.1/4" L385 RVSNip</t>
  </si>
  <si>
    <t>Gasm.flex DN20 MK/Bu 3/4" L300 RVS</t>
  </si>
  <si>
    <t>Gasm.flex DN40 Bi/Bu 1.1/2" L470 RVS</t>
  </si>
  <si>
    <t>Gasm.flex DN40 KK/Bu 1.1/2" L470 RVS</t>
  </si>
  <si>
    <t>Gasm.flex DN40 KK/Bu 1.1/2" L470 RVS ISO</t>
  </si>
  <si>
    <t>Gasm.flex DN40 KK/Bu 1.1/2" L550 RVS</t>
  </si>
  <si>
    <t>Gasm.flex DN40 KK/Bu 1.1/2"L470 RVSNpIs</t>
  </si>
  <si>
    <t>+Gasm.flex DN40 KK/Bu 1.1/2" L490 RVSNIP</t>
  </si>
  <si>
    <t>+Gasm.flex DN50 Bi/Bu 2" L520 RVS</t>
  </si>
  <si>
    <t>Deksel HAK kast zwart met uitsparing</t>
  </si>
  <si>
    <t>Deksel HAK kast zwart gesloten</t>
  </si>
  <si>
    <t>Deksel HAK kast blauw met uitsparing</t>
  </si>
  <si>
    <t>PURschuim (spuitbus=750ml)</t>
  </si>
  <si>
    <t>Bus</t>
  </si>
  <si>
    <t>Rolbandmaat 5m</t>
  </si>
  <si>
    <t>Batterijlader (AA en AAA) !K</t>
  </si>
  <si>
    <t>Huisaansl. verzwaringsset mespatroon 80A</t>
  </si>
  <si>
    <t>Koffiezetapparaat #Domo DO472K        !K</t>
  </si>
  <si>
    <t>Betonboor 16,0x600mm #SDS+</t>
  </si>
  <si>
    <t>Betonboor 14,0x600mm #SDS+</t>
  </si>
  <si>
    <t>Spanband m ratel B=50mm L=2m</t>
  </si>
  <si>
    <t>Testpen # testboy 114                 !K</t>
  </si>
  <si>
    <t>Meetkoffer v Gasstation(Plexor PN16) !C</t>
  </si>
  <si>
    <t>Cilinder europr 1.7.1 EZ 30/10 laadpaal</t>
  </si>
  <si>
    <t>Steker hks A XLPE 15kV 3x1x16</t>
  </si>
  <si>
    <t>Kopp. PE adapter 84-105x110 TV MJ3067+</t>
  </si>
  <si>
    <t>Aanboorzadel 28mm excentrisch + kraan 1"</t>
  </si>
  <si>
    <t>/Kabelbundelband 520x12,5zwart zak=25st</t>
  </si>
  <si>
    <t>Nettrafo 20/10kV 6MVA olie Yyn6 v DR #EL</t>
  </si>
  <si>
    <t>Combihamer 18V zonder accu/lader     !K</t>
  </si>
  <si>
    <t>Steunbus met keg  90mm SDR17,6</t>
  </si>
  <si>
    <t>Steunbus met keg 125mm SDR17,6</t>
  </si>
  <si>
    <t>Afsluitplug PVC-SV 2.1/2 " v blsgtz POLS</t>
  </si>
  <si>
    <t>Roerstaafjes hout (ds=500st)</t>
  </si>
  <si>
    <t>Stofafzuig unit v accu boorhamer #Bosch</t>
  </si>
  <si>
    <t>Veerring St M16 ELVZ</t>
  </si>
  <si>
    <t>Schroef binnen zeskant M16x70 ELVZ</t>
  </si>
  <si>
    <t>Inbussleutel stift T-model VDE 2,5x115mm</t>
  </si>
  <si>
    <t>Gereedschapstas met wieltjes</t>
  </si>
  <si>
    <t>Kabelschiller v XLPE MS kabel (US15)</t>
  </si>
  <si>
    <t>Montagebeugel v stroomtrafo Xiria</t>
  </si>
  <si>
    <t>Sleutel Rittal v binnenwerken kast</t>
  </si>
  <si>
    <t>Aanboorzadel 35mm +kraan 1¼” v Mewis set</t>
  </si>
  <si>
    <t>Ipcosafe stop 1.1/4"</t>
  </si>
  <si>
    <t>Gatzaag 29mm v koper</t>
  </si>
  <si>
    <t>Aanboorset 1/4" voor Inject2Seal</t>
  </si>
  <si>
    <t>Boor HSS  5mm voor Inject2Seal</t>
  </si>
  <si>
    <t>Boor HSS  8,8mm voor Inject2Seal</t>
  </si>
  <si>
    <t>Boor HSS 11,8mm voor Inject2Seal</t>
  </si>
  <si>
    <t>Slang m kopp. voor pomp tbv Inject2Seal</t>
  </si>
  <si>
    <t>Injectiepomp voor Inject2Seal</t>
  </si>
  <si>
    <t>Blaasbal voor Inject2Seal</t>
  </si>
  <si>
    <t>Vloeistof injectie geel v Inject2Seal</t>
  </si>
  <si>
    <t>Fles</t>
  </si>
  <si>
    <t>Vloeistof injectie blauw v Inject2Seal</t>
  </si>
  <si>
    <t>Spare-part set HAS 40 Pi=1,5-4bar</t>
  </si>
  <si>
    <t>Spare-part set HAS 40 Pi=0,4-1bar</t>
  </si>
  <si>
    <t>Spare-part set HAS 40 Pi=3-8bar</t>
  </si>
  <si>
    <t>kWh-AMR 1f 5(80)A LTE-M SMR 5.5</t>
  </si>
  <si>
    <t>kWh-AMR 3f 5(100)A LTE-M SMR 5.5</t>
  </si>
  <si>
    <t>Schakelinst. 10/20kV ABB CCV W2 A SVK</t>
  </si>
  <si>
    <t>Cilinder europr 1.8.5 EZ 65/30 Bouwcil.</t>
  </si>
  <si>
    <t>Afdekprofiel afbreekbaar v bev.aut(set)</t>
  </si>
  <si>
    <t>Afvalzak buit 120x130x0,015 "asbest"</t>
  </si>
  <si>
    <t>Dopsleutel 22mm M14 verlengd</t>
  </si>
  <si>
    <t>Snijtouw reserve 2x2m (L=2 meter)</t>
  </si>
  <si>
    <t>Dopsleutel 24mm M16 verlengd</t>
  </si>
  <si>
    <t>G-Mtr AMR SMR5Nxt wMbus Honeywell G4-6</t>
  </si>
  <si>
    <t>&gt;G-Mtr AMR SMR5Nxt wMbus Honeywel G10-16</t>
  </si>
  <si>
    <t>G-Mtr AMR SMR5Nxt wMbus Honeywell G25</t>
  </si>
  <si>
    <t>Dopsleutel 30mm M20 verlengd</t>
  </si>
  <si>
    <t>Straatpot gas 580x600mm afblaas kunstst.</t>
  </si>
  <si>
    <t>Inlegplaatje GAS v straatpot kunststof</t>
  </si>
  <si>
    <t>Opvulplaat sleutel Aluminium klein</t>
  </si>
  <si>
    <t>Opvulplaat sleutel Aluminium groot</t>
  </si>
  <si>
    <t>Sleutelplaat recht z afdekplaat klein</t>
  </si>
  <si>
    <t>Sleutelplaat recht m afdekplaat klein</t>
  </si>
  <si>
    <t>Sticker "verrebediend" UVbest(pak=10st)</t>
  </si>
  <si>
    <t>Drukwerkset nieuwbouw elektra(set=125st)</t>
  </si>
  <si>
    <t>Drukwerkset nieuwbouw gas    (set=125st)</t>
  </si>
  <si>
    <t>Verhogingsplint 25cm 3-veld Xiria</t>
  </si>
  <si>
    <t>Afschermlaars eindsl Coq tbv 240mm2</t>
  </si>
  <si>
    <t>RTU Eindmodule #PCF200</t>
  </si>
  <si>
    <t>Componenten I-netten</t>
  </si>
  <si>
    <t>RTU #PCF200</t>
  </si>
  <si>
    <t>RTU Voeding #24Vdc</t>
  </si>
  <si>
    <t>Router voor in MSR LS-meten</t>
  </si>
  <si>
    <t>Glijmiddel P3 spray TL</t>
  </si>
  <si>
    <t>Dummy: Magnefix</t>
  </si>
  <si>
    <t>Matrijs zeskant 50mm</t>
  </si>
  <si>
    <t>Multitool 18V              !K</t>
  </si>
  <si>
    <t>Afzethek 150 cm kl. 3 enkelzijdig</t>
  </si>
  <si>
    <t>Magnefix MD4 KKKT</t>
  </si>
  <si>
    <t>&gt;Magnefix MD4 KKKB W4</t>
  </si>
  <si>
    <t>&gt;Magnefix MD4 KKB W4</t>
  </si>
  <si>
    <t>Magnefix MD4 KKT</t>
  </si>
  <si>
    <t>Magnefix MD4 TKKK</t>
  </si>
  <si>
    <t>Magnefix MD4 TKK</t>
  </si>
  <si>
    <t>Magnefix MD4 TKT</t>
  </si>
  <si>
    <t>Sleutelplaat recht zonder afdekplaat</t>
  </si>
  <si>
    <t>Sleutel verstelbaar 10" (Bahco)</t>
  </si>
  <si>
    <t>Ls-strook  160A 1-P schakelbaar    Hager</t>
  </si>
  <si>
    <t>Adapter dubbel 185mm</t>
  </si>
  <si>
    <t>Afdekplaat v adapter dubbel (B=50mm)</t>
  </si>
  <si>
    <t>Schroef inbus M12x30 met schotelveer</t>
  </si>
  <si>
    <t>Zaagblad v Multitool B65mm L40mm hout</t>
  </si>
  <si>
    <t>Zaagblad v Multitool B32mm L50mm metaal</t>
  </si>
  <si>
    <t>Multitool afdichtingsverwijderaar L29mm</t>
  </si>
  <si>
    <t>Multitool schraper brosse vaste mat.</t>
  </si>
  <si>
    <t>Sleutel v lichtmastdeur (Vandaal)</t>
  </si>
  <si>
    <t>kWh-AMR 1f 5(80)A LTE-M SMR 5.5 Sagemco</t>
  </si>
  <si>
    <t>kWh-AMR 3f 5(100)A LTE-M SMR 5.5 Sagemc</t>
  </si>
  <si>
    <t>Acculader 10,8V-12V v schr.machine    !K</t>
  </si>
  <si>
    <t>&gt;G-Mtr AMR SMR5Nxt wMbus FlonidanG10/G16</t>
  </si>
  <si>
    <t>G-Mtr AMR SMR5Nxt wMbus Flonidan G25</t>
  </si>
  <si>
    <t>Sticker - Spanning Levensgev. 2x20 Pak50</t>
  </si>
  <si>
    <t>Buispatroonhouder 1-polig 32A 10x38</t>
  </si>
  <si>
    <t>C-profiel 20x8mm(40cm) AKO OVL&amp;1F smal</t>
  </si>
  <si>
    <t>Deksel AKO 1F smal &amp; OVL</t>
  </si>
  <si>
    <t>Deksel AKO 3F breed</t>
  </si>
  <si>
    <t>Invoerpoort AKO OVL smal 2x M20</t>
  </si>
  <si>
    <t>Kast AKO breed 1F 1x40A automaat+ 3F+MB</t>
  </si>
  <si>
    <t>Kast AKO breed 3F 3x25-80Amespat.hdr+MB</t>
  </si>
  <si>
    <t>Kast AKO breed 3F 3x25A automaat +MB</t>
  </si>
  <si>
    <t>Kast AKO breed 3F 3x25A buispat.hdr +MB</t>
  </si>
  <si>
    <t>Kast AKO smal 1F 1x10A buispat.hdr+1FMB</t>
  </si>
  <si>
    <t>Kast AKO smal 1F 1x10A onbemeterd buisp</t>
  </si>
  <si>
    <t>Koppelbrug AKO</t>
  </si>
  <si>
    <t>Mespatroonhouder NH000 3-polig</t>
  </si>
  <si>
    <t>Montageplaat AKO 3F kast breed</t>
  </si>
  <si>
    <t>Schuifhaak AKO kWh-mtr t.b.v meterbord</t>
  </si>
  <si>
    <t>Sticker AKO Netbeheer biedt aarding aan</t>
  </si>
  <si>
    <t>Filter voor accustofzuiger GAS 18V-10L</t>
  </si>
  <si>
    <t>Waterkoker 0,8 ltr , 230 V           !K</t>
  </si>
  <si>
    <t>Acculader tbv kabelz.app. RD8000-8200 !K</t>
  </si>
  <si>
    <t>Kaart "storingen voorkomen" (blok a 50)</t>
  </si>
  <si>
    <t>Acculader tbv zender TX5-10 Radiodet. !K</t>
  </si>
  <si>
    <t>Accu tbv kabelzoekapp. RD8000-8200</t>
  </si>
  <si>
    <t>Accu tbv zender Radiodetection TX5-10</t>
  </si>
  <si>
    <t>Kabelbevestigingsblok 8DJH v Siemens RMU</t>
  </si>
  <si>
    <t>&gt;LS strook 400A DIN-2             #Hager</t>
  </si>
  <si>
    <t>Basismodule v meetkast distributietrafo</t>
  </si>
  <si>
    <t>Spanningsregelaar Ecotap Control Pro</t>
  </si>
  <si>
    <t>Voeding voor meetkast distr.trafo</t>
  </si>
  <si>
    <t>Hoeklijn v vloerframe 3-velds ABB</t>
  </si>
  <si>
    <t>Hoeklijn v vloerframe 4-velds ABB</t>
  </si>
  <si>
    <t>Hoeklijn v vloerframe 5-velds ABB</t>
  </si>
  <si>
    <t>&gt;Reinigingsdoekje v kabel #Cellpack</t>
  </si>
  <si>
    <t>Knie steek PE25xPE25 zwart #HAWLE K6425</t>
  </si>
  <si>
    <t>Ombouwset 3CT voor 3x1x630 mm2 Al</t>
  </si>
  <si>
    <t>Aftakklem geisoleerd OV-0 16-150/1,5-16</t>
  </si>
  <si>
    <t>Magnefix MF KKT</t>
  </si>
  <si>
    <t>Magnefix MF KKKT</t>
  </si>
  <si>
    <t>Koppel. M-M 392-433x392-433 TV #MJ3007+</t>
  </si>
  <si>
    <t>Installatie KKVm 60/90/135-5A AC5</t>
  </si>
  <si>
    <t>Storingscontainer O&amp;S</t>
  </si>
  <si>
    <t>Haakgereedschap (Midlock)</t>
  </si>
  <si>
    <t>Doorverbinding PE-N AKO</t>
  </si>
  <si>
    <t>Timmermanspotlood rood</t>
  </si>
  <si>
    <t>Mespatroon 455A DIN-3 gTR 315kVA trafo</t>
  </si>
  <si>
    <t>Accu 18V 5Ah (Makita)</t>
  </si>
  <si>
    <t>Cilinder europr 1.8.5 EZ 50/10 bouwcil.</t>
  </si>
  <si>
    <t>Bedradingskoker 10x8cm (L=2m)</t>
  </si>
  <si>
    <t>Stuurventiel Pu=1,0-2,5bar Opso Pneu HP</t>
  </si>
  <si>
    <t>Stuurventiel Pu=1,5-3,7bar Opso Pneu HP</t>
  </si>
  <si>
    <t>Stuurventiel Pu=2,0-6,0bar Opso Pneu HP</t>
  </si>
  <si>
    <t>Railconsole 300 mm #Flamco</t>
  </si>
  <si>
    <t>Buispatroon  6A gG 10x38mm</t>
  </si>
  <si>
    <t>Koppeling ST pers 1” x bu R 1" #Sanha</t>
  </si>
  <si>
    <t>Koppeling ST pers 3/4" x bu R3/4"#Sanha</t>
  </si>
  <si>
    <t>Koppeling ST pers Kap 3/4" #Sanha</t>
  </si>
  <si>
    <t>Koppeling ST pers Kap 1" #Sanha</t>
  </si>
  <si>
    <t>Koppeling ST pers 5/4” x bu R 5/4"#Sanha</t>
  </si>
  <si>
    <t>+Schakelinst 10/20kV ABB CCVm-DA instelA</t>
  </si>
  <si>
    <t>+Schakelinst 10/20kV ABB CCVm-DA instelO</t>
  </si>
  <si>
    <t>Schakelinst 10/20kV ABB CCVm  instel A</t>
  </si>
  <si>
    <t>&gt;Schakelinst 10/20kV ABB CCVm  instel O</t>
  </si>
  <si>
    <t>Hevelhendel # Alfen</t>
  </si>
  <si>
    <t>Railconsole 350 mm (R4) #Flamco</t>
  </si>
  <si>
    <t>Railconsole 250 mm (R4) #Flamco</t>
  </si>
  <si>
    <t>&gt;Meetsysteem LS-meten #MEM-001</t>
  </si>
  <si>
    <t>Rogowski-spoel #CR-200</t>
  </si>
  <si>
    <t>Rogowski-spoel #CR-510</t>
  </si>
  <si>
    <t>Slotbout M8 x 80 verzinkt</t>
  </si>
  <si>
    <t>Slotbout M8 x 40 verzinkt</t>
  </si>
  <si>
    <t>Handmagneetschakelaar 25 A</t>
  </si>
  <si>
    <t>Ampere/Watt tang                      !K</t>
  </si>
  <si>
    <t>Mantelbuis PVC-O 400x9,8mm Creme(L=10m)</t>
  </si>
  <si>
    <t>Tapbout zkt 8.8 ELVZ M16x 95 XYLAN-coat</t>
  </si>
  <si>
    <t>Tapbout zkt 8.8 ELVZ M16x 85 XYLAN-coat</t>
  </si>
  <si>
    <t>Dopsleutel verlengd 19mm M12</t>
  </si>
  <si>
    <t>Aansluitset G4/G6 Flex</t>
  </si>
  <si>
    <t>Aansluitset G4/G6 PE 32 Nieuwbouw</t>
  </si>
  <si>
    <t>Aansluitset G4/G6 Cu22 Haaks incl kraan</t>
  </si>
  <si>
    <t>Meterbeugel G4/G6 30mbar</t>
  </si>
  <si>
    <t>Meterbeugel G4/G6 100mbar</t>
  </si>
  <si>
    <t>Bout inbus M10x16 (doos=200st)</t>
  </si>
  <si>
    <t>&gt;Beugel tbv Beschermslang PMA 29mm Zwart</t>
  </si>
  <si>
    <t>20050535</t>
  </si>
  <si>
    <t>Adereindhuls 2x1,5-10mm2 zwart zak=100st</t>
  </si>
  <si>
    <t>+Aansluitset G4/G6 Cu28 Haaks incl kraan</t>
  </si>
  <si>
    <t>Buis PVC-SV  63x2,0mm geel Kl.41 LT=10m</t>
  </si>
  <si>
    <t>Buis PVC-SV 160x4,0mm geel Kl.41 LT=10m</t>
  </si>
  <si>
    <t>Buis PVC-SV 200x4,9mm geel Kl.41 LT=10m</t>
  </si>
  <si>
    <t>Buis PVC-SV 250x6,2mm geel Kl.41 LT=10m</t>
  </si>
  <si>
    <t>Buis PVC-SV 315x7,7mm geel Kl.41 LT=10m</t>
  </si>
  <si>
    <t>Buis PVC-SV 110x2,7mm geel Kl.41 LT=10m</t>
  </si>
  <si>
    <t>Computerdatakabel 2X2X0,34 LAPP</t>
  </si>
  <si>
    <t>&gt;Computerdatakabel 2X2X0,34 HELU</t>
  </si>
  <si>
    <t>Stoppelzadel FS PE  63mm el-las</t>
  </si>
  <si>
    <t>Stoppelzadel FS PE  63mm vent fitting</t>
  </si>
  <si>
    <t>Stoppelzadel FS PE  90mm el-las</t>
  </si>
  <si>
    <t>Stoppelzadel FS PE  90mm vent fitting</t>
  </si>
  <si>
    <t>Stoppelzadel FS PE 110mm el-las</t>
  </si>
  <si>
    <t>Stoppelzadel FS PE 110mm vent fitting</t>
  </si>
  <si>
    <t>Stoppelzadel FS PE 125mm el-las</t>
  </si>
  <si>
    <t>Stoppelzadel FS PE 125mm vent fitting</t>
  </si>
  <si>
    <t>Stoppelzadel FS PE 160mm el-las</t>
  </si>
  <si>
    <t>Stoppelzadel FS PE 160mm vent fitting</t>
  </si>
  <si>
    <t>Stoppelzadel St vent fitting 1.14"</t>
  </si>
  <si>
    <t>Schroevendraaier kruiskop PZ2x25/81mm</t>
  </si>
  <si>
    <t>Schroefverbinder geisoleerd  1-1,5mm2</t>
  </si>
  <si>
    <t>Fasevergstok COQ 8,5-15kV (Gebruikt)!K</t>
  </si>
  <si>
    <t>Perskabelschoen  1,5-2,5mm2 Cu gat=6,5m</t>
  </si>
  <si>
    <t>Perskabelschoen 2,5-6  mm2 M10</t>
  </si>
  <si>
    <t>Perskabelschoen 1,5-2,5mm2  M8</t>
  </si>
  <si>
    <t>Perskabelschoen 2,5-6  mm2  M8</t>
  </si>
  <si>
    <t>Perskabelschoen 1,5-2,5mm2  M6</t>
  </si>
  <si>
    <t>Perskabelschoen 1,5-2,5mm2 M10</t>
  </si>
  <si>
    <t>Install.draad VDS  6mm2 blauw soepel</t>
  </si>
  <si>
    <t>Install.draad VDS  6mm2 zwart soepel</t>
  </si>
  <si>
    <t>Nettrafo 20kV/420V 1600kVA DYN5 ...md</t>
  </si>
  <si>
    <t>Krimpkous 9,5-4,8mm L=50m groengeel</t>
  </si>
  <si>
    <t>Krimpkous 19,1-9,5mm L=50m groengeel</t>
  </si>
  <si>
    <t>Kabel voeding 5x1,5mm2 Fabr Lapp à 100m</t>
  </si>
  <si>
    <t>Ladder telescoop                      !K</t>
  </si>
  <si>
    <t>Bocht PE100 spie-eind 30° x250mm SDR11</t>
  </si>
  <si>
    <t>Bocht PE100 spie-eind 11° x110mm SDR11</t>
  </si>
  <si>
    <t>Bocht PE100 spie-eind 11° x160mm SDR11</t>
  </si>
  <si>
    <t>Eindkap PE100 spie-eind  75mm SDR11</t>
  </si>
  <si>
    <t>Overgangstuk PE100 250SDR11/St273,0X5,0</t>
  </si>
  <si>
    <t>T-stuk PE100 spie-eind 250x 75mm SDR11</t>
  </si>
  <si>
    <t>Verloop PE100 110x75mm SDR11</t>
  </si>
  <si>
    <t>Verloop PE100 spie-eind  75x 63mm SDR11</t>
  </si>
  <si>
    <t>Overgangstuk PE100 315SDR11 St323,9X5,6</t>
  </si>
  <si>
    <t>Tape grijs 50mm (rol=50m)     #Raltec810</t>
  </si>
  <si>
    <t>Frees stift 60mm</t>
  </si>
  <si>
    <t>Glaszekering 10A 5x25mm + melder</t>
  </si>
  <si>
    <t>Vergrendeling gesl. Install. Groot</t>
  </si>
  <si>
    <t>Vergrendeling gesl. Install. Klein</t>
  </si>
  <si>
    <t>Geotextiel 1x1m gevouwen 25x25cm</t>
  </si>
  <si>
    <t>OV-verdeler 1RI-3FN LI-2</t>
  </si>
  <si>
    <t>OV-verdeler 1RI-3FN LI-3</t>
  </si>
  <si>
    <t>OV-verdeler 1RI-3FN LI-4</t>
  </si>
  <si>
    <t>+Afschermkap v adapter DIN00 strook</t>
  </si>
  <si>
    <t>Steunbus met keg 315mm SDR11</t>
  </si>
  <si>
    <t>Steunbus met keg 315mm SDR17,6</t>
  </si>
  <si>
    <t>Verloop PE100 spie-eind 90x63mm SDR11</t>
  </si>
  <si>
    <t>Bocht PE100 spie-eind 30° x 75mm SDR11</t>
  </si>
  <si>
    <t>Bocht PE100 spie-eind 45° x 75mm SDR11</t>
  </si>
  <si>
    <t>Bocht PE100 spie-eind 90° x 75mm SDR11</t>
  </si>
  <si>
    <t>Kabel voeding 5x2,5mm2 &lt; 1 kV à 100m</t>
  </si>
  <si>
    <t>Kabel voeding 5x1,5mm2 Fabr Helu à 100m</t>
  </si>
  <si>
    <t>Glijmiddel v kabel spuitbus 400 ml</t>
  </si>
  <si>
    <t>Sticker LSaanduiding F1.1-1.8 (pak50vel)</t>
  </si>
  <si>
    <t>Sticker LSaanduiding F2.1-2.8 (pak50vel)</t>
  </si>
  <si>
    <t>Sticker LSkabelcode F1.1-1.8 (pak50vel)</t>
  </si>
  <si>
    <t>Sticker LSkabelcode F2.1-2.8 (pak50vel)</t>
  </si>
  <si>
    <t>Steunbus+keg RVS d= 63 v PE-buis SDR26</t>
  </si>
  <si>
    <t>Steunbus+keg RVS d= 75 v PE-buis SDR26</t>
  </si>
  <si>
    <t>Steunbus+keg RVS d= 90 v PE-buis SDR26</t>
  </si>
  <si>
    <t>Steunbus+Keg RVS D=110 v PE-buis SDR26</t>
  </si>
  <si>
    <t>Steunbus+Keg RVS D=160 v PE-buis SDR26</t>
  </si>
  <si>
    <t>Steunbus+Keg RVS D=200 v PE-buis SDR26</t>
  </si>
  <si>
    <t>Steunbus+Keg RVS D=250 v PE-buis SDR26</t>
  </si>
  <si>
    <t>Steunbus+Keg RVS D=315 v PE-buis SDR26</t>
  </si>
  <si>
    <t>Stekker zonder kabel OVL</t>
  </si>
  <si>
    <t>Buispatroon 4A D01 gG 11X36mm v DRruimte</t>
  </si>
  <si>
    <t>Nippel dubbel 3/4"R x spie 22mm</t>
  </si>
  <si>
    <t>Krijthouder</t>
  </si>
  <si>
    <t>Compressor compleet (incl toebehoren)!K</t>
  </si>
  <si>
    <t>Sticker "LET OP, AFW. AARDING"</t>
  </si>
  <si>
    <t>Gaasband 3D voor wikkelmof 10cm x 180cm</t>
  </si>
  <si>
    <t>Giethars wikkelmof  400ml</t>
  </si>
  <si>
    <t>Giethars wikkelmof 1500ml</t>
  </si>
  <si>
    <t>Gaasmat 3D voor wikkelmof 39cm x 30cm</t>
  </si>
  <si>
    <t>Mespatroon  63A DIN-2 gG</t>
  </si>
  <si>
    <t>Stopper mastiek kegel voor MS mof</t>
  </si>
  <si>
    <t>Ombouwset 3CT v 3x1x630 mm2 Al W4 regMSR</t>
  </si>
  <si>
    <t>+Ombouwset 3CT v 3x1x630mm2 Al W3 regMSR</t>
  </si>
  <si>
    <t>Vouwdoos 200x150x100mm</t>
  </si>
  <si>
    <t>Achterplaat ABB Safeplus 3-velds</t>
  </si>
  <si>
    <t>Achterplaat ABB SafePlus 4-velds</t>
  </si>
  <si>
    <t>Achterplaat ABB SafePlus 5-velds</t>
  </si>
  <si>
    <t>Beugel v bevestiging antenne indoor</t>
  </si>
  <si>
    <t>Lasstop St bu 1.1/2" massief</t>
  </si>
  <si>
    <t>Lasstop St bu 1.1/4" massief</t>
  </si>
  <si>
    <t>Lasstop St bu 2" massief</t>
  </si>
  <si>
    <t>Lassok St 1.1/2" bi x DN 80 glw</t>
  </si>
  <si>
    <t>Lassok St 1.1/2" bixDN 100 glw</t>
  </si>
  <si>
    <t>Lassok St 1.1/2" bi x DN 125 glw</t>
  </si>
  <si>
    <t>Lassok St 2" bi x DN 150 glw</t>
  </si>
  <si>
    <t>Lassok St 2" bi x DN 200 glw</t>
  </si>
  <si>
    <t>Kabel 5m blauw v GH saneringsset#Kleiss</t>
  </si>
  <si>
    <t>DUMMY logistiek !!!</t>
  </si>
  <si>
    <t>Kabel 8m geel v GH saneringsset#Kleiss</t>
  </si>
  <si>
    <t>Kabel 12m rood v GH saneringsset#Kleiss</t>
  </si>
  <si>
    <t>Snijmes PE25mm SDR17,6 v GH saneringsset</t>
  </si>
  <si>
    <t>Snijmes PE32mm SDR17,6 v GH saneringsset</t>
  </si>
  <si>
    <t>Snijmes PE40mm SDR17,6 v GH saneringsset</t>
  </si>
  <si>
    <t>Snijmes PE50mm SDR17,6 v GH saneringsset</t>
  </si>
  <si>
    <t>Beitel plat 20x250mm SDS-Plus</t>
  </si>
  <si>
    <t>Hamer nylon 40mm terugslagvrij</t>
  </si>
  <si>
    <t>Verlengkabel 3m RJ45 Zwart #Goobay</t>
  </si>
  <si>
    <t>Verlengkabel 0,5m RJ45 Zwart #Goobay</t>
  </si>
  <si>
    <t>&gt;Aardingstrafo 20kV</t>
  </si>
  <si>
    <t>Bedradingskoker  6x8cm (L=2m)</t>
  </si>
  <si>
    <t>Groepenkast leeg Schneider 4 modules</t>
  </si>
  <si>
    <t>Groepenkast leeg Schneider 8 modules</t>
  </si>
  <si>
    <t>Installatieautomaat 10A C-kar</t>
  </si>
  <si>
    <t>Werkschakelaar 25A 4-polig opbouw</t>
  </si>
  <si>
    <t>Gasdetector Olli             #Esders !C</t>
  </si>
  <si>
    <t>Buis PE100 RC or/zw  63x 3,8 SDR17  12m</t>
  </si>
  <si>
    <t>Buis PE100 RC or/zw  75x 4,5 SDR17  12m</t>
  </si>
  <si>
    <t>Buis PE100 RC or/zw 110x 6,6 SDR17  12m</t>
  </si>
  <si>
    <t>Buis PE100 RC or/zw 160x 9,5 SDR17  12m</t>
  </si>
  <si>
    <t>Buis PE100 RC or/zw 200x11,9 SDR17  12m</t>
  </si>
  <si>
    <t>Buis PE100 RC or/zw  63x5,8 SDR11   12m</t>
  </si>
  <si>
    <t>Buis PE100 RC or/zw  75x 6,8 SDR11  12m</t>
  </si>
  <si>
    <t>Buis PE100 RC or/zw 110x10,0 SDR11  12m</t>
  </si>
  <si>
    <t>Buis PE100 RC or/zw 160x14,6 SDR11  12m</t>
  </si>
  <si>
    <t>Buis PE100 RC or/zw 200x18,2 SDR11  12m</t>
  </si>
  <si>
    <t>Buis PE100 RC or/zw 250x22,7 SDR11  12m</t>
  </si>
  <si>
    <t>Buis PE100 RC or/zw 315x28,7 SDR11  12m</t>
  </si>
  <si>
    <t>Buis PE100 RC or/zw 250x14,8 SDR17  12m</t>
  </si>
  <si>
    <t>Buis PE100 RC or/zw 315x18,7 SDR17  12m</t>
  </si>
  <si>
    <t>Buis PE100 RC or/zw 400x23,7 SDR17  12m</t>
  </si>
  <si>
    <t>Buis PE100 RC or/zw  63x3,8 SDR17 rol50</t>
  </si>
  <si>
    <t>Buis PE100 RC or/zw  75x4,5 SDR17 rol50</t>
  </si>
  <si>
    <t>Buis PE100 RC or/zw 110x6,6 SDR17 rol50</t>
  </si>
  <si>
    <t>Buis PE100 RC or/zw  63x5,8 SDR11rol100</t>
  </si>
  <si>
    <t>Buis PE100 RC or/zw  63x3,8 SDR17rol100</t>
  </si>
  <si>
    <t>Buis PE100 RC or/zw  75x4,5 SDR17rol100</t>
  </si>
  <si>
    <t>Mespatroon  16A DIN-1 gG</t>
  </si>
  <si>
    <t>Trafometer TMB 800-72-E 1000A Eleq</t>
  </si>
  <si>
    <t>&gt;Kabelbundelslang diameter 29mm(Rol=25m)</t>
  </si>
  <si>
    <t>20050534</t>
  </si>
  <si>
    <t>Kabeldoorvoering 3x39-68 OS SS RS</t>
  </si>
  <si>
    <t>Sectiekast RVS M 6-GR + OV DIN-2 + funda</t>
  </si>
  <si>
    <t>Kabelbundelslang SPIR.1619 Zw (Rol=10m)</t>
  </si>
  <si>
    <t>Lamp E27 LED 10W 2700K</t>
  </si>
  <si>
    <t>Gripzak 70x100mm LDPE transp (DS=1000st)</t>
  </si>
  <si>
    <t>Sticker LSKabelcode F3.1-3.8 (pak50vel)</t>
  </si>
  <si>
    <t>Sticker LSaand T1,2,3+voeding (pak20vel)</t>
  </si>
  <si>
    <t>Sticker LSdirectvoeding MEM Unit pk20vel</t>
  </si>
  <si>
    <t>Sticker LSKabelcode F4.1-4.8 (pak50vel)</t>
  </si>
  <si>
    <t>Sticker LSaanduiding F3.1-3.8 (pak50vel)</t>
  </si>
  <si>
    <t>Sticker LSaanduiding F4.1-4.8 (pak50vel)</t>
  </si>
  <si>
    <t>Antennevoet RVS v montage Omni LS meten</t>
  </si>
  <si>
    <t>Verlengkabel 6m v antenne puck LS meten</t>
  </si>
  <si>
    <t>Vulgereedschap (Filoform-slim) hout</t>
  </si>
  <si>
    <t>Verloop PE100 spie-eind 200x110mm SDR11</t>
  </si>
  <si>
    <t>Zadel PE100 aft el-las 250-315mmx 63mm</t>
  </si>
  <si>
    <t>Zadel blsgt el-las 250+315+400x2.1/2"</t>
  </si>
  <si>
    <t>Adapter Druktest DAA-TL+DAP FWDPA</t>
  </si>
  <si>
    <t>Adapter Druktest DAA Red</t>
  </si>
  <si>
    <t>Aanboorsleutel DAA-TL &gt; 250mm</t>
  </si>
  <si>
    <t>Aanboorsleutel DAA 40-225mm</t>
  </si>
  <si>
    <t>Aansluitstift LS strook DIN-2</t>
  </si>
  <si>
    <t>+Mof GPLK 10kV 3x95-240/XLPE10-20kV3x240</t>
  </si>
  <si>
    <t>+Mof GPLK 10kV 3x95-240/XLPE 20kV3x1x240</t>
  </si>
  <si>
    <t>Kruissleutel v kasten (ALL)</t>
  </si>
  <si>
    <t>Smeerpasta Molykote 1000 tube=100gr</t>
  </si>
  <si>
    <t>Aardklem rijg 0,2 -  6 mm2      #Phoenix</t>
  </si>
  <si>
    <t>Dummy Logistiek SET 1 (20039276)</t>
  </si>
  <si>
    <t>Dummy Logistiek SET 2 (20040678)</t>
  </si>
  <si>
    <t>Mof GPLK 10kV 3x95-240/XLPE10kV 3x150</t>
  </si>
  <si>
    <t>Kabelschaar ratel tm250mm2 VDE(gebruikt)</t>
  </si>
  <si>
    <t>Snijmes PE63mm SDR17,6 v GH saneringsset</t>
  </si>
  <si>
    <t>Randbescherming G102 #Amortiflex</t>
  </si>
  <si>
    <t>Filterset EFI1+stoffilters v Olli#Esders</t>
  </si>
  <si>
    <t>+Meetset v gescherm stekkers(gebruikt)!K</t>
  </si>
  <si>
    <t>Klemkabelschoen 1,5-2,5mm2 PEN #Klauke</t>
  </si>
  <si>
    <t>Schroevendraaier Torx T15 VDE</t>
  </si>
  <si>
    <t>Reparatieset MJ3000 Grip. NBR DN400</t>
  </si>
  <si>
    <t>Amperetang 14,7mm max0-200A(Gebruikt) !K</t>
  </si>
  <si>
    <t>Koppeling PE32mm tv+bus SDR11 HD #Beulco</t>
  </si>
  <si>
    <t>Snijmes PE63mm SDR11 v GH saneringsset</t>
  </si>
  <si>
    <t>Koppeling PE32mm tv+bus SDR17 LD #Beulco</t>
  </si>
  <si>
    <t>Kabel 20kV YMeKrvaslqwd 1x630Cu zwart</t>
  </si>
  <si>
    <t>Schakelaar remote of local  ME220Sealzer</t>
  </si>
  <si>
    <t>+Accu voor beveil.kast #ABB</t>
  </si>
  <si>
    <t>+Kabelset beveiligingskast CS 5m #ABB</t>
  </si>
  <si>
    <t>Bevestigingsstrip DA-kast</t>
  </si>
  <si>
    <t>Bevestigingsstrip beveiligingskast #ABB</t>
  </si>
  <si>
    <t>Draadstift  25mm M10 DIN976 (doos=100st)</t>
  </si>
  <si>
    <t>Metaalschroef bck kk  M5x10 ELVZ ds200</t>
  </si>
  <si>
    <t>Filter/demper GAS - inschroefbaar ¼"</t>
  </si>
  <si>
    <t>Draadstift  40mm M10 DIN976 (doos=100st)</t>
  </si>
  <si>
    <t>Draadstift  70mm M10 DIN976 (doos=100st)</t>
  </si>
  <si>
    <t>Draadstift 100mm M10 DIN976 (doos=100st)</t>
  </si>
  <si>
    <t>Inslaganker  30mm M10 brandwerend (ds50)</t>
  </si>
  <si>
    <t>Bit schroef adapter voor M10 draadeindes</t>
  </si>
  <si>
    <t>Ventiel 3/2 NC rood #Combifit</t>
  </si>
  <si>
    <t>Aansluitstekker Aardingsconnector</t>
  </si>
  <si>
    <t>Aansluitstekker Meetconnector</t>
  </si>
  <si>
    <t>Spreidoorn voor inslaganker</t>
  </si>
  <si>
    <t>Aansluitstekker Meetwagen-connector</t>
  </si>
  <si>
    <t>Kortsluitblok Meetwagen-connector</t>
  </si>
  <si>
    <t>Cilinder europr 1.3 SKG3 30/10 v Kenter</t>
  </si>
  <si>
    <t>Cilinder europr 1.3 SKG3 35/10 v Kenter</t>
  </si>
  <si>
    <t>Cilinder europr 1.3 SKG3 40/10 v Kenter</t>
  </si>
  <si>
    <t>Cilinder europr 1.3 SKG3 45/10 v Kenter</t>
  </si>
  <si>
    <t>Cilinder europr 1.3 SKG3 50/10 v Kenter</t>
  </si>
  <si>
    <t>Cilinder europr 1.3 SKG3 55/10 v Kenter</t>
  </si>
  <si>
    <t>Cilinder europr 1.3 SKG3 60/10 v Kenter</t>
  </si>
  <si>
    <t>Cilinder europr 1.3 SKG3 65/10 v Kenter</t>
  </si>
  <si>
    <t>Cilinder europr 1.3 SKG3 70/10 v Kenter</t>
  </si>
  <si>
    <t>Cilinder europr 1.3 SKG3 75/10 v Kenter</t>
  </si>
  <si>
    <t>Cilinder europr 1.3 SKG3 80/10 v Kenter</t>
  </si>
  <si>
    <t>Cilinder europr 1.3 SKG3 85/10 v Kenter</t>
  </si>
  <si>
    <t>Router in MSR Gateway 0.6</t>
  </si>
  <si>
    <t>Cilinder europr 1.4 SKG3 30/10 v Kenter</t>
  </si>
  <si>
    <t>Cilinder europr 1.4 SKG3 35/10 v Kenter</t>
  </si>
  <si>
    <t>Cilinder europr 1.4 SKG3 40/10 v Kenter</t>
  </si>
  <si>
    <t>Cilinder europr 1.4 SKG3 45/10 v Kenter</t>
  </si>
  <si>
    <t>Cilinder europr 1.4 SKG3 50/10 v Kenter</t>
  </si>
  <si>
    <t>Cilinder europr 1.4 SKG3 55/10 v Kenter</t>
  </si>
  <si>
    <t>Cilinder europr 1.4 SKG3 60/10 v Kenter</t>
  </si>
  <si>
    <t>Cilinder europr 1.4 SKG3 65/10 v Kenter</t>
  </si>
  <si>
    <t>Cilinder europr 1.4 SKG3 70/10 v Kenter</t>
  </si>
  <si>
    <t>Cilinder europr 1.4 SKG3 75/10 v Kenter</t>
  </si>
  <si>
    <t>Cilinder europr 1.4 SKG3 80/10 v Kenter</t>
  </si>
  <si>
    <t>Cilinder europr 1.4 SKG3 85/10 v Kenter</t>
  </si>
  <si>
    <t>Router RTI Noord</t>
  </si>
  <si>
    <t>Router RTI Zuid</t>
  </si>
  <si>
    <t>Bevestigingsbeugel tbv LS-Meten</t>
  </si>
  <si>
    <t>Kunststofplaat v Bevest.beugel LS-meten</t>
  </si>
  <si>
    <t>Cilinder europr 1.9 EZ 35/10 v Kenter</t>
  </si>
  <si>
    <t>Cilinder europr 1.9 EZ 40/10 v Kenter</t>
  </si>
  <si>
    <t>Cilinder europr 1.9 EZ 45/10 v Kenter</t>
  </si>
  <si>
    <t>Cilinder europr 1.9 EZ 50/10 v Kenter</t>
  </si>
  <si>
    <t>Cilinder europr 1.9 EZ 55/10 v Kenter</t>
  </si>
  <si>
    <t>Cilinder europr 1.9 EZ 60/10 v Kenter</t>
  </si>
  <si>
    <t>Cilinder europr 1.9 EZ 65/10 v Kenter</t>
  </si>
  <si>
    <t>Cilinder europr 1.9 EZ 70/10 v Kenter</t>
  </si>
  <si>
    <t>Cilinder europr 1.9 EZ 75/10 v Kenter</t>
  </si>
  <si>
    <t>Cilinder europr 1.9 EZ 80/10 v Kenter</t>
  </si>
  <si>
    <t>Cilinder europr 1.9 EZ 85/10 v Kenter</t>
  </si>
  <si>
    <t>Meetunit LS #MEM-202</t>
  </si>
  <si>
    <t>&gt;RTU #CC100</t>
  </si>
  <si>
    <t>Netvoeding Eco2 #24Vdc</t>
  </si>
  <si>
    <t>Zeskantplaatschroef zelfb 4,2x25 ds200</t>
  </si>
  <si>
    <t>Slagdop inbus 1/2" x  6mm</t>
  </si>
  <si>
    <t>G-Mtr AMR SMR5.5 wMbus Honeywell G10</t>
  </si>
  <si>
    <t>G-Mtr AMR SMR5.5 wMbus Honeywell G16</t>
  </si>
  <si>
    <t>&gt; Systeemkast MSR gateway 0.6</t>
  </si>
  <si>
    <t>Cilinder europr 1.9 EZ 30/10 v Kenter</t>
  </si>
  <si>
    <t>Handpomp drukgever set v groengas   !K</t>
  </si>
  <si>
    <t>G-Mtr AMR SMR5.5 wMbus Flonidan G10</t>
  </si>
  <si>
    <t>G-Mtr AMR SMR5.5 wMbus Flonidan G16</t>
  </si>
  <si>
    <t>Afblaasunit T-stuk gas var.aanboor DN50</t>
  </si>
  <si>
    <t>Afblaasunit gas var. aanboor DN50</t>
  </si>
  <si>
    <t>Afblaasunit gas bovenaanboring DN50</t>
  </si>
  <si>
    <t>Kaart Aangepaste wz Heijmans (blok 50)</t>
  </si>
  <si>
    <t>Kaart Nieuwe afspraak Heijmans (blok50)</t>
  </si>
  <si>
    <t>Pijpensnijder 6 - 66 mm tbv Staal en RV</t>
  </si>
  <si>
    <t>Generieke melder RTU002-L</t>
  </si>
  <si>
    <t>MSR ALF MED 630kVA FCVC 1000LS14 RAL6009</t>
  </si>
  <si>
    <t>Accu 36V 6,2 Ah voor Hydropomp</t>
  </si>
  <si>
    <t>Antenne set Rhino MSR Gateway 0.6</t>
  </si>
  <si>
    <t>Graszaad 1 kg Gazon Herstel # ECOstyle</t>
  </si>
  <si>
    <t>Slang tbv ventilator D=305mm L=7,5mtr</t>
  </si>
  <si>
    <t>RTI kast Type B</t>
  </si>
  <si>
    <t>Meetkoffer Druktest Max !C</t>
  </si>
  <si>
    <t>Muurbeugel verhoogd gasmeteropst gAvila</t>
  </si>
  <si>
    <t>T-stopper 40mm</t>
  </si>
  <si>
    <t>Bedieningshendel Magnefix MD (gebruikt)</t>
  </si>
  <si>
    <t>Wringstaven 26RS 190-330mm (set=3 maten)</t>
  </si>
  <si>
    <t>Ontvetter (2,5 liter) #NEBOL Odourless</t>
  </si>
  <si>
    <t>Zeep tbv olie/vet (4,2ltr) #Dreumex-spec</t>
  </si>
  <si>
    <t>Glijmiddel KIWA-keur (5 kg) #GriffonP20</t>
  </si>
  <si>
    <t>IJzermenie v staal (2,5 liter)</t>
  </si>
  <si>
    <t>Verf donk.grijs RAL0678 #Nelfamar Vinyl</t>
  </si>
  <si>
    <t>Verf geel RAL1004 5ltr #Nelfamar Vinyl+</t>
  </si>
  <si>
    <t>Primer Corrisol WS (5 liter) #Denso</t>
  </si>
  <si>
    <t>Verf RAL1004 geel (0,25 liter) #gAvilar</t>
  </si>
  <si>
    <t>Gas enkelvoudig Argon 4.6 (10L) #A010H</t>
  </si>
  <si>
    <t>Menggas Argon/Koolzuur (20L) #Protegon20</t>
  </si>
  <si>
    <t>Gas enkelvoudig (10L) Stikstof3.0 #S010H</t>
  </si>
  <si>
    <t>&gt;Gasfles testgas  100ppm Methaan v GLZ</t>
  </si>
  <si>
    <t>&gt;Gasfles testgas 1000ppm Methaan</t>
  </si>
  <si>
    <t>Kalibratiegasmengsel v (Dräger)</t>
  </si>
  <si>
    <t>Kalibratiegas HCN (Dräger)</t>
  </si>
  <si>
    <t>Kalibratiegas Stikstof N2 (Dräger)</t>
  </si>
  <si>
    <t>Reiniger universeel #Ecopoint</t>
  </si>
  <si>
    <t>Petroleum (5 liter) "reukloos"</t>
  </si>
  <si>
    <t>Olie hydraulisch ISO46 (5 liter)</t>
  </si>
  <si>
    <t>Terpentine (5 liter)</t>
  </si>
  <si>
    <t>Alkylaatbenzine tweetakt (5 liter)</t>
  </si>
  <si>
    <t>Alkylaatbenzine viertakt (5 liter)</t>
  </si>
  <si>
    <t>Water gedemineraliseerd (25 liter)</t>
  </si>
  <si>
    <t>Lekzoekvloeistof (20 liter) #Gaspruf</t>
  </si>
  <si>
    <t>Handreiniger (1 liter) #Swarfega/DEB</t>
  </si>
  <si>
    <t>Fittersdraad br.1mm (150 meter) #Loctite</t>
  </si>
  <si>
    <t>Soldeer-tin/lood 50/50 3mm mas (1 kg)</t>
  </si>
  <si>
    <t>Smeervet v kettingen (0,4 liter)</t>
  </si>
  <si>
    <t>Spray v elektro bescherming (bus=0,5l)</t>
  </si>
  <si>
    <t>Siliconenspray compound (0,5ltr)#Innotec</t>
  </si>
  <si>
    <t>Wegenverf streepgeel (0,6 liter) #Motip</t>
  </si>
  <si>
    <t>Reiniger (0,4 liter) #Loctite 7063</t>
  </si>
  <si>
    <t>Activator spuitbus=90ml #Loctite 7240</t>
  </si>
  <si>
    <t>Activator (150ml) #Loctite 7649</t>
  </si>
  <si>
    <t>Verf RAL 6009 groen (0,4 liter)</t>
  </si>
  <si>
    <t>Verf RAL 1004 geel (0,5 liter)</t>
  </si>
  <si>
    <t>Zaagblad decoupeer hout (5 stuks) #T144D</t>
  </si>
  <si>
    <t>Zaagblad decoupeer metaal (5 st) #T127D</t>
  </si>
  <si>
    <t>Zaagblad decoupeer kunstst (5 st) #T101B</t>
  </si>
  <si>
    <t>Temperatuurstrips 8-levels (10 stuks)</t>
  </si>
  <si>
    <t>Bindtouw dik 3-draads (6 stuks à 0,5kg)</t>
  </si>
  <si>
    <t>Reservemes afbreek 9mm v Stanley-mes</t>
  </si>
  <si>
    <t>Snelschuim (PUR) 2-comp (210 ml)</t>
  </si>
  <si>
    <t>Laselektrodes 2,5mm x 360mm #Filarc48</t>
  </si>
  <si>
    <t>Montagekit (125 gram) #Bison</t>
  </si>
  <si>
    <t>Siliconenkit transparant (80ml)</t>
  </si>
  <si>
    <t>Schroefdraadborgingbout medi #Loctite243</t>
  </si>
  <si>
    <t>Handcrème (100 ml) #Estolan-plus</t>
  </si>
  <si>
    <t>Afdichtingspasta doorv. #STOPAQ 2100 grt</t>
  </si>
  <si>
    <t>Handreiniger (250 ml) #Kresto</t>
  </si>
  <si>
    <t>Siliconenolie v magnefix (100 gram)</t>
  </si>
  <si>
    <t>Vet type G-N+ (100 gram) #Molykote</t>
  </si>
  <si>
    <t>Zonnebrandcrème Stokoderm 30 (100 ml)</t>
  </si>
  <si>
    <t>Vet v kranen 1102 (50 gr) #Molykote</t>
  </si>
  <si>
    <t>Vet siliconen v MS-kabels (200 gram)</t>
  </si>
  <si>
    <t>Kast AKO OVL 1x6A Compact NV</t>
  </si>
  <si>
    <t>Kast AKO OVL 2x6A Compact NV/AV</t>
  </si>
  <si>
    <t>Kabelbevestigingsklem v 3kabels 24-35mm</t>
  </si>
  <si>
    <t>Kabelbevestigingsklem v 4kabels 25-35mm</t>
  </si>
  <si>
    <t>Aardingsset tr.vld m kogelbt!K(gebruikt)</t>
  </si>
  <si>
    <t>Mof XLPE 20kV 1x240 / 10-20kV 1x630</t>
  </si>
  <si>
    <t>Installatiebuis 3/4"crème flexibel(100m)</t>
  </si>
  <si>
    <t>Installatiebuis 5/8" flexibel (100m)</t>
  </si>
  <si>
    <t>L-profiel hoekijzer 40x40x4mm (6m)</t>
  </si>
  <si>
    <t>L-profiel hoekijzer 50x50x5mm (L=6m)</t>
  </si>
  <si>
    <t>Polijstband 150mm #Scotch-brit (rol=10m)</t>
  </si>
  <si>
    <t>Rail 30x15mm #Flamco R1 (L=2m)</t>
  </si>
  <si>
    <t>&gt;Staf Cu rond 10mm (L=4m)</t>
  </si>
  <si>
    <t>&gt;Staf Cu rond 16mm (L=4m)</t>
  </si>
  <si>
    <t>Staf plat 40x 5mm staal (6m)</t>
  </si>
  <si>
    <t>Strip Cu  20x 5mm ECuF30 (L=4m)</t>
  </si>
  <si>
    <t>Strip Cu  30x 5mm ECuF30 (L=4m)</t>
  </si>
  <si>
    <t>Strip Cu  40x 5mm ECuF57 (L=4m)</t>
  </si>
  <si>
    <t>Strip Cu  50x10mm ECuF30 (L=4m)</t>
  </si>
  <si>
    <t>Strip Cu  60x10mm ECuF30 (L=4m)</t>
  </si>
  <si>
    <t>Strip Cu  80x10mm ECuF30 (L=4m)</t>
  </si>
  <si>
    <t>Strip Cu 100x10mm ECuF30 (L=4m)</t>
  </si>
  <si>
    <t>Touw-nylon 10mm (rol=100m)</t>
  </si>
  <si>
    <t>U-profiel UNP-80 warmgewalst (L=6m)</t>
  </si>
  <si>
    <t>Veiligheidsklem 80mm VDE</t>
  </si>
  <si>
    <t>Reservemes v kabelschiller US15</t>
  </si>
  <si>
    <t>Bouwheksleutel</t>
  </si>
  <si>
    <t>Sticker retour OT-Hub (pak25vel)</t>
  </si>
  <si>
    <t>&gt;MSR AKA S21 400kVA FCC 630LS08 RAL6009</t>
  </si>
  <si>
    <t>&gt;MSR AKA S21 630kVA FCC 630LS08 RAL6009</t>
  </si>
  <si>
    <t>Schakelinst 10/20KV Siemens RRRT BlueGis</t>
  </si>
  <si>
    <t>Schakelinst 10/20KV Siemens RRT BlueGis</t>
  </si>
  <si>
    <t>Kabelbundelband 617x 6,9 wit(zak=500st)</t>
  </si>
  <si>
    <t>Voedingskabel 3 fase v GATEWAY (L=2,5 m)</t>
  </si>
  <si>
    <t>Kabel aansluit MEM SAC-5P-M12MS (L=0,3m)</t>
  </si>
  <si>
    <t>Splitter T Modbus SAC-5PT-F/F-M-VP-SH</t>
  </si>
  <si>
    <t>Kabel modbus SAC-5P-M12MS/3.0-9 (L=3m)</t>
  </si>
  <si>
    <t>Kabel modbus SAC-5P-M12/1.0-920 (L=1m)</t>
  </si>
  <si>
    <t>Kabel deurschakelaar v MSR-GATEWAY</t>
  </si>
  <si>
    <t>Voedingskabel 3 fase voor MEM (L=3,5 m)</t>
  </si>
  <si>
    <t>Voedingskabel 3 fase v GATEWAY (L=5m)</t>
  </si>
  <si>
    <t>Meetsysteem v KKKT # Eaton iCap</t>
  </si>
  <si>
    <t>Meetsysteem v KKT #Eaton iCap</t>
  </si>
  <si>
    <t>&gt;MSR AKA S21 400kVA FCC 630LS08 RAL7016</t>
  </si>
  <si>
    <t>Aansluitdop v inbrenglans POM v TBA 3.0</t>
  </si>
  <si>
    <t>Hulpstuk 2.5” v aansluiting PVC opzetst</t>
  </si>
  <si>
    <t>Hulpstuk 2” v aansluiting PVC opzetst.</t>
  </si>
  <si>
    <t>Hulpstuk v verw. veerpen RVS  (TBA 3.0)</t>
  </si>
  <si>
    <t>Koppelstuk M30 &gt; G1''  voor TBA 3.0</t>
  </si>
  <si>
    <t>Koppelstuk tbv 75mm, rub 10mm (TBA 3.0)</t>
  </si>
  <si>
    <t>Koppelstuk v verlengst. 20mm (TBA 3.0)</t>
  </si>
  <si>
    <t>Membraam 50mm PUR doorsnee voor TBA 3.0</t>
  </si>
  <si>
    <t>Membraam 60mm PUR doorsnee voor TBA 3.0</t>
  </si>
  <si>
    <t>Membraam RVS inbrenglans voor TBA 3.0</t>
  </si>
  <si>
    <t>Openhouder klep tbv kijkglas v TBA 3.0</t>
  </si>
  <si>
    <t>Adapter overzet  2.1/2'' v TBA 3.0</t>
  </si>
  <si>
    <t>Opvangkamer en aanb.adapter v TBA 3.0</t>
  </si>
  <si>
    <t>Plaatafsl.  2'' &amp; 2.5''aansl. (TBA 3.0)</t>
  </si>
  <si>
    <t>Schilboor 22,4mm x M10  voor TBA 3.0</t>
  </si>
  <si>
    <t>Staaldraad 100cm incl klem voor TBA 3.0</t>
  </si>
  <si>
    <t>Steeksleutel tbv klemkegel voor TBA 3.0</t>
  </si>
  <si>
    <t>Tap links KST plug voor TBA 3.0</t>
  </si>
  <si>
    <t>Tussenstuk G1'' buiten voor TBA 3.0</t>
  </si>
  <si>
    <t>Veerpen t.b.v  63mm-75mm voor TBA 3.0</t>
  </si>
  <si>
    <t>Veerpen t.b.v. 90mm-125mm voor TBA 3.0</t>
  </si>
  <si>
    <t>Verlengbuis 200mm POM voor TBA 3.0</t>
  </si>
  <si>
    <t>Boor KST met spindel voor TBA 3.0</t>
  </si>
  <si>
    <t>Verlengstuk 160mm voor TBA 3.0</t>
  </si>
  <si>
    <t>Verlengstuk 200mm voor TBA 3.0</t>
  </si>
  <si>
    <t>Wringijzer staal voor TBA 3.0</t>
  </si>
  <si>
    <t>Zaklamp LED ATEX gekeurd voor TBA 3.0</t>
  </si>
  <si>
    <t>Doorkijkglas 2'' boorgat-bep. v TBA 3.0</t>
  </si>
  <si>
    <t>Dop kunstst. v doorb.adapter v TBA 3.0</t>
  </si>
  <si>
    <t>Frees PVC 24mm x M10 voor TBA 3.0</t>
  </si>
  <si>
    <t>Haaksleutel 68x75mm voor TBA 3.0</t>
  </si>
  <si>
    <t>Hulpstuk 1.5” v aansluiting PVC opzetst</t>
  </si>
  <si>
    <t>Hulpstuk 1” v aansluiting PVC opzetst.</t>
  </si>
  <si>
    <t>Ombouwset RVS krukgarnituur</t>
  </si>
  <si>
    <t>Adapterset M16-&gt;M12 (set=3stuks)</t>
  </si>
  <si>
    <t>Schuurgaas K180 b=100mm (rol=25m)</t>
  </si>
  <si>
    <t>Kraansleutel deelb telesc RVS 27mm vierk</t>
  </si>
  <si>
    <t>Glaszekering 8A tbv kabelsel. (ds=10st)</t>
  </si>
  <si>
    <t>Eindmodule voor RTI kast</t>
  </si>
  <si>
    <t>Voeding 24Vdc voor RTI kast</t>
  </si>
  <si>
    <t>Controller PFC200 voor RTI kast</t>
  </si>
  <si>
    <t>Capacitieve buffer voor RTI kast</t>
  </si>
  <si>
    <t>Interface serieel RS-232/485 v RTI kast</t>
  </si>
  <si>
    <t>Uitgang digitaal 8 kanalen v RTI kast</t>
  </si>
  <si>
    <t>Uitgang digitaal 16 kanalen v RTI kast</t>
  </si>
  <si>
    <t>Glijmoer M10 kwikstrut v Flamco-rail</t>
  </si>
  <si>
    <t>LS-strook 400A DIN-2  1-p schakelb Hager</t>
  </si>
  <si>
    <t>MS ov comp station</t>
  </si>
  <si>
    <t>Sleutelhanger (Sleutelbol)</t>
  </si>
  <si>
    <t>Kabelmantel &amp;mof reparatiemanchet L2600</t>
  </si>
  <si>
    <t>Drukopnemer A10 KOD continumeting</t>
  </si>
  <si>
    <t>LS-rek 1600A 1000kVA v 10 groepen Hager</t>
  </si>
  <si>
    <t>LS-rek 1000A 630kVA v 10 groepen Hager</t>
  </si>
  <si>
    <t>Lastscheiderstrook 910A,  1-p met ref</t>
  </si>
  <si>
    <t>LS-rek Uitbreiding 1000kVA v4 groepen</t>
  </si>
  <si>
    <t>Lastscheiderstrook 910A 1-p schakelbaar</t>
  </si>
  <si>
    <t>Muurplug Duopower #Fischer  5x25 ds=100</t>
  </si>
  <si>
    <t>Muurplug Duopower #Fischer  6x30 ds=100</t>
  </si>
  <si>
    <t>Muurplug Duopower #Fischer  8x40 ds=100</t>
  </si>
  <si>
    <t>Muurplug Duopower #Fischer 10x50 ds=50</t>
  </si>
  <si>
    <t>Muurplug Duopower #Fischer 12x60 ds=25</t>
  </si>
  <si>
    <t>Klemmenstrook op afstandhouder</t>
  </si>
  <si>
    <t>Kaart "Nieuwe afspraak Kemkens" (blok50)</t>
  </si>
  <si>
    <t>Kaart Nieuwe afspraak Energiewacht(50st)</t>
  </si>
  <si>
    <t>Verschilspanningsmeter #Orion M1 !K</t>
  </si>
  <si>
    <t>Naambord kliklijst A3 waterdicht</t>
  </si>
  <si>
    <t>Reparatieset MJ3000 Grip. NBR DN 50</t>
  </si>
  <si>
    <t>Beschermkap PE Groen MJ3000  DN 400</t>
  </si>
  <si>
    <t>Dop PE voor Bout M16 (100 stuks)</t>
  </si>
  <si>
    <t>Dop PE voor Bout M20 (100 stuks)</t>
  </si>
  <si>
    <t>Reparatieset MJ3000 Grip. NBR DN 80</t>
  </si>
  <si>
    <t>Beschermkap PE Groen MJ3000  DN  50</t>
  </si>
  <si>
    <t>Beschermkap PE Groen MJ3000  DN  80</t>
  </si>
  <si>
    <t>Beschermkap PE Groen MJ3000  DN 100</t>
  </si>
  <si>
    <t>Beschermkap PE Groen MJ3000  DN 200</t>
  </si>
  <si>
    <t>Beschermkap PE Groen MJ3000  DN 225</t>
  </si>
  <si>
    <t>Beschermkap PE Groen MJ3000  DN 250</t>
  </si>
  <si>
    <t>Beschermkap PE Groen MJ3000  DN 300</t>
  </si>
  <si>
    <t>Kabelbundelslang  36mm #Rittal (25m)</t>
  </si>
  <si>
    <t>Beugel tbv Beschermslang PMA 36mm Zwart</t>
  </si>
  <si>
    <t>Aardkabel geisoleerd 6mm2 VD geel/groen</t>
  </si>
  <si>
    <t>Adereindhuls AI 1-12 RD #Phoenix</t>
  </si>
  <si>
    <t>Adereindhuls AI 2,5-12 BU #Phoenix</t>
  </si>
  <si>
    <t>Adereindhuls AI 1,5-12 BK #Phoenix</t>
  </si>
  <si>
    <t>Adereindhuls AI TWIN 2X1,512 BK #Phoenix</t>
  </si>
  <si>
    <t>Voedingskabel 300/500V #Lapp (100m)</t>
  </si>
  <si>
    <t>Lasklem inst 0,2-4mm2 3x #Wago 221-413</t>
  </si>
  <si>
    <t>Grijptang VDE 180mm (kunststof)</t>
  </si>
  <si>
    <t>Steker hks C XLPE 20kV 3x1x400</t>
  </si>
  <si>
    <t>Mof XLPE 20kV 1x400 / 20kV 1x630</t>
  </si>
  <si>
    <t>Klemmenset bruto kwh meting fase 1</t>
  </si>
  <si>
    <t>Klemmenset bruto kwh meting fase 3</t>
  </si>
  <si>
    <t>Einddop met O-ring 32mm Polsafe</t>
  </si>
  <si>
    <t>Kabel 20kV P1/Y MeKrvaslqwd 1x400Curs+35</t>
  </si>
  <si>
    <t>Drukregelaar FL DN100 PN16 #MADAS</t>
  </si>
  <si>
    <t>Vergrendeling Holec HV</t>
  </si>
  <si>
    <t>Vergrendeling Holec HC</t>
  </si>
  <si>
    <t>Vergrendeling EIB Prefab laag</t>
  </si>
  <si>
    <t>Insulator segment #MINI-12,5</t>
  </si>
  <si>
    <t>Drukregelaar FL DN50 PN16 #MADAS</t>
  </si>
  <si>
    <t>Drukregelaar FL DN80 PN16 #MADAS</t>
  </si>
  <si>
    <t>Drukregelaar bi 1.1/2" recht # MADAS</t>
  </si>
  <si>
    <t>Koppeling PVC 63-50mm v TBA</t>
  </si>
  <si>
    <t>Bo-Stop 1.1/4" Verlenghuis v TBA</t>
  </si>
  <si>
    <t>Schroevendraaier dop 6-kant7mm v TBA</t>
  </si>
  <si>
    <t>Koppeling EPDM 50-65mm DC65 v TBA</t>
  </si>
  <si>
    <t>Koppeling PVC 90-75/63-50 mm v TBA</t>
  </si>
  <si>
    <t>Koppeling PVC 92-75 mm v TBA</t>
  </si>
  <si>
    <t>Blaas handbed. met ALU stang v TBA</t>
  </si>
  <si>
    <t>Spiraalboor HSS 12mm M8 v TBA</t>
  </si>
  <si>
    <t>Dopsleutel 1"    - 4-kant Magn v TBA</t>
  </si>
  <si>
    <t>Dopsleutel 1.1/4"- 4-kant Magn v TBA</t>
  </si>
  <si>
    <t>Afdichting 1"     v TBA</t>
  </si>
  <si>
    <t>Koppeling PVC 63-50/50-40mm v TBA</t>
  </si>
  <si>
    <t>Afdichting 1.1/4" v TBA</t>
  </si>
  <si>
    <t>Afdichting   3/4" v TBA</t>
  </si>
  <si>
    <t>Manchet PU 1"     v TBA</t>
  </si>
  <si>
    <t>Manchet PU   3/4" v TBA</t>
  </si>
  <si>
    <t>Adapter 1.1/2"x1.1/2" v TBA</t>
  </si>
  <si>
    <t>Boorspil RVS 16x450mm 3/8" M10 v TBA</t>
  </si>
  <si>
    <t>Voeding automat. 10mm met kap v TBA</t>
  </si>
  <si>
    <t>Plugspil kap 10mm ALU v TBA</t>
  </si>
  <si>
    <t>Kist 66x29x22cm v TBA</t>
  </si>
  <si>
    <t>Klep 2" met adapter v TBA</t>
  </si>
  <si>
    <t>Sok verloop Messing 1"x1.1/4" v TBA</t>
  </si>
  <si>
    <t>O-ring 34 x 3 mm v TBA</t>
  </si>
  <si>
    <t>Plugspil met kap + linkse tap v TBA</t>
  </si>
  <si>
    <t>Pomp kunststof voor Eesiseel v TBA</t>
  </si>
  <si>
    <t>PU-stop 31-41mm dop Polsafe v TBA</t>
  </si>
  <si>
    <t>PU-stop 31-41mm dop Wavin v TBA</t>
  </si>
  <si>
    <t>Frees PVC 24mm x 3,8" v TBA</t>
  </si>
  <si>
    <t>Wringijzer staal 10mm v TBA</t>
  </si>
  <si>
    <t>PU-stop op stang tbv 22mm gat v TBA</t>
  </si>
  <si>
    <t>Klep 2.1/2" grijs v TBA</t>
  </si>
  <si>
    <t>Ring 2" v.v. kijkglas v TBA</t>
  </si>
  <si>
    <t>Verloopadapter 2"    x1.1/4" v TBA</t>
  </si>
  <si>
    <t>Verloopadapter 2.1/2"x1.1/4" v TBA</t>
  </si>
  <si>
    <t>Aanboorspil RVS 10mm M8 L=365mmv TBA</t>
  </si>
  <si>
    <t>Aanboorspil RVS 10mm M8 L=450mmv TBA</t>
  </si>
  <si>
    <t>Appelboor 22,4mm x 3/8" v TBA</t>
  </si>
  <si>
    <t>Voeding automatisch 16mm 1" v TBA</t>
  </si>
  <si>
    <t>Boorspil RVS 16x450MM+kernboor v TBA</t>
  </si>
  <si>
    <t>Tape 19mm zw/wit v Dymo Labelp 20034598</t>
  </si>
  <si>
    <t>Beeldscherm 1920 x 1080</t>
  </si>
  <si>
    <t>Gelijkrichter-module insteek 110Vdc</t>
  </si>
  <si>
    <t>HMI PC</t>
  </si>
  <si>
    <t>Kast v PC  48V links scharnier</t>
  </si>
  <si>
    <t>Kast v PC  48V rechts scharnier</t>
  </si>
  <si>
    <t>Kast v PC 110V links scharnier</t>
  </si>
  <si>
    <t>Kast v PC 110V rechts scharnier</t>
  </si>
  <si>
    <t>Meetmodule MS stroomkwaliteit (hoofd)</t>
  </si>
  <si>
    <t>Meetmodule MS stroomkwaliteit (modulair)</t>
  </si>
  <si>
    <t>Meetmodule MS stroomkwaliteit 4-kanaals</t>
  </si>
  <si>
    <t>Meetmodule MS stroomkwaliteit 8-kanaals</t>
  </si>
  <si>
    <t>Beeldscherm 1920 x 1200</t>
  </si>
  <si>
    <t>Meetpaneel MS model A</t>
  </si>
  <si>
    <t>Meetpaneel MS model B</t>
  </si>
  <si>
    <t>Meetpaneel MS model C</t>
  </si>
  <si>
    <t>Meetpaneel MS model D</t>
  </si>
  <si>
    <t>Meetpaneel MS model E</t>
  </si>
  <si>
    <t>Module v communicatie</t>
  </si>
  <si>
    <t>Netwerkrouter - bekabeld</t>
  </si>
  <si>
    <t>Paneel PC</t>
  </si>
  <si>
    <t>Paneel PC Ventilatorloos</t>
  </si>
  <si>
    <t>Schakelmodule #Cisco GeachGRWIC-D-ES-6S</t>
  </si>
  <si>
    <t>Bewakingsmodule met SD kaart</t>
  </si>
  <si>
    <t>Stroomserver industrieel</t>
  </si>
  <si>
    <t>Stroomtrafo 1A/333mV  0,5 meter</t>
  </si>
  <si>
    <t>Stroomtrafo 1A/333mV  1 meter</t>
  </si>
  <si>
    <t>Stroomtrafo 1A/333mV  2 meter</t>
  </si>
  <si>
    <t>Stroomtrafo 1A/333mV  2,5 meter</t>
  </si>
  <si>
    <t>Stroomtrafo 5A/333mV  0,5 meter</t>
  </si>
  <si>
    <t>Stroomtrafo 5A/333mV  1 meter</t>
  </si>
  <si>
    <t>Stroomtrafo 5A/333mV  2 meter</t>
  </si>
  <si>
    <t>Stroomtrafo 5A/333mv  2,5 meter</t>
  </si>
  <si>
    <t>Fitlet PC</t>
  </si>
  <si>
    <t>Uitbreidingsmodule MS stroomkwaliteit</t>
  </si>
  <si>
    <t>Verdeler v ethernet 16-kanaals+1-voeding</t>
  </si>
  <si>
    <t>Verdeler v ethernet 16-kanaals+2-voeding</t>
  </si>
  <si>
    <t>Voeding v verdeler v ethernet</t>
  </si>
  <si>
    <t>Zendmodule ethernet 100MB</t>
  </si>
  <si>
    <t>Zendmodule Optisch RGD</t>
  </si>
  <si>
    <t>Zendmodule Optisch RGD 1GB</t>
  </si>
  <si>
    <t>Zendmodule Optisch SFP</t>
  </si>
  <si>
    <t>Zendmodule Optisch SPF merkloos</t>
  </si>
  <si>
    <t>Zendmodule Optisch XR2</t>
  </si>
  <si>
    <t>Gelijkrichter &amp; voeding  48Vdc</t>
  </si>
  <si>
    <t>Gelijkrichter &amp; voeding  60Vdc</t>
  </si>
  <si>
    <t>Gelijkrichter &amp; voeding 110Vdc - T101</t>
  </si>
  <si>
    <t>Gelijkrichter &amp; voeding 110Vdc - T111</t>
  </si>
  <si>
    <t>Gelijkrichter-module insteek  48Vdc</t>
  </si>
  <si>
    <t>Bluetooth module tbv Leckomio EX</t>
  </si>
  <si>
    <t>Toetsenbord &amp; muis - bedraad</t>
  </si>
  <si>
    <t>&gt;Router netwerk IR8340</t>
  </si>
  <si>
    <t>Stroomtrafo 1250/5 1-10VA kl.0,5 ’80 rDT</t>
  </si>
  <si>
    <t>Stroomtrafo 2000/5 1-15VA kl.0,5 ’80 rDT</t>
  </si>
  <si>
    <t>Drukregelaar bi 2" recht # MADAS</t>
  </si>
  <si>
    <t>Pasring DN80 4,0 mm</t>
  </si>
  <si>
    <t>Pasring DN100 25,0 mm</t>
  </si>
  <si>
    <t>RTU v MSR gateway 0.8</t>
  </si>
  <si>
    <t>20050694</t>
  </si>
  <si>
    <t>Dopsleutelset 1/4"+ 1/2" 94-delig</t>
  </si>
  <si>
    <t>Batterij v Generieke Melder ds=9 st</t>
  </si>
  <si>
    <t>Mof XLPE 50/70kV 1x400 / 20kV 1x630</t>
  </si>
  <si>
    <t>Router in MSR Gateway 0.8</t>
  </si>
  <si>
    <t>Magneten voor Generieke Melder ds=10 set</t>
  </si>
  <si>
    <t>Vergrendeling MS-Xiria/SVS</t>
  </si>
  <si>
    <t>Schakelinst. Xiria-E KMV AC6a ZT</t>
  </si>
  <si>
    <t>Schakelinst. Xiria-E VVVMV AC6a ZT</t>
  </si>
  <si>
    <t>Schakelinst. Xiria-E VVVMV AC6a MT</t>
  </si>
  <si>
    <t>Montagevoet v Generieke Melder ds=10 set</t>
  </si>
  <si>
    <t>Schakelinst. Xiria-E VVMV AC6a ZT</t>
  </si>
  <si>
    <t>Schakelinst. Xiria-E VVMV AC6b MT</t>
  </si>
  <si>
    <t>Schakelinst. Xiria-E KMV AC6b MT</t>
  </si>
  <si>
    <t>Schakelinst. Xiria-E VVMVV AC6a MT</t>
  </si>
  <si>
    <t>Schakelinst. Xiria-E VVVMV AC6b MT</t>
  </si>
  <si>
    <t>Schakelinst. Xiria-E VVMV AC6a MT</t>
  </si>
  <si>
    <t>Schakelinst. Xiria-E KMV AC6b ZT</t>
  </si>
  <si>
    <t>Schakelinst. Xiria-E VVMVV AC6a ZT</t>
  </si>
  <si>
    <t>Schakelinst. Xiria-E VVVMV AC6b ZT</t>
  </si>
  <si>
    <t>Schakelinst. Xiria-E KMV AC6a MT</t>
  </si>
  <si>
    <t>Schakelinst. Xiria-E VVMV AC6b ZT</t>
  </si>
  <si>
    <t>Schakelinst. Xiria-E VVMVV AC6b MT</t>
  </si>
  <si>
    <t>Schakelinst. Xiria-E VVMVV AC6b ZT</t>
  </si>
  <si>
    <t>Antenne Set Paddle Indoor v MSR Gateway</t>
  </si>
  <si>
    <t>MSR ALF SML 400kVA B-RRT 630LS08 RAL6009</t>
  </si>
  <si>
    <t>MSR ALF SML 630kVA B-RRT 630LS08 RAL6009</t>
  </si>
  <si>
    <t>Antenne set Puck outdoor v MSR Gateway</t>
  </si>
  <si>
    <t>Pijpensnijder 20-50mm tbv KST #KNIPEX</t>
  </si>
  <si>
    <t>BO-stop huis 1"</t>
  </si>
  <si>
    <t>Verlengstuk v Dopsleutels 1/2” L=400mm</t>
  </si>
  <si>
    <t>Laadmodule v gasdetector Dräger XAM-5000</t>
  </si>
  <si>
    <t>Bo-stop 1" XS-flex v TBA</t>
  </si>
  <si>
    <t>Bo-stop 1.1/4" XS-flex v TBA</t>
  </si>
  <si>
    <t>Bo-stop verlenggreep M5M4 v 1”</t>
  </si>
  <si>
    <t>Bo-stop verlenggreep M5M5 v 1.1/4”</t>
  </si>
  <si>
    <t>Bo-stop verlenggreep M5bixM5bu</t>
  </si>
  <si>
    <t>Kabelmes 185mm VDE #KNIPEX</t>
  </si>
  <si>
    <t>Reservemes v kabelmes 185mm VDE #KNIPEX</t>
  </si>
  <si>
    <t>LS-rek 1000A 630kVA v 8 richtingen  #O&amp;K</t>
  </si>
  <si>
    <t>LS-rek 6 moduul (2x)                #O&amp;K</t>
  </si>
  <si>
    <t>Aftakklem v kabelselectie 6-16mm2</t>
  </si>
  <si>
    <t>20050761</t>
  </si>
  <si>
    <t>LS-rek 1000A 630kVA v 12 richtingen</t>
  </si>
  <si>
    <t>Stappenboor 5-35mm</t>
  </si>
  <si>
    <t>Kabelbeschermbuis PVC 200x5,9 rood L=6m</t>
  </si>
  <si>
    <t>Reservemes v pijpensnijder 20-50mm (8st)</t>
  </si>
  <si>
    <t>Betonboor 25,0x600mm #SDS+</t>
  </si>
  <si>
    <t>Montagerail C-profiel 41x21mm  L=3m</t>
  </si>
  <si>
    <t>Verlengstuk 2 cm voor meterbord</t>
  </si>
  <si>
    <t>Einddop met O-ring 25mm Polsafe</t>
  </si>
  <si>
    <t>Rogowski spoel #CR-510 lengte = 4,5 mtr</t>
  </si>
  <si>
    <t>Afvalton rechthoekig 30ltr blauw HDPE</t>
  </si>
  <si>
    <t>Kast RVS type RVN 30 met OV en sokkel</t>
  </si>
  <si>
    <t>Schroefverbinder blok 4x 25-150/aft 4-50</t>
  </si>
  <si>
    <t>20050813</t>
  </si>
  <si>
    <t>LS-rek 1000A 630kVA v 8 richtingen</t>
  </si>
  <si>
    <t>Afdekplaat ABB meterbord solo opstelling</t>
  </si>
  <si>
    <t>Einddop met O-ring 50mm Polsafe</t>
  </si>
  <si>
    <t>Einddop met O-ring 40mm Polsafe</t>
  </si>
  <si>
    <t>+Server #Dell EMC Edge Gateway 5200</t>
  </si>
  <si>
    <t>Lange Tekst Artikelen</t>
  </si>
  <si>
    <t xml:space="preserve">2-delige messing koppeling voor gas,
aansluiting: wartel 2" x buitendraad 1.1/2",
vlakke dichting en geborgde neopreenring.
{Puntstuk met neusje volgens NEN2542 met conisch
afdichtend {R} draad volgens NEN3258
Wartelmoer volgens NEN2544 met cilindrisch (G) draad
volgens NEN176}.
</t>
  </si>
  <si>
    <t xml:space="preserve">Lasbocht,
materiaal naadloze staal (St 37), volgens DIN 2605,
afmetingen: 60,3 x 2,69 mm, 90 graden, 3S,
klasse 1 volgens DIN 17175,
afgeschuind.
</t>
  </si>
  <si>
    <t xml:space="preserve">Lasbocht,
materiaal naadloze staal (St 37), volgens DIN 2605,
afmetingen: 88,9 x 3,2 mm, 90 graden, 3S,
klasse 1 volgens DIN 17175,
afgeschuind.
</t>
  </si>
  <si>
    <t xml:space="preserve">Lasbocht,
materiaal naadloze staal (St 35.8), volgens DIN 2605,
afmetingen: 114,3 x 3,6 mm, 90 graden, 5S,
klasse 1 volgens DIN 17175,
afgeschuind.
</t>
  </si>
  <si>
    <t>Schuifafsluiter ST 219,1mm PN16 L-L.</t>
  </si>
  <si>
    <t xml:space="preserve">Lasbocht, materiaal staalsoort P235GH, volgens NEN EN 10027-1,
afmetingen: 168,3x4,0mm, 90 graden, 5D, volgens NEN EN 10253-2, afges
chuind, markering: charge,staalsoort en leverancier.
</t>
  </si>
  <si>
    <t xml:space="preserve">Straatbezem 41cm breed met steel 170cm
Straatbezem met Steel
Afmetingen kop:  Breedte: 410mm Diepte: 75mm
Hoogte: 135mm   Met steel  Lengte: 1,5mtr
Diameter: 28,5 mm.
</t>
  </si>
  <si>
    <t xml:space="preserve">Handstaalborstel gegolfd 4rij drd 0,3 messing
Voorzien van houten heft met ophangoog.Met gegolfd messing draad.Voor
het bewerken van messing en koper.
</t>
  </si>
  <si>
    <t xml:space="preserve">Handstaalborstel glad 4rij drd 0,35
Voorzien van houten heft met ophangoog.Met recht staaldraad.
</t>
  </si>
  <si>
    <t xml:space="preserve">Montageschuimpistool Illbruck NBS-silver
Voor het verwerken van montageschuim. Universele aansluiting die
geschikt is voor de meeste courante merken montageschuimen.
</t>
  </si>
  <si>
    <t xml:space="preserve">Pleistertroffel Melkmeisje 377140 140mm staal rond hout grip
Driehoekig, met ronde punt.Deze is voor het afwerken van stucwerk op
moeilijk bereikbare plaatsen (bijvoorbeeld tussen of achter leidingen en
de muur). Met recht houten handvat.
</t>
  </si>
  <si>
    <t xml:space="preserve">Plamuurmes 21.108 80mm duits model
Standaard model, voorzien van gelakte handgreep en ophangoog.
</t>
  </si>
  <si>
    <t xml:space="preserve">Gereedschapbak Fischer Mobibox rood 60524 vpe=1 60524 vpe=1
Met draagbeugel, open model. De bekende Fischerbox.
</t>
  </si>
  <si>
    <t xml:space="preserve">Speedboor Irwin 13x157mm
Voor hout en lichte bouwmaterialen. Zeer gemakkelijk te geleiden dankzij
de zelfcentrering en geslepen voorsnijders. Aansluiting: zeskant 6 mm.
</t>
  </si>
  <si>
    <t xml:space="preserve">Speedboor Irwin 16x157mm
Voor hout en lichte bouwmaterialen. Zeer gemakkelijk te geleiden dankzij
de zelfcentrering en geslepen voorsnijders. Aansluiting: zeskant 6 mm.
</t>
  </si>
  <si>
    <t xml:space="preserve">Speedboor Irwin 18x157mm
Voor hout en lichte bouwmaterialen. Zeer gemakkelijk te geleiden dankzij
de zelfcentrering en geslepen voorsnijders. Aansluiting: zeskant 6 mm.
</t>
  </si>
  <si>
    <t xml:space="preserve">Speedboor Irwin 28x157mm
Voor hout en lichte bouwmaterialen. Zeer gemakkelijk te geleiden dankzij
de zelfcentrering en geslepen voorsnijders. Aansluiting: zeskant 6 mm.
</t>
  </si>
  <si>
    <t xml:space="preserve">Speedboor Irwin 35x157mm
Voor hout en lichte bouwmaterialen. Zeer gemakkelijk te geleiden dankzij
de zelfcentrering en geslepen voorsnijders. Aansluiting: zeskant 6 mm.
</t>
  </si>
  <si>
    <t xml:space="preserve">Tapkruk nr.1 M3-M10 met ratel
Met ratel. Links- en rechtsdraaiend.
</t>
  </si>
  <si>
    <t>Tapkruk nr.2 M5-M12 met ratel
Met ratel. Links- en rechtsdraaiend.
TAPKRUKJE RATEL VOOR M 5 - M 12</t>
  </si>
  <si>
    <t>Afbraamschijf Raltec A30S-BF27 125x6,4x22,2mm vpe=10
De RALTEC professionele afbraamschijven kenmerken zich door een goede
performance en een uitstekende kwaliteit voor een goede prijs.
Afmeting: 125 x 6,4 mm.</t>
  </si>
  <si>
    <t xml:space="preserve">Doorslijpschijf Raltec A30S-BF41 125x2,5x22,2mm vpe=25
De doorslijpschijven van RALTEC zijn zeer geschikt voor RVS en staal en
geven een ongeëvenaarde standtijd, de hoogste verspaning en slijpen het
snelst. De RALTEC doorslijpschijven combineren de nieuwste
bindingstechnologie, met de nieuwe zirkonium slijpkorrel. Een unieke
combinatie voor nog betere prestaties tijdens het slijpen.
</t>
  </si>
  <si>
    <t>Doorslijpschijf Raltec A30S-BF41 230x2,5x22,2mm vpe=25
De doorslijpschijven van RALTEC zijn zeer geschikt voor RVS en staal en
geven een ongeëvenaarde standtijd, de hoogste verspaning en slijpen het
snelst. De RALTEC doorslijpschijven combineren de nieuwste
bindingstechnologie, met de nieuwe zirkonium slijpkorrel. Een unieke
combinatie voor nog betere prestaties tijdens het slijpen.</t>
  </si>
  <si>
    <t xml:space="preserve">Handzaag Bahco NP-22U7/8-HP 550mm 7/8tpi
Type: Pricecut NP-22-U7/8-HP Bahco Handzaag  Lengte: 550 mm / 22 inch
7/8 tanden per inch Gewicht: 420 gram  Professionele handzagen voor het
zagen van hout. Kwaliteitsstaal. De universele vertanding met extra
geharde tanden blijft lang scherp. De comfortabele kunststof handgreep
uit één stuk zit met drie schroeven bevestigd.
</t>
  </si>
  <si>
    <t xml:space="preserve">Multizaag Eclipse 72-66XR 465mm
Type: 7266 XR. Handgreep verstelbaar in 9 verschillende posities.
Geschikt voor hout, kunststof en kleine metalen.
</t>
  </si>
  <si>
    <t xml:space="preserve">Schrobzaag Bahco PC-12-COM 300mm
Professionele schrobzaag met spits toelopend zaagblad voor het zagen van
rondingen, gaten en uitsparingen in o.a. hout en kunststof.  Zweeds
kwaliteitsstaal. De unieke XT-vertanding in combinatie met het dikker
zaagblad resulteert in een fijner afgewerkte, rechte zaagsnede en zaagt
stabieler en comfortabeler.  Extra geharde tanden blijven lang scherp.
Comfortabele kunststof handgreep uit één stuk bestaande uit twee
componenten met extra schokdempend antislip oppervlak zit met schroeven
bevestigd .  Met herbruikbare tandenbeschermer.
</t>
  </si>
  <si>
    <t xml:space="preserve">Metaalzaagbeugel Bahco 268 150mm
Junior zaagbeugel met veilge psitoolgreep.Stevig profiel, stalen frame,
verchroomd.Voor het zagen van ijzer en zachte metalen.Gemakkelijk
aanspannen van het zaagblad met de aanspanschroef .Compleet met 150 mm
baby zaagje.
</t>
  </si>
  <si>
    <t>Metaalzaagbeugel KS-Tools 9072100 300mm</t>
  </si>
  <si>
    <t xml:space="preserve">Koudbeitel KS-Tools 1620191 27x200mm
Type: 162.0191 Metselaarsbeitel 27x200mm  DIN 7254 Form A  vlak-ovaal
model naslijpbare snijvlakken  werkvlakken gehard  schacht goudkleurig
gelakt  blank geslepen Chroom-Molybdeen
</t>
  </si>
  <si>
    <t xml:space="preserve">Koudbeitel KS-Tools 1620193 31x300mm
Type: 162.0193 Metselaarsbeitel 31x300mm  DIN 7254 Form A  vlak-ovaal
model naslijpbare snijvlakken  werkvlakken gehard  schacht goudkleurig
gelakt  blank geslepen Chroom-Molybdeen
</t>
  </si>
  <si>
    <t xml:space="preserve">Bitset Stanley 1.68.734 (ALL)
Type: 1.68.734 Assortiment Bits 10-delig 9 bits en bithouder in
opbergdoos van kunststof  Phillips: PH2  Pozidriv: PZ1, PZ2 en PZ3
Torx: T10, T15, T20, T25, T30.
</t>
  </si>
  <si>
    <t>Kabelmes met houten heft. Niet inklapbaar. Toepassing voornamelijk bij
GPL-kabel. Friedrich Herder  FH0444  18cm</t>
  </si>
  <si>
    <t xml:space="preserve">Zakmes Gedore 0065 90mm
Type: 0065 Blank geslepen, met geselecteerd hard houten heft. Inklapbaar
model.
</t>
  </si>
  <si>
    <t xml:space="preserve">Combinatietang Gedore 8210JC 200mm 2-K greep
• met opgelegd snijhuis  inductief geharde precisie-snijvlakken, gehard
tot 62-64 HRC  tbv middelharde en harde draad  DIN ISO 5746  temperstaal
vlgs. DIN EN 10083, olie gehard
</t>
  </si>
  <si>
    <t xml:space="preserve">Griptang Gedore 137-10 240mm
Met instelschroef en hefboomontspanner. Gesmede geharde bekken voor het
vasthouden, spannen en klemmen. De doordachte vorm van de bek garandeert
grip op minimaal drie plaatsen bij iedere materiaalvorm. Veilig te
ontspannen. Capaciteit 32mm/1.1/4"
</t>
  </si>
  <si>
    <t xml:space="preserve">Vlechttang Knipex 9901 280mm PVC bekleed
Gepolijst, met kunststof bekleed. Voor het vlechten en knippen van
binddraad in één beweging: snel, betrouwbaar en goedkoop.  Dankzij de
onovertroffen precisie en levensduur de meest gekochte moniertang ter
wereld Lemmeten bijkomend verhard; lemmethardheid ca. 61 HRC.  Speciaal
werktuigstaal in bijzondere kwaliteit, gesmeed, oliegehard . Capaciteit
in halfharde draad 2,8mm. Capaciteit in harde draad 1,8mm.
</t>
  </si>
  <si>
    <t xml:space="preserve">Pijpsnijder Ridgid 205 6-60mm
Voor het afkorten van koperen-, aluminium, messing en dunwandige stalen
buizen. Met ingebouwde voeding en snelverstelling. Standaard uitgevoerd
met snijwiel voor koperen buizen. Met inklapbare ruimer en
reservesnijwiel.
</t>
  </si>
  <si>
    <t xml:space="preserve">Buigveer Wymefa 192762 5/8"x80cm met binnenkabel
Verzinkt met binnenkabel tegen uitrekken.Voor het met de hand buigen van
installatiebuis. Voorzien van 2 ogen.
</t>
  </si>
  <si>
    <t xml:space="preserve">Buigveer Wymefa 192773 3/4"x80cm met binnenkabel
Verzinkt met binnenkabel tegen uitrekken.Voor het met de hand buigen van
installatiebuis. Voorzien van 2 ogen.
</t>
  </si>
  <si>
    <t>Popnageltang; Voor klein en licht assemblage werk. Blindklinktang POP
PS15X 2,4-5mm</t>
  </si>
  <si>
    <t xml:space="preserve">Ratel Gedore 1993U-10T 1/2" met pal
Type: 1993U-10T
Ratel met uitvoering volgens DIN 3122, ISO 3315. Voorzien van drukknop-
ontkoppeling, ratelblokkering in middenstand: Bij het omschakelen klikt
de schakelpal automatisch vast voor rechts- of linksom aandraaien. Ten
behoeve van handbediende dopsleutels en hulpstukken met
vierkantaandrijving volgens DIN 3120 - C 12,5, ISO 1174, en met
kogelvergrendeling
Materiaal: GEDORE-vanadium staal 31CrV3, verchroomd.
Aansluiting: 1/2".
Lengte: 270 mm.
</t>
  </si>
  <si>
    <t xml:space="preserve">Dopsleutel Gedore 20 1/4"-10mm 6-kant
• uitvoering volgens DIN 3124, ISO 2725-1  binnenvierkantaandrijving
volgens DIN 3120 - C 6,3, ISO 1174, met kogelvangsleuf  tbv handgebruik,
rand gekarteld  -vanadium staal 31CrV3, geslepen, verchroomd
</t>
  </si>
  <si>
    <t xml:space="preserve">Dopsleutel Gedore 20 1/4"-13mm 6-kant
• uitvoering volgens DIN 3124, ISO 2725-1  binnenvierkantaandrijving
volgens DIN 3120 - C 6,3, ISO 1174, met kogelvangsleuf  tbv handgebruik,
rand gekarteld  -vanadium staal 31CrV3, geslepen, verchroomd
</t>
  </si>
  <si>
    <t xml:space="preserve">Dopsleutel Gedore 19 1/2"-10mm 6-kant
• uitvoering volgens DIN 3124, ISO 2725-1  binnenvierkantaandrijving
volgens DIN 3120 - C 12,5, ISO 1174, met kogelvangsleuf  voor
handgebruik, rand gekarteld  -vanadium staal 31CrV3, fijn geslepen,
verchroomd  * niet genormeerd
</t>
  </si>
  <si>
    <t xml:space="preserve">Dopsleutel Gedore 19 1/2"-11mm 6-kant
• uitvoering volgens DIN 3124, ISO 2725-1  binnenvierkantaandrijving
volgens DIN 3120 - C 12,5, ISO 1174, met kogelvangsleuf  voor
handgebruik, rand gekarteld  -vanadium staal 31CrV3, fijn geslepen,
verchroomd  * niet genormeerd
</t>
  </si>
  <si>
    <t xml:space="preserve">Dopsleutel Gedore 19 1/2"-13mm 6-kant
• uitvoering volgens DIN 3124, ISO 2725-1  binnenvierkantaandrijving
volgens DIN 3120 - C 12,5, ISO 1174, met kogelvangsleuf  voor
handgebruik, rand gekarteld  -vanadium staal 31CrV3, fijn geslepen,
verchroomd  * niet genormeerd
</t>
  </si>
  <si>
    <t xml:space="preserve">Dopsleutel Gedore 19 1/2"-16mm 6-kant
• uitvoering volgens DIN 3124, ISO 2725-1  binnenvierkantaandrijving
volgens DIN 3120 - C 12,5, ISO 1174, met kogelvangsleuf  voor
handgebruik, rand gekarteld  -vanadium staal 31CrV3, fijn geslepen,
verchroomd  * niet genormeerd
</t>
  </si>
  <si>
    <t xml:space="preserve">Dopsleutel Gedore 19 1/2"-17mm 6-kant
• uitvoering volgens DIN 3124, ISO 2725-1  binnenvierkantaandrijving
volgens DIN 3120 - C 12,5, ISO 1174, met kogelvangsleuf  voor
handgebruik, rand gekarteld  -vanadium staal 31CrV3, fijn geslepen,
verchroomd  * niet genormeerd
</t>
  </si>
  <si>
    <t xml:space="preserve">Dopsleutel Gedore 19 1/2"-18mm 6-kant
• uitvoering volgens DIN 3124, ISO 2725-1  binnenvierkantaandrijving
volgens DIN 3120 - C 12,5, ISO 1174, met kogelvangsleuf  voor
handgebruik, rand gekarteld  -vanadium staal 31CrV3, fijn geslepen,
verchroomd  * niet genormeerd
</t>
  </si>
  <si>
    <t xml:space="preserve">Dopsleutel Gedore 19 1/2"-19mm 6-kant
• uitvoering volgens DIN 3124, ISO 2725-1  binnenvierkantaandrijving
volgens DIN 3120 - C 12,5, ISO 1174, met kogelvangsleuf  voor
handgebruik, rand gekarteld  -vanadium staal 31CrV3, fijn geslepen,
verchroomd  * niet genormeerd
</t>
  </si>
  <si>
    <t xml:space="preserve">Dopsleutel Gedore 19 1/2"-24mm 6-kant
• uitvoering volgens DIN 3124, ISO 2725-1  binnenvierkantaandrijving
volgens DIN 3120 - C 12,5, ISO 1174, met kogelvangsleuf  voor
handgebruik, rand gekarteld  -vanadium staal 31CrV3, fijn geslepen,
verchroomd  * niet genormeerd
</t>
  </si>
  <si>
    <t xml:space="preserve">Dopsleutel Gedore 19 1/2"-27mm 6-kant
• uitvoering volgens DIN 3124, ISO 2725-1  binnenvierkantaandrijving
volgens DIN 3120 - C 12,5, ISO 1174, met kogelvangsleuf  voor
handgebruik, rand gekarteld  -vanadium staal 31CrV3, fijn geslepen,
verchroomd  * niet genormeerd
</t>
  </si>
  <si>
    <t xml:space="preserve">Dopsleutel Gedore 19 1/2"-30mm 6-kant
• uitvoering volgens DIN 3124, ISO 2725-1  binnenvierkantaandrijving
volgens DIN 3120 - C 12,5, ISO 1174, met kogelvangsleuf  voor
handgebruik, rand gekarteld  -vanadium staal 31CrV3, fijn geslepen,
verchroomd  * niet genormeerd
</t>
  </si>
  <si>
    <t xml:space="preserve">Dopsleutel Gedore 19 1/2"-32mm 6-kant
• uitvoering volgens DIN 3124, ISO 2725-1  binnenvierkantaandrijving
volgens DIN 3120 - C 12,5, ISO 1174, met kogelvangsleuf  voor
handgebruik, rand gekarteld  -vanadium staal 31CrV3, fijn geslepen,
verchroomd  * niet genormeerd
</t>
  </si>
  <si>
    <t xml:space="preserve">Moersleutel Bahco 8070 6", 0-20mm gefosfateerd
Type: 8070:  Bahco verstelbare moersleutel van Zweedse kwaliteitsstaal,
gefosfateerd, slanke bekken, even sterk in beide richtingen. Met
schaalverdeling in mm.   Maat: 6".  Bekopening: 0-20 mm.
</t>
  </si>
  <si>
    <t xml:space="preserve">Moersleutel Bahco 8071 8", 0-27mm gefosfateerd
Type: 8071:  Bahco verstelbare moersleutel van Zweedse kwaliteitsstaal,
gefosfateerd, slanke bekken, even sterk in beide richtingen. Met
schaalverdeling in mm.   Maat: 8".  Bekopening: 0-27 mm.
</t>
  </si>
  <si>
    <t xml:space="preserve">Moersleutel Bahco 8073 12", 0-34mm gefosfateerd
Type: 8073:  Bahco verstelbare moersleutel van Zweedse kwaliteitsstaal,
gefosfateerd, slanke bekken, even sterk in beide richtingen. Met
schaalverdeling in mm.   Maat: 12".  Bekopening: 0-34 mm.
</t>
  </si>
  <si>
    <t xml:space="preserve">Blaas Kleiss nr1 60-80mm tbv MSD-500 (ALL)
Balafsluiter (gasblaas), nr. 1 voor Kleiss P3-systeem (gasloos aanboren)
Type: Kleiss MDS-500-1D1b.  Tbv: zakpijp: nr.1  Opzetstuk: 1.1/2"
</t>
  </si>
  <si>
    <t xml:space="preserve">Blaas Kleiss nr2 80-120mm tbv MSD-500 (ALL)
Balafsluiter (gasblaas), nr. 2 voor Kleiss P3-systeem (gasloos aanboren)
Type: Kleiss MDS-500-2D1b.  Tbv: zakpijp: nr.1  Opzetstuk: 1.1/2"
</t>
  </si>
  <si>
    <t xml:space="preserve">Meetlint 50 meter kunststof; Landmetermaat Komelon FU50/G 50m 13mm.
</t>
  </si>
  <si>
    <t>Waterpas Sola AZM 40cm aluminium 2 magneten 2 libellen.
Type: AZM40  Rechthoekig aluminium goud geeloxeerd model.  Buisprofiel
50 x 24mm met 2 zeer sterke geïntegreerde magneten. Meetnauwkeurigheid:
0,5mm/meter. 1x horizontale en 1x verticale libel. Lengte: 40 cm.</t>
  </si>
  <si>
    <t xml:space="preserve">Waterpas Stabila 81S 25cm Aluminium torpedo 2-libellen
Type: 81S, Torpedo model. Drukgegoten lichtmetalen uitvoering.
Electrostatische aangebrachte poedercoating geel. Gefreesd
werkoppervlak. 2 Libellen. Afwijking: 0, 5 mm/m bij normale meting, 0,
75 mm/m bij omgekeerde positie.
</t>
  </si>
  <si>
    <t xml:space="preserve">Schuifmaat Mitutoyo 530-104 0-150mm analoog + dieptemaat
Quadri-uitvoering, vervaardigd van een speciale corrosiewerende
legering. Schaalverdeling en nonius matverchroomd, verhoogde
geleidingen. Buiten- en binnenmeetbekken met afschuining voor meting van
kleine groeven of boringen. Geharde en gelepte meetvlakken. Met
blokkeerschroef bovenzijde  Vlakke dieptemaat. Meetbereik 0-150mm
Meetbeklengte 40mm Aflezing nonius boven 1/128"" Aflezing nonius onder
0,05mm Gewicht 143g Geleverd in opbergcassette
</t>
  </si>
  <si>
    <t xml:space="preserve">Vuisthamerdop 240200 1500g kopmaat 43x43mm
Type: 240200  Maakt van uw moker een rubberhamer.  Hardheid: 75 Shore.
Gewicht: 1500 gram. Kopmaat: 43 x 43 mm.
</t>
  </si>
  <si>
    <t xml:space="preserve">Stootijzer DeWit 7103 140/40cm vierkant knop en beitel
Type: 7103  Blauwe hamerslag gelakt met beitel en opgestuikte knop met
vierkant onderstuk.   Lengte: 1400 mm.  Steeldiameter: 28 mm.  Vierkant
onderstuk: 40 mm.
</t>
  </si>
  <si>
    <t xml:space="preserve">Centerpunt Rennsteig 432 120x12x5mm
Voor het maken van een centreerpunt in het te boren materiaal.
</t>
  </si>
  <si>
    <t xml:space="preserve">Priem Wiha 301-2 ronde stift kunststof greep
Type: 301/2. Uitvoering: chroom vanadium met ronde stift en kunststof
greep.
</t>
  </si>
  <si>
    <t xml:space="preserve">Kraspen Rex Widia punt met clip
Met widiapunt. Naslijpbaar. Met vestzakclip.
</t>
  </si>
  <si>
    <t xml:space="preserve">Malleable fitting, knie 90˚. Binnendraad-buitendraad 1½". nr92
</t>
  </si>
  <si>
    <t xml:space="preserve">Verloopsok malleable binnendraad-binnendraad 2"x1½". nr240
</t>
  </si>
  <si>
    <t>DBI - pe - beschermkap 160mm nr. 141, Wit</t>
  </si>
  <si>
    <t xml:space="preserve">Mespatroon  10A DIN 000
met combimelder,
karakteristiek gG,
type LNH0010M
</t>
  </si>
  <si>
    <t xml:space="preserve">129.3 KLEMMENSTROOK WIT 1,0- 4
KROONSTRIP POLYPROPYLEEN 12P
</t>
  </si>
  <si>
    <t>Grootte II</t>
  </si>
  <si>
    <t xml:space="preserve">HGR ZEKERING-D LNDZF16
</t>
  </si>
  <si>
    <t xml:space="preserve">Schroefpatroon 25A NDZ snel
Type LNDZF25
</t>
  </si>
  <si>
    <t xml:space="preserve">Contactlijm Griffon Bison Tix 750ml gel 6305090
</t>
  </si>
  <si>
    <t xml:space="preserve">Lasverloopstuk, concentrisch,
materiaal: staal (RSt 35.8),
afmetingen:  168,3 x 4,5 * 60,3 x 2,9 mm,
volgens DIN 2616-deel 2.
</t>
  </si>
  <si>
    <t xml:space="preserve">Drukregelaar met gasgebrekklep.
Aansluiting: binnendraad Rp 3/4" x wartelmoer 3/4" (onderzijde)
Capaciteit (aardgas) = 10 m3/h
Pi max = 200 mbar
Pafslag = 15 mbar
Puit nom = 28 mbar.
Type WMRG-10. (20187). Met inwendig filter. Haakse huisdrukregelaar met
B-klep, combinatieregelaar, combiklep. Gele dop. Merk gAvilar.
</t>
  </si>
  <si>
    <t xml:space="preserve">Gasaansteker "kom"
Verzinkte uitvoering, gemakkelijk te hanteren. Licht van gewicht, zware
draadveer en grote kom.
</t>
  </si>
  <si>
    <t xml:space="preserve">Duimstok Sola HKM 1/10W 1m 10-delig wit kunststof
-
</t>
  </si>
  <si>
    <t xml:space="preserve">Bezemsteel 32024 1700x28mm tauari
Houtsoort: Tauari. Voor hark of bezem. Lengte 170cm Diameter 28mm
</t>
  </si>
  <si>
    <t>Deze vorstverwijderaar voorkomt bevriezing en verwijdert vorst wanneer
deze op de bovenzijde van het raam wordt gesproeid. IJs en vorstaanslag
verdwijnen na enkele seconden. Het middel bevat antivries en voorkomt
daarmee opnieuw bevriezen.
Type: De-icer
Inhoud: triggerflacon à 500 ml.</t>
  </si>
  <si>
    <t xml:space="preserve">Mespatroon 200A DIN 2
met combimelder,
karakteristiek gG,
type LNH2200M
</t>
  </si>
  <si>
    <t xml:space="preserve">Mespatroon 250A DIN 2
met combimelder,
karakteristiek gG,
type LNH2250M
</t>
  </si>
  <si>
    <t xml:space="preserve"> Rubberen afdichtingsplug, materiaal: EPDM 57 x 24-26 mm voor mantelbuis
63 mm.</t>
  </si>
  <si>
    <t xml:space="preserve">IJskrabber; Plexi
Uitgevoerd in zwart handvat met doorzichtig plexiglas schaafgedeelte.
</t>
  </si>
  <si>
    <t>Waarschuwingssticker,
"VUUR, OPEN VLAM en ROKEN VERBODEN",
Polyester, 200 mm,
PIC 201.</t>
  </si>
  <si>
    <t xml:space="preserve">Gasdrukregelaar, merk: Elster Jeavons. Type: J48. Uitvoering: recht.
Toegestane werkdruk: inlaatzijdig maximaal 350mbar, uitlaatzijdig
maximaal 160mbar. Voorzien aan in en uitlaatzijde van 1" gas
binnendraad. Geschikt voor een omgevings temperatuur van -20°C tot +
70°C. Ingeregeld op een uitlaatdruk van +/- 30mbar.
</t>
  </si>
  <si>
    <t xml:space="preserve">Voorlasflens.
Materiaal staalsoort P250GH, volgens NEN EN 10027-1
Nominale druk: PN 16
Nominale diameter: DN 250
Afmeting: 273,0x5,0 mm
Aantal en diameter bouten: 12x26 mm
Volgens NEN EN 1092-1,afgeschuind.
Markering: charge,staalsoort en leverancier.
</t>
  </si>
  <si>
    <t>Malleable fitting, knie 90˚. Binnendraad-binnendraad 2"x1½". nr90.</t>
  </si>
  <si>
    <t xml:space="preserve">Verloopnippel malleable, buitendraad-buitendraad 1½x1¼". nr245
</t>
  </si>
  <si>
    <t>Universele bakelieten lasdoppen
voor 12 tot 24 mm2.
Fabr. Conex Union</t>
  </si>
  <si>
    <t>Rode stalen beugels 1.1/4" voor schuifbuis,
volgens nen 439.
Verp. 100st.</t>
  </si>
  <si>
    <t xml:space="preserve">Batterij Varta Longlife Alkaline 4922 9V 6LR61
</t>
  </si>
  <si>
    <t xml:space="preserve">Batterij 4R25 6V veeraansluiting
Met veeraansluiting, specifiek voor afbakeningslampen.
</t>
  </si>
  <si>
    <t xml:space="preserve">Handzaagblad Phantom  18TDS 12"x300mm bimetal 
Handzaagblad Phantom  18TDS 12"x300mm bimetal 
</t>
  </si>
  <si>
    <t xml:space="preserve">Kabelmantelzaag 430302 VDE (ALL)
Kabelmantelzaag VDE  24 tanden, fijn  Blad lengte: 120mm  Totale lengte:
250mm
</t>
  </si>
  <si>
    <t xml:space="preserve">Beugelzaag Lemp VDE 300mm (ALL)
Lemp beugelzaag VDE
Grote uitvoering
Lengte: 300mm
ZAAGBEUGEL 300 MM VDE
Lemp art.no424300
</t>
  </si>
  <si>
    <t xml:space="preserve">Draadstriptang Lemp VDE 160mm (ALL)
Draadstriptang VDE
Lengte: 160mm
TANG DRAADSTRIP 160 MM VDE
Lemp art.no271316
</t>
  </si>
  <si>
    <t xml:space="preserve">Zijkniptang Knipex 7007 160mm VDE verchroomd
De onontbeerlijke zijsnijtang voor veelzijdig gebruik
Hoogwaardig materiaal en precieze afwerking voor een lange levensduur
Precisie-snijkanten voor zachte en harde draad
Keurige snede aan de toppen van de snijkanten, ook bij dunne koperdraden
Snijkanten extra inductief gehard, hardheid van de snijkanten ca. 62 HRC
Slanke kop voor het gebruik op moeilijk bereikbare plaatsen
Vanadium-elektrostaal; gesmeed, oliegehard
Tang verchroomd
Benen dompelisolatie, VDE-getest
Type 0 met facet
Isolatienorm IEC 60900 DIN EN 60900
Capaciteit in zachte draad 4mm
Capaciteit in halfharde draad 2,8mm
Capaciteit in harde draad 2mm
Lengte 160mm.
</t>
  </si>
  <si>
    <t xml:space="preserve">Stripmes Jokari 10280/28H 8-28mm secura
Voor het strippen van ronde kabels Met instelbare snijdiepte en mesje
dat zich automatisch aanpast aan rondsnijden en langssnijden.   Tevens
voorzien van kling met rechte en haaksnede.  Voorzien van antislip
handgreep en geleider. Reservemes in handgreep.  Capaciteit 8 – 28 mm
</t>
  </si>
  <si>
    <t xml:space="preserve">MES KABEL PAPIER 160 MM VDE
Lemp art.no288900
</t>
  </si>
  <si>
    <t xml:space="preserve">Steeksleutel 17mm, bek 15 graden gebogen. Volgens norm NEN-EN-IEC 60900,
(dompelisolatie) (VDE).Isolatie geheel omsloten. Van Chroom-vanadium
staal. Voor werkzaamheden aan spanningvoerende delen tot 1000V AC en
1500V DC. (KNIPEX)
</t>
  </si>
  <si>
    <t xml:space="preserve">Inbussleutel haaks 5mm. Volgens norm NEN-EN-IEC 60900, (dompelisolatie)
(VDE). Handvat voorzien van taai- elastisch slagvast kunststof. Schacht
van gehard vanadium staal. Handgreep. Voor werkzaamheden aan
spanningvoerende delen tot 1.000 V AC en 1500V DC. (LEMP)
</t>
  </si>
  <si>
    <t xml:space="preserve">Inbussleutel haaks 6mm. Volgens norm NEN-EN-IEC 60900, (dompelisolatie)
(VDE). Handvat voorzien van taai- elastisch slagvast kunststof. Schacht
van gehard vanadium staal. Handgreep. Voor werkzaamheden aan
spanningvoerende delen tot 1.000 V AC en 1500V DC.(LEMP)
</t>
  </si>
  <si>
    <t>Passchroefsleutel K&lt;(&gt;&amp;&lt;)&gt;D 558411 1000V
Smeltpatroon adapter sleutel
Geschikt voor: Passchroef
Materiaal greep: Kunststof
Geïsoleerd: 1000V Ja
Passchroef D II Ja
Passchroef D III Ja.</t>
  </si>
  <si>
    <t xml:space="preserve">Moersleutel Lemp verstelbaar VDE (Bahco) 12" verstelbaar VDE
Type: 151912
Moersleutel verstelbaar geisoleerd 12”
Hoek van 15°
Gemaakt van aluminium en gehard staal.
Professionele meerlaagse isolatie.
De isolatie voldoet aan DIN VDE 60900:2004.
Niet aanbevolen voor werken onder spanning.
</t>
  </si>
  <si>
    <t xml:space="preserve">Blazenpomp Kleiss 511 incl slangen+sn.kopp (ALL)
Type: Blazenpomp, Kleiss  511. De pomp dient voorzien te zijn van twee
stukjes slang met snelkoppeling en vastgezet met twee
wormschroefklemmen.   Bestaande uit:  Blazenpomp GLW Kleiss type 511.
Slangenset v blazenpomp met snelkoppelingen
</t>
  </si>
  <si>
    <t xml:space="preserve">Waterpas teakhout Lengte: 400mm
</t>
  </si>
  <si>
    <t xml:space="preserve">Splitswig Lemp 654000 spreid nylon glad VDE
Type: 654000 Splitswig Lemp spreid
Geschikt voor: NKBA kabel Diameter: 25mm 70mm met 30mm straal Materiaal:
nylon glad  VDE 1000V
</t>
  </si>
  <si>
    <t>Blokkeringsplaat groot Ms VDE
L=85,5 cm
Br=53 cm
dikte 4 mm</t>
  </si>
  <si>
    <t xml:space="preserve">Kruipolie Griffon IMAL 300ml
Hoogwaardige kruipolie op basis van grafiet. Voor het moeiteloos
losmaken van verroeste en geoxideerde (bevestigings)materialen als
bouten, moeren, flenzen, scharnieren, sloten e.d. Werkt tevens
preventief door het aan te brengen tijdens de montage.
</t>
  </si>
  <si>
    <t xml:space="preserve">Smeermiddel Motip 000562 400ml Siliconenspray
Siliconenspray voor het smeren en beschermen van onderdelen van
kunststof en rubber. Siliconenspray is waterafstotend, pH-neutraal en
bestand tegen weersinvloeden en zwakke zuren en basen. Siliconenspray
voorkomt het vastvriezen en uitdrogen van onderdelen van rubber en het
piepen en kraken van onderdelen van kunststof. Siliconenspray heeft een
uitstekende mechanische en thermische stabiliteit. Motip Siliconenspray
heeft een gericht spuitbeeld en is bestand tegen temperaturen van - 50ºC
tot + 200ºC.  Inhoud: 400ml.
</t>
  </si>
  <si>
    <t xml:space="preserve">Schuurlinnen 3M 62892 50mmx25m P240 314D P240 E
Type: 314D 62892 Schuurlinnen 3M Afmeting: 50mmx25m Korrel:  P240 Nieuwe
type schuurpapier; flexibeler. Beter scheurbaar en voorzien van een
nieuwe coating voor verbeterde hechting van het schuurmateriaal. Dit
schuurpapier is daardoor zeer makkelijk in gebruik tijdens het reinigen
en opruwen van bijvoorbeeld remtrommels, remvoeringen en assen of delen
daarvan.
</t>
  </si>
  <si>
    <t xml:space="preserve">Teflonspray Griffon TF089 300ml
Hoogwaardig siliconenvrij smeermiddel op basis van minerale oliën en het
supersmeermiddel P.T.F.E. (Teflon). Voor hoge en langdurige belastingen.
Voor smering van metalen en kunststoffen aan o.a. machines, scharnieren,
gereedschappen, (fiets)kettingen, derailleurs, rollagers en katrollen.
</t>
  </si>
  <si>
    <t xml:space="preserve">Zink Reparatiespray Motip 07304 500ml
Sneldrogende zink reparatiespray met goede dekkracht voor professioneel
gebruik. Voor het herstellen van kleine beschadigingen in ondergronden
van dompel verzinkt staal. Zink reparatiespray heeft een goede
oppervlakte hardheid, is lichtecht en UV-bestendig. Zink reparatiespray
is bestand tegen benzine, chemicaliën en weersinvloeden en is slijtvast
en krasvast.
Inhoud: 500 ml.
</t>
  </si>
  <si>
    <t xml:space="preserve"> Rubberen afdichtingsplug, materiaal: EPDM 57 x 32 mm voor mantelbuis 63
mm.</t>
  </si>
  <si>
    <t xml:space="preserve"> Rubberen afdichtingsplug, materiaal: EPDM 68 x 32-34 mm voor mantelbuis
75 mm.</t>
  </si>
  <si>
    <t xml:space="preserve"> Rubberen afdichtingsplug, materiaal: NOFIRNO type: Slipseal, 68 x 34-36
mm voor mantelbuis 75 mm.</t>
  </si>
  <si>
    <t xml:space="preserve"> Rubberen afdichtingsplug, materiaal: EPDM 68 x 40-42 mm voor mantelbuis
75 mm.</t>
  </si>
  <si>
    <t xml:space="preserve"> Rubberen afdichtingsplug, materiaal: EPDM 103 x 63 mm voor mantelbuis
110 mm.</t>
  </si>
  <si>
    <t xml:space="preserve">Cement Cebar 795385 12,5kg snel hardend (ALL)
Snelcement emmer a 12,5 Kg Grijs Cement voor reparaties aan metselwerk
en beton.   Toepassingsgebied:  Voor reparaties aan metselwerk en beton.
Toepasbaar voor o.a. stelwerkzaamheden, bevestigen van bouten, haken en
schroeven, repareren van lekkages bij metselwerk en beton.
</t>
  </si>
  <si>
    <t xml:space="preserve">Paal 4KT 9,7x9,7x215cm pvc met punt (ALL)
Vierkanten paal met punt Afmeting: 9,7 x 9,7 x 215 cm Materiaal:
gerecycled kunststof
</t>
  </si>
  <si>
    <t>Kunststof zegelkap met kliksluiting, 1-delig, geel tbv gas, Fabr: KZ;
Type: EP 4-6 Dinwendig = 76; Binwendig = 28.2 mm; d1 = 59 mm; d2 = 54
mm; tbv: Gasmeter G10-G16 en kraankoppeling met G2" wartelmoer;
MIC63xPE32 (KZ)</t>
  </si>
  <si>
    <t xml:space="preserve">Voorlasflens, materiaal staalsoort P250GH, volgens NEN EN 10027-1
nominale druk: PN 16, nominale diameter: DN 200, afmeting: 219,1x4,5 mm,
aantal en diameter bouten: 12x22 mm, volgens NEN EN 1092-1,afgeschuind,
markering: charge,staalsoort en leverancier.
</t>
  </si>
  <si>
    <t xml:space="preserve">Dubbele nippel malleable, buitendraad-buitendraad 1¼". nr280
</t>
  </si>
  <si>
    <t>Bocht,
Materiaal: PVC-slagvast (CPE / PVC-A), klasse 33,
kleur: geel,
afmetingen: 30 graden 315 mm.
Gastec QA-merk.</t>
  </si>
  <si>
    <t>Aftakzadel elektrolas PE100 SDR11 75x32mm, monoblock. Diameter
doorgaande leiding 75mm, aftakking 32mm spie-eind.</t>
  </si>
  <si>
    <t xml:space="preserve"> Rubberen afdichtingsplug, materiaal: EPDM 103 x 48-50 mm voor
mantelbuis 110 mm.</t>
  </si>
  <si>
    <t xml:space="preserve">Schuifafsluiter ST  88,9mm PN16 L-L.
</t>
  </si>
  <si>
    <t>Schuifafsluiter ST 114,3mm PN16 L-L.</t>
  </si>
  <si>
    <t xml:space="preserve">Schuifafsluiter ST 168,3mm PN16 L-L.
</t>
  </si>
  <si>
    <t>Schuifafsluiter ST 273,0mm PN16 L-L.</t>
  </si>
  <si>
    <t xml:space="preserve">Schuifafsluiter ST  60,3mm PN16 L-L.
</t>
  </si>
  <si>
    <t xml:space="preserve">Afsluitplug voor Wavin pvc aftakzadel (oude type). Voorzien van gasdraad
1½". Materiaal: PVC-slagvast (CPE/PVC-A ).
</t>
  </si>
  <si>
    <t xml:space="preserve">Afsluitplug voor  POLSAFE zadel. Voorzien van gasdraad 1½". Materiaal:
PVC-slagvast (CPE/PVC-A ).
</t>
  </si>
  <si>
    <t xml:space="preserve">Gasmeter, balg
Capaciteit: G25-G40m3/h
Aansluiting G2" x HOH400.
</t>
  </si>
  <si>
    <t>Amperemeter 0-6 A
v railmontage TS 35 (EN 50022 (DIN 46277).
bi-metaal
Type: BHV48 0-6A</t>
  </si>
  <si>
    <t>NEN: VDf 450-750
H07V-K
Doos a 100 meter.</t>
  </si>
  <si>
    <t>Draad 50 mm2 massief,
vertind.
Afgifte per meter; volle rol is 22,4 meter.</t>
  </si>
  <si>
    <t>Perskabelschoen geschikt voor 16mm2 kabel, boutgat M12. Volgens DIN
46235.</t>
  </si>
  <si>
    <t>Perskabelschoen geschikt voor 70mm2 kabel, boutgat M10. Volgens DIN
46235.</t>
  </si>
  <si>
    <t>Perskabelschoen geschikt voor 95mm2 kabel, boutgat M12. Volgens DIN
46235.</t>
  </si>
  <si>
    <t xml:space="preserve">Perskabelschoen geschikt voor 150mm2 kabel, boutgat M12. Volgens DIN
46235.
</t>
  </si>
  <si>
    <t>Perskabelschoen geschikt voor 150mm2 kabel, boutgat M12. Volgens DIN
46235.</t>
  </si>
  <si>
    <t>Perskabelschoen geschikt voor 185mm2 kabel, boutgat M12. Volgens DIN
46235.</t>
  </si>
  <si>
    <t>Perskabelschoen geschikt voor 185mm2 kabel, boutgat M20. Volgens DIN
46235.</t>
  </si>
  <si>
    <t>Ringklem geschikt voor hoofdkabel GPL 3x35+1x35Cu met aftak 4x6Cu-4x50Al
- type Pfisterer SCK 332069085</t>
  </si>
  <si>
    <t>Rolbandveer RF 3 met bereik 23-39mm. Met opschrift RF 3, 23-39mm.
Voorzien van opstaand lipje. Geschikt voor GPL LS-kabel 3x95+1x70 mm2
en 4x95 - 150Cu.</t>
  </si>
  <si>
    <t>Rolbandveer RF 1 met bereik 13-22mm.
Met opschrift RF1, 13-22mm. Voorzien van opstaand lipje.
Geschikt voor GPL LS-kabel 3x6 - 25 mm2 en 4x6 -  16 mm2.</t>
  </si>
  <si>
    <t>Rolbandveer RF 2 met bereik 17-28mm. Met opschrift RF 2, 17-28mm.
Voorzien van opstaand lipje. Geschikt voor GPL
LS-kabel 3x35+1x25 - 3x70+1x50 mm2 en 4x25 - 70 mm2</t>
  </si>
  <si>
    <t>Rolbandveer RF 4 met bereik 33-49mm. Met opschrift RF 4, 33-49mm.
Voorzien van opstaand lipje. Geschikt voor GPL MS-kabel
3x50 – 3x120Cu en 3x95 - 150Al.</t>
  </si>
  <si>
    <t>Rolbandveer RF 5 met bereik 44-70mm. Met opschrift RF 5, 44-70mm.
Voorzien van opstaand lipje. Geschikt voor GPL MS-kabel
3x150 – 3x240Cu en 3x240Al.</t>
  </si>
  <si>
    <t>Universele isolieten lasdoppen voor 3 tot 12,5 mm2.
Fabr. Conex Union.</t>
  </si>
  <si>
    <t xml:space="preserve">Mespatroon 200A DIN 1
met combimelder,
karakteristiek gG,
type LNH1200M
</t>
  </si>
  <si>
    <t xml:space="preserve">Mespatroon 224A DIN 1
met combimelder,
karakteristiek gG,
type LNH1224M
</t>
  </si>
  <si>
    <t xml:space="preserve">Mespatroon 250A DIN 1
met combimelder,
karakteristiek gG,
type LNH1250M
</t>
  </si>
  <si>
    <t xml:space="preserve">Mespatroon 355A DIN 2
met combimelder,
karakteristiek gG,
type LNH2355M
</t>
  </si>
  <si>
    <t>Mespatroon 100A DIN 2
met combimelder,
karakteristiek gG,
type LNH2100M</t>
  </si>
  <si>
    <t xml:space="preserve">Mespatroon 315A DIN 2
met combimelder,
karakteristiek gG,
type LNH2315M
</t>
  </si>
  <si>
    <t xml:space="preserve">Mespatroon  35A DIN 1
met combimelder,
karakteristiek gG,
type LNH1035M
</t>
  </si>
  <si>
    <t xml:space="preserve">Mespatroon  50A DIN 1
met combimelder,
karakteristiek gG,
type LNH1050M
</t>
  </si>
  <si>
    <t xml:space="preserve">Mespatroon  63A DIN 1
met combimelder,
karakteristiek gG,
type LNH1063M
</t>
  </si>
  <si>
    <t xml:space="preserve">Mespatroon  80A DIN 1
met combimelder,
karakteristiek gG,
type LNH1080M
</t>
  </si>
  <si>
    <t xml:space="preserve">Mespatroon  100A DIN 1
met combimelder,
karakteristiek gG,
type LNH1100M
</t>
  </si>
  <si>
    <t xml:space="preserve">Mespatroon 125A DIN 1
met combimelder,
karakteristiek gG,
type LNH1125M
</t>
  </si>
  <si>
    <t xml:space="preserve">Mespatroon 160A DIN 1
met combimelder,
karakteristiek gG,
type LNH1160M
</t>
  </si>
  <si>
    <t xml:space="preserve">Mespatroon 400A DIN 3
met combimelder,
karakteristiek gG,
type LNH3400M
</t>
  </si>
  <si>
    <t xml:space="preserve">Mespatroon 400A DIN 2
met combimelder,
karakteristiek gG,
type LNH2400M
</t>
  </si>
  <si>
    <t xml:space="preserve">Mespatroon 500A DIN 3
met combimelder,
karakteristiek gG,
type LNH3500M
</t>
  </si>
  <si>
    <t xml:space="preserve">Mespatroon 630A DIN 3
met combimelder,
karakteristiek gG,
type LNH3630M
</t>
  </si>
  <si>
    <t xml:space="preserve">Mespatroon  100A DIN 000
met combimelder,
karakteristiek gG,
type LNH0100M
</t>
  </si>
  <si>
    <t xml:space="preserve">Mespatroon  35A DIN 000
met combimelder,
karakteristiek gG,
type LNH0035M
</t>
  </si>
  <si>
    <t xml:space="preserve">SMELTVEILIGHEID- 6 AMP/NDZ/50 MM
Type LNDZF06
</t>
  </si>
  <si>
    <t xml:space="preserve">HGR ZEKERING-D LNDZF10
</t>
  </si>
  <si>
    <t>Schroefpatroonhouder D-2 max. 25A.
geschikt voor montage op grondplaat.</t>
  </si>
  <si>
    <t>STROOMTRAFO  400/5A  5VA KL. 3     RM70-E27</t>
  </si>
  <si>
    <t>BEUGEL  19MM GALV. VERZINKT</t>
  </si>
  <si>
    <t>BEUGEL  26MM GALV. VERZINKT</t>
  </si>
  <si>
    <t>SOK V INSTALLATIEBUIS 5/8" SLAGVAST</t>
  </si>
  <si>
    <t>SOK V INSTALLATIEBUIS 3/4" SLAGVAST</t>
  </si>
  <si>
    <t>BUISPATROON 12KV 25A M SLAGSTIFT FULLRANGE</t>
  </si>
  <si>
    <t xml:space="preserve">Mespatroon 125A DIN 2
met combimelder,
karakteristiek gG,
type LNH2125M
</t>
  </si>
  <si>
    <t>SCHROEFPATROON 16A SNEL  D-2</t>
  </si>
  <si>
    <t>Schroefpatroon, grootte: D II, Nominale stroom:  6 A,
uitschakelkarakterestiek: snel.</t>
  </si>
  <si>
    <t>SCHROEFPATROON 10A SNEL  D-2</t>
  </si>
  <si>
    <t xml:space="preserve">SCHROEFPATROON 35A TRAAG DT-2
Type LE2735
</t>
  </si>
  <si>
    <t>SCHROEFPATROON 25A TRAAG DT-2</t>
  </si>
  <si>
    <t>SCHROEFPATROON 35A TRAAG DT-3</t>
  </si>
  <si>
    <t xml:space="preserve">HGR ZEKERING  D3 T LE3350
</t>
  </si>
  <si>
    <t>SCHROEFPATROON 63A TRAAG DT-3</t>
  </si>
  <si>
    <t>VERLENGMES V OUDE HOLEC-MESPATRONEN</t>
  </si>
  <si>
    <t xml:space="preserve">HGR SCHROEFKOP D-ZEKLE27SKP
</t>
  </si>
  <si>
    <t>SCHROEFKOP K-3 MAX. 63A</t>
  </si>
  <si>
    <t xml:space="preserve">HGR PASSCHROEF  LE27P06
</t>
  </si>
  <si>
    <t xml:space="preserve">HGR PASSCHROEF  LE27P10
</t>
  </si>
  <si>
    <t xml:space="preserve">HGR PASSCHROEF  LE27P16
</t>
  </si>
  <si>
    <t xml:space="preserve">HGR PASSCHROEF  LE27P25
</t>
  </si>
  <si>
    <t xml:space="preserve">HGR PASSCHROEF  LE33P35
</t>
  </si>
  <si>
    <t>PASSCHROEF 50A S-3
Volgens Din 49515 - E 33</t>
  </si>
  <si>
    <t>PASSCHROEF 63A S-3</t>
  </si>
  <si>
    <t xml:space="preserve">Reduceerhuls voor schroefpatroon, om een D2 patroon te kunnen plaatsen
in schroefkop K3.
Type metaal: HFR III-II.
Type keramiek: ETI SIFRA 006680717
</t>
  </si>
  <si>
    <t>DOORVERBINDINGSMES  400A DIN 2</t>
  </si>
  <si>
    <t>DIN43620, TYPE TM1.</t>
  </si>
  <si>
    <t>Malleable fitting, knie 90˚. Binnendraad-binnendraad ¾". nr90</t>
  </si>
  <si>
    <t xml:space="preserve">Malleable fitting, knie 90˚. Binnendraad-binnendraad 1¼". nr90
</t>
  </si>
  <si>
    <t>Malleable fitting, knie 90˚. Binnendraad-binnendraad 1½". nr90</t>
  </si>
  <si>
    <t xml:space="preserve">Malleable fitting, knie 90˚. Binnendraad-buitendraad ¾". nr92
</t>
  </si>
  <si>
    <t xml:space="preserve">Verloopsok malleable binnendraad-binnendraad 1"x¾". nr240
</t>
  </si>
  <si>
    <t xml:space="preserve">Verloopsok malleable binnendraad-binnendraad 1¼"x1". nr240
</t>
  </si>
  <si>
    <t xml:space="preserve">Verloopsok malleable binnendraad-binnendraad 1½"x1¼". nr240
</t>
  </si>
  <si>
    <t xml:space="preserve">Verloopsok malleable binnendraad-binnendraad 2"x1¼". nr240
</t>
  </si>
  <si>
    <t xml:space="preserve">Verloopring malleable, buitendraad-binnendraad 1"x¾". nr241
</t>
  </si>
  <si>
    <t xml:space="preserve">Verloopring malleable, buitendraad-binnendraad 1½"x1¼". nr241
</t>
  </si>
  <si>
    <t>Verloopring malleable, buitendraad-binnendraad 2"x1¼". nr241.</t>
  </si>
  <si>
    <t>Verloopring malleable, buitendraad-binnendraad 2"x1½". nr241.</t>
  </si>
  <si>
    <t xml:space="preserve">Soknippel verloop, verloopsok nippel malleable binnendraad-buitendraad
1¼"x1". nr246
</t>
  </si>
  <si>
    <t xml:space="preserve">Soknippel verloop, verloopsok nippel malleable binnendraad-buitendraad
1½"x1¼". nr246
</t>
  </si>
  <si>
    <t xml:space="preserve">Soknippel verloop, verloopsok nippel malleable binnendraad-buitendraad
2"x1½". nr246
</t>
  </si>
  <si>
    <t xml:space="preserve">Sok malleable binnendraad-binnendraad ¾". nr270
</t>
  </si>
  <si>
    <t>Sok malleable binnendraad-binnendraad 1¼". nr270.</t>
  </si>
  <si>
    <t xml:space="preserve">Sok malleable binnendraad-binnendraad 1½". nr270
</t>
  </si>
  <si>
    <t xml:space="preserve">Dubbele nippel malleable, buitendraad-buitendraad 1½". nr280
</t>
  </si>
  <si>
    <t xml:space="preserve">Plug stop malleable buitendraad ½". nr290
</t>
  </si>
  <si>
    <t xml:space="preserve">Plug stop malleable buitendraad ¾". nr290
</t>
  </si>
  <si>
    <t xml:space="preserve">Plug stop malleable buitendraad 1". nr290
</t>
  </si>
  <si>
    <t xml:space="preserve">Plug stop malleable buitendraad 1¼". nr290
</t>
  </si>
  <si>
    <t xml:space="preserve">Plug stop malleable buitendraad 1½". nr290
</t>
  </si>
  <si>
    <t xml:space="preserve">Plug stop malleable buitendraad 2". nr290
</t>
  </si>
  <si>
    <t xml:space="preserve">Koppeling 3-delig malleable, binnendraad-binnendraad ¾". nr340
</t>
  </si>
  <si>
    <t xml:space="preserve">Koppeling 3-delig malleable, binnendraad-binnendraad 1". nr340
</t>
  </si>
  <si>
    <t xml:space="preserve">Koppeling 3-delig malleable, binnendraad-binnendraad 1¼". nr340
</t>
  </si>
  <si>
    <t xml:space="preserve">Koppeling 3-delig malleable, binnendraad-binnendraad 1½". nr340
</t>
  </si>
  <si>
    <t xml:space="preserve">Koppeling 3-delig malleable, binnendraad-binnendraad 2". nr340
</t>
  </si>
  <si>
    <t>Koppeling 3-delig malleable, binnendraad-buitendraad 1". nr341.</t>
  </si>
  <si>
    <t xml:space="preserve">Stalen malleable drie-delige koppeling, inwendige gasdraad 2",
uitwendige gasdraad 2", gegalvaniseerd.
</t>
  </si>
  <si>
    <t>KOPP MAL 11/4" FLEX NR.6602</t>
  </si>
  <si>
    <t>KOPP MAL 11/2" FLEX NR.6602</t>
  </si>
  <si>
    <t xml:space="preserve">Rechte gasmeterkoppeling met neusje, materiaal: messing, aansluiting 1:
wartel binnendraad GM 3/4" aansluiting 2: buitendraad R 3/4".
Toepassing: G4.  Met NBR-pakking.
</t>
  </si>
  <si>
    <t xml:space="preserve"> Rubberen afdichtingsplug, materiaal: EPDM 68 x 48-50 mm voor mantelbuis
75 mm.</t>
  </si>
  <si>
    <t>Insteekmof,
Materiaal: PVC-slagvast (CPE / PVC-A), klasse 33,
kleur: geel,
afmetingen: 63 mm.
Gastec QA-merk.</t>
  </si>
  <si>
    <t>Insteekmof,
Materiaal: PVC-slagvast (CPE / PVC-A), klasse 33,
kleur: geel,
afmetingen: 110 mm.
Gastec QA-merk.</t>
  </si>
  <si>
    <t>Insteekmof,
Materiaal: PVC-slagvast (CPE / PVC-A), klasse 33,
kleur: geel,
afmetingen: 160 mm.
Gastec QA-merk.</t>
  </si>
  <si>
    <t>Insteekmof,
Materiaal: PVC-slagvast (CPE / PVC-A), klasse 33,
kleur: geel,
afmetingen: 200 mm.
Gastec QA-merk.</t>
  </si>
  <si>
    <t>Insteekmof,
Materiaal: PVC-slagvast (CPE / PVC-A), klasse 33,
kleur: geel,
afmetingen: 250 mm.
Gastec QA-merk.</t>
  </si>
  <si>
    <t>Mof, PVC slagvast 315mm.</t>
  </si>
  <si>
    <t>Overschuifmof,
Materiaal: PVC-slagvast (CPE / PVC-A), klasse 33,
kleur: geel,
afmetingen: 63 mm.
Gastec QA-merk.</t>
  </si>
  <si>
    <t>Overschuifmof,
Materiaal: PVC-slagvast (CPE / PVC-A), klasse 33,
kleur: geel,
afmetingen: 75 mm.
Gastec QA-merk.</t>
  </si>
  <si>
    <t>Overschuifmof,
Materiaal: PVC-slagvast (CPE / PVC-A), klasse 33,
kleur: geel,
afmetingen: 90 mm.
Gastec QA-merk.</t>
  </si>
  <si>
    <t>Overschuifmof,
Materiaal: PVC-slagvast (CPE / PVC-A), klasse 33,
kleur: geel,
afmetingen: 110 mm.
Gastec QA-merk.</t>
  </si>
  <si>
    <t>Overschuifmof,
Materiaal: PVC-slagvast (CPE / PVC-A), klasse 33,
kleur: geel,
afmetingen: 160 mm.
Gastec QA-merk.</t>
  </si>
  <si>
    <t>Overschuifmof,
Materiaal: PVC-slagvast (CPE / PVC-A), klasse 33,
kleur: geel,
afmetingen: 200 mm.
Gastec QA-merk.</t>
  </si>
  <si>
    <t>Overschuifmof,
Materiaal: PVC-slagvast (CPE / PVC-A), klasse 33,
kleur: geel,
afmetingen: 250 mm.
Gastec QA-merk.</t>
  </si>
  <si>
    <t>Overschuifmof,
Materiaal: PVC-slagvast (CPE / PVC-A), klasse 33,
kleur: geel,
afmetingen: 315 mm.
Gastec QA-merk.</t>
  </si>
  <si>
    <t>Spie, verlopend,
Materiaal: PVC-slagvast (CPE / PVC-A),
kleur: geel,
afmetingen: 75 mm x 50 mm.
Gastec QA-merk.</t>
  </si>
  <si>
    <t>Spie, verlopend,
Materiaal: PVC-slagvast (CPE / PVC-A),
kleur: geel,
afmetingen: 200 mm x 160 mm.
Gastec QA-merk.</t>
  </si>
  <si>
    <t>Spie, verlopend,
Materiaal: PVC-slagvast (CPE / PVC-A),
kleur: geel,
afmetingen: 250 mm x 200 mm.
Gastec QA-merk.</t>
  </si>
  <si>
    <t>Bocht,
Materiaal: PVC-slagvast (CPE / PVC-A), klasse 33,
kleur: geel,
afmetingen: 11 graden 63 mm.
Gastec QA-merk.</t>
  </si>
  <si>
    <t>Bocht,
Materiaal: PVC-slagvast (CPE / PVC-A), klasse 33,
kleur: geel,
afmetingen: 22 graden 63 mm.
Gastec QA-merk.</t>
  </si>
  <si>
    <t>Bocht,
Materiaal: PVC-slagvast (CPE / PVC-A), klasse 33,
kleur: geel,
afmetingen: 45 graden 63 mm.
Gastec QA-merk.</t>
  </si>
  <si>
    <t>Bocht,
Materiaal: PVC-slagvast (CPE / PVC-A), klasse 33,
kleur: geel,
afmetingen: 90 graden 63 mm.
Gastec QA-merk.</t>
  </si>
  <si>
    <t>Bocht,
Materiaal: PVC-slagvast (CPE / PVC-A), klasse 33,
kleur: geel,
afmetingen: 11 graden 110 mm.
Gastec QA-merk.</t>
  </si>
  <si>
    <t>Bocht,
Materiaal: PVC-slagvast (CPE / PVC-A), klasse 33,
kleur: geel,
afmetingen: 22 graden 110 mm.
Gastec QA-merk.</t>
  </si>
  <si>
    <t>Bocht,
Materiaal: PVC-slagvast (CPE / PVC-A), klasse 33,
kleur: geel,
afmetingen: 30 graden 110 mm.
Gastec QA-merk.</t>
  </si>
  <si>
    <t>Bocht,
Materiaal: PVC-slagvast (CPE / PVC-A), klasse 33,
kleur: geel,
afmetingen: 45 graden 110 mm.
Gastec QA-merk.</t>
  </si>
  <si>
    <t>Bocht,
Materiaal: PVC-slagvast (CPE / PVC-A), klasse 33,
kleur: geel,
afmetingen: 90 graden 110 mm.
Gastec QA-merk.</t>
  </si>
  <si>
    <t>Bocht,
Materiaal: PVC-slagvast (CPE / PVC-A), klasse 33,
kleur: geel,
afmetingen: 11 graden 160 mm.
Gastec QA-merk.</t>
  </si>
  <si>
    <t>Bocht,
Materiaal: PVC-slagvast (CPE / PVC-A), klasse 33,
kleur: geel,
afmetingen: 22 graden 160 mm.
Gastec QA-merk.</t>
  </si>
  <si>
    <t>Bocht,
Materiaal: PVC-slagvast (CPE / PVC-A), klasse 33,
kleur: geel,
afmetingen: 30 graden 160 mm.
Gastec QA-merk.</t>
  </si>
  <si>
    <t>Bocht,
Materiaal: PVC-slagvast (CPE / PVC-A), klasse 33,
kleur: geel,
afmetingen: 45 graden 160 mm.
Gastec QA-merk.</t>
  </si>
  <si>
    <t>Bocht,
Materiaal: PVC-slagvast (CPE / PVC-A), klasse 33,
kleur: geel,
afmetingen: 90 graden 160 mm.
Gastec QA-merk.</t>
  </si>
  <si>
    <t>Bocht,
Materiaal: PVC-slagvast (CPE / PVC-A), klasse 33,
kleur: geel,
afmetingen: 11 graden 200 mm.
Gastec QA-merk.</t>
  </si>
  <si>
    <t>Bocht,
Materiaal: PVC-slagvast (CPE / PVC-A), klasse 33,
kleur: geel,
afmetingen: 22 graden 200 mm.
Gastec QA-merk.</t>
  </si>
  <si>
    <t>Bocht,
Materiaal: PVC-slagvast (CPE / PVC-A), klasse 33,
kleur: geel,
afmetingen: 30 graden 200 mm.
Gastec QA-merk.</t>
  </si>
  <si>
    <t>Bocht,
Materiaal: PVC-slagvast (CPE / PVC-A), klasse 33,
kleur: geel,
afmetingen: 45 graden 200 mm.
Gastec QA-merk.</t>
  </si>
  <si>
    <t>Bocht,
Materiaal: PVC-slagvast (CPE / PVC-A), klasse 33,
kleur: geel,
afmetingen: 90 graden 200 mm.
Gastec QA-merk.</t>
  </si>
  <si>
    <t>Bocht,
Materiaal: PVC-slagvast (CPE / PVC-A), klasse 33,
kleur: geel,
afmetingen: 11 graden 250 mm.
Gastec QA-merk.</t>
  </si>
  <si>
    <t>Bocht,
Materiaal: PVC-slagvast (CPE / PVC-A), klasse 33,
kleur: geel,
afmetingen: 22 graden 250 mm.
Gastec QA-merk.</t>
  </si>
  <si>
    <t>Bocht,
Materiaal: PVC-slagvast (CPE / PVC-A), klasse 33,
kleur: geel,
afmetingen: 30 graden 250 mm.
Gastec QA-merk.</t>
  </si>
  <si>
    <t>Bocht,
Materiaal: PVC-slagvast (CPE / PVC-A), klasse 33,
kleur: geel,
afmetingen: 45 graden 250 mm.
Gastec QA-merk.</t>
  </si>
  <si>
    <t>Bocht,
Materiaal: PVC-slagvast (CPE / PVC-A), klasse 33,
kleur: geel,
afmetingen: 90 graden 250 mm.
Gastec QA-merk.</t>
  </si>
  <si>
    <t>Bocht,
Materiaal: PVC-slagvast (CPE / PVC-A), klasse 33,
kleur: geel,
afmetingen: 22 graden 315 mm.
Gastec QA-merk.</t>
  </si>
  <si>
    <t>Bocht,
Materiaal: PVC-slagvast (CPE / PVC-A), klasse 33,
kleur: geel,
afmetingen: 45 graden 315 mm.
Gastec QA-merk.</t>
  </si>
  <si>
    <t>Bocht,
Materiaal: PVC-slagvast (CPE / PVC-A), klasse 33,
kleur: geel,
afmetingen: 90 graden 315 mm.
Gastec QA-merk.</t>
  </si>
  <si>
    <t>T-stuk (MMB),
Materiaal: PVC-slagvast (CPE / PVC-A), klasse 33,
kleur: geel,
afmetingen: 200 mm x 110 mm x 200 mm
Gastec QA-merk.</t>
  </si>
  <si>
    <t>T-stuk (MMB),
Materiaal: PVC-slagvast (CPE / PVC-A), klasse 33,
kleur: geel,
afmetingen: 200 mm x 200 mm x 200 mm
Gastec QA-merk.</t>
  </si>
  <si>
    <t>T-stuk (MMB),
Materiaal: PVC-slagvast (CPE / PVC-A), klasse 33,
kleur: geel,
afmetingen: 63 mm x 63 mm x 63 mm,
Gastec QA-merk.</t>
  </si>
  <si>
    <t>T-stuk (MMB),
Materiaal: PVC-slagvast (CPE / PVC-A), klasse 33,
kleur: geel,
afmetingen: 75 mm x 75 mm x 75 mm
Gastec QA-merk.</t>
  </si>
  <si>
    <t>T-stuk (MMB),
Materiaal: PVC-slagvast (CPE / PVC-A), klasse 33,
kleur: geel,
afmetingen: 110 mm x 63 mm x 110 mm
Gastec QA-merk.</t>
  </si>
  <si>
    <t>T-stuk (MMB),
Materiaal: PVC-slagvast (CPE / PVC-A), klasse 33,
kleur: geel,
afmetingen: 110 mm x 110 mm x 110 mm
Gastec QA-merk.</t>
  </si>
  <si>
    <t>T-stuk (MMB),
Materiaal: PVC-slagvast (CPE / PVC-A), klasse 33,
kleur: geel,
afmetingen: 160 mm x 110 mm x 160 mm
Gastec QA-merk.</t>
  </si>
  <si>
    <t>T-stuk (MMB),
Materiaal: PVC-slagvast (CPE / PVC-A), klasse 33,
kleur: geel,
afmetingen: 160 mm x 160 mm x 160 mm
Gastec QA-merk.</t>
  </si>
  <si>
    <t>Eindkap m steekmof,
Materiaal: PVC-slagvast (CPE / PVC-A), klasse 33,
kleur: geel,
afmetingen: 63 mm,
Gastec Qa-merk.</t>
  </si>
  <si>
    <t>Eindkap m steekmof,
Materiaal: PVC-slagvast (CPE / PVC-A), klasse 33,
kleur: geel,
afmetingen: 75 mm,
Gastec Qa-merk.</t>
  </si>
  <si>
    <t>Eindkap m steekmof,
Materiaal: PVC-slagvast (CPE / PVC-A), klasse 33,
kleur: geel,
afmetingen: 110 mm,
Gastec Qa-merk.</t>
  </si>
  <si>
    <t>Eindkap m steekmof,
Materiaal: PVC-slagvast (CPE / PVC-A), klasse 33,
kleur: geel,
afmetingen: 160 mm,
Gastec Qa-merk.</t>
  </si>
  <si>
    <t>Eindkap m steekmof,
Materiaal: PVC-slagvast (CPE / PVC-A), klasse 33,
kleur: geel,
afmetingen: 200 mm,
Gastec Qa-merk.</t>
  </si>
  <si>
    <t>Eindkap m steekmof,
Materiaal: PVC-slagvast (CPE / PVC-A), klasse 33,
kleur: geel,
afmetingen: 250 mm,
Gastec Qa-merk.</t>
  </si>
  <si>
    <t>Eindkap m steekmof,
Materiaal: PVC-slagvast (CPE / PVC-A), klasse 33,
kleur: geel,
afmetingen: 315 mm,
Gastec Qa-merk.</t>
  </si>
  <si>
    <t>Spie, verlopend,
Materiaal: PVC-slagvast (CPE / PVC-A),
kleur: geel,
afmetingen: 75 mm x 63 mm.
Gastec QA-merk.</t>
  </si>
  <si>
    <t xml:space="preserve">Blaasgatopzetstuk 1½" voor aanboorzadel. Materiaal: PVC-slagvast
(CPE/PVC-A). Gastec Qa-merk.
</t>
  </si>
  <si>
    <t>Opzetstuk BG voor aanboorzadel, Polsafe,
Materiaal: PVC-slagvast (CPE / PVC-A),
kleur: geel,
afmetingen: 2"
Gastec Qa-merk.</t>
  </si>
  <si>
    <t xml:space="preserve">Opzetstuk voor aanboorzadel, Polsafe.
Materiaal: PVC-slagvast (CPE / PVC-A), met KR-koppeling.
Kleur: opzetstuk geel en wartel geel,
Afmetingen: 40 mm x 1.1/2" SDR17,6
Gastec Qa-merk. Voldoet aan NEN-EN 1555-2.
</t>
  </si>
  <si>
    <t xml:space="preserve">Aanboorzadel toepasbaar als aftakzadel of blaasgatzadel 63mmx1 ½"
Polsafe materiaal: PVC/SV. Gastec QA-merk.
</t>
  </si>
  <si>
    <t xml:space="preserve">Aanboorzadel toepasbaar als aftakzadel of blaasgatzadel 75mmx1 ½"
Polsafe materiaal: PVC/SV. Gastec QA-merk.
</t>
  </si>
  <si>
    <t xml:space="preserve">Aanboorzadel toepasbaar als aftakzadel of blaasgatzadel 90mmx1 ½"
Polsafe materiaal: PVC/SV. Gastec QA-merk.
</t>
  </si>
  <si>
    <t xml:space="preserve">Aanboorzadel toepasbaar als aftakzadel of blaasgatzadel 110mmx1 ½"
Polsafe materiaal: PVC/SV. Gastec QA-merk.
</t>
  </si>
  <si>
    <t xml:space="preserve">Aanboorzadel toepasbaar als aftakzadel 160mmx1 ½" Polsafe materiaal:
PVC/SV. Gastec QA-merk.
</t>
  </si>
  <si>
    <t xml:space="preserve">Aanboorzadel toepasbaar als aftakzadel 200mmx1 ½" Polsafe materiaal:
PVC/SV. Gastec QA-merk.
</t>
  </si>
  <si>
    <t xml:space="preserve">Aanboorzadel toepasbaar als aftakzadel 250mmx1 ½" Polsafe materiaal:
PVC/SV. Gastec QA-merk.
</t>
  </si>
  <si>
    <t xml:space="preserve">Aanboorzadel toepasbaar als aftakzadel 315mmx1 ½" Polsafe materiaal:
PVC/SV. Gastec QA-merk.
</t>
  </si>
  <si>
    <t xml:space="preserve">Aanboorzadel toepasbaar als aftakzadel of blaasgatzadel 160mmx2" Polsafe
materiaal: PVC/SV. Gastec QA-merk.
</t>
  </si>
  <si>
    <t xml:space="preserve">Aanboorzadel toepasbaar als aftakzadel of blaasgatzadel 200mmx2" Polsafe
materiaal: PVC/SV. Gastec QA-merk.
</t>
  </si>
  <si>
    <t xml:space="preserve">Aanboorzadel toepasbaar als aftakzadel 250mmx2" Polsafe materiaal:
PVC/SV. Gastec QA-merk.
</t>
  </si>
  <si>
    <t xml:space="preserve">Aanboorzadel toepasbaar als aftakzadel 315mmx2" Polsafe materiaal:
PVC/SV. Gastec QA-merk.
</t>
  </si>
  <si>
    <t xml:space="preserve">Afsluitplug voor  POLSAFE aanboorzadel. Voorzien van gasdraad 2".
 Materiaal: PVC-slagvast (CPE/PVC-A ).
</t>
  </si>
  <si>
    <t>Mof overschuif verloop PVC 107 x110mm</t>
  </si>
  <si>
    <t>Mof verloop PE elektrolas, 10 bar gas, PE100 SDR11.
Set bestaande uit:
- elektrolasmof 75 mm
- spie-verloopstuk 75 naar 50 mm
- elektrolasmof 50 mm.</t>
  </si>
  <si>
    <t xml:space="preserve">Mof PE elektrolas, 10 bar gas, 50 mm, PE100 SDR11.
</t>
  </si>
  <si>
    <t xml:space="preserve">Mof PE elektrolas, 10 bar gas, 63 mm, PE100 SDR11.
</t>
  </si>
  <si>
    <t>Mof PE elektrolas, 10 bar gas, 75 mm, PE100 SDR11.</t>
  </si>
  <si>
    <t>Mof PE elektrolas, 10 bar gas, 110 mm, PE100 SDR11.</t>
  </si>
  <si>
    <t>Mof PE elektrolas, 10 bar gas, 160 mm, PE100 SDR11.</t>
  </si>
  <si>
    <t xml:space="preserve">Lasbocht,
materiaal naadloze staal (St 37), volgens DIN 2605,
afmetingen: 33,7 x 2,6 mm, 90 graden, 3S,
klasse 1 volgens DIN 17175,
afgeschuind.
</t>
  </si>
  <si>
    <t xml:space="preserve">Lasbocht,
materiaal naadloze staal (St 37), volgens DIN 2605,
afmetingen: 42,4 x 2,6 mm, 90 graden, 3S,
klasse 1 volgens DIN 17175,
afgeschuind.
</t>
  </si>
  <si>
    <t xml:space="preserve">Lasbocht,
materiaal naadloze staal (St 37), volgens DIN 2605,
afmetingen: 48,3 x 2,6 mm, 90 graden, 3S,
klasse 1 volgens DIN 17175,
afgeschuind.
</t>
  </si>
  <si>
    <t xml:space="preserve">Lasbocht,
materiaal naadloze staal (St 37), volgens DIN 2605,
afmetingen: 114,3 x 3,6 mm, 90 graden, 3S,
klasse 1 volgens DIN 17175,
afgeschuind.
</t>
  </si>
  <si>
    <t xml:space="preserve">Lasbocht, materiaal staalsoort P265GH, volgens NEN EN 10027-1,
afmetingen: 168,3x4,0mm, 90 graden, 3D, volgens NEN EN 10253-2, afges
chuind, markering: charge,staalsoort en leverancier.
</t>
  </si>
  <si>
    <t xml:space="preserve">Lasbocht, materiaal staalsoort P265GH, volgens NEN EN 10027-1,
afmetingen: 219,1x4,5mm, 90 graden, 3D, volgens NEN EN 10253-2, afges
chuind, markering: charge,staalsoort en leverancier.
</t>
  </si>
  <si>
    <t xml:space="preserve">Las-T-stuk,
materiaal: staal (St 35.8),
volgens DIN 2615,
afmetingen: 33,7 x 2,6 * 33,7 x 2,6 mm,
klasse 1 volgens DIN 17175,
afgeschuind.
</t>
  </si>
  <si>
    <t xml:space="preserve">Las-T-stuk,
materiaal: staal (St 35.8),
volgens DIN 2615
afmetingen: 42,4 x 2,6 * 42,4 x 2,6 mm,
klasse 1 volgens DIN 17175,
afgeschuind.
</t>
  </si>
  <si>
    <t xml:space="preserve">Las-T-stuk,
materiaal: staal (St 35.8),
volgens DIN 2615,
afmetingen: 48,3 x 2,6* 48,3 x 2,6 mm,
klasse 1 volgens DIN 17175,
afgeschuind.
</t>
  </si>
  <si>
    <t xml:space="preserve">Las-T-stuk,
materiaal: staal (St 35.8),
volgens DIN 2615,
afmetingen: 60,3 x 2,9 * 60,3 x 2,9 mm,
klasse 1 volgens DIN 17175,
afgeschuind.
</t>
  </si>
  <si>
    <t xml:space="preserve">Las-T-stuk,
materiaal: staal (St 35.8),
volgens DIN 2615,
afmetingen: 60,3 x 2,9 * 33,7 x 2,6  mm,
klasse 1 volgens DIN 17175,
afgeschuind.
</t>
  </si>
  <si>
    <t xml:space="preserve">Las-T-stuk,
materiaal: staal (St 35.8),
volgens DIN 2615,
afmetingen: 88,9 x 3,2 * 60,3 x 2,9 mm,
klasse 1 volgens DIN 17175,
afgeschuind.
</t>
  </si>
  <si>
    <t xml:space="preserve">Las-T-stuk,
materiaal: staal (St 35.8),
volgens DIN 2615,
afmetingen: 88,9 x 3,2 * 88,9 x 3,2 mm,
klasse 1 volgens DIN 17175,
afgeschuind.
</t>
  </si>
  <si>
    <t xml:space="preserve">Las-T-stuk,
materiaal: staal (St 35.8),
volgens DIN 2615,
afmetingen: 114,3 x 3,6 * 60,3 x 2,9 mm,
klasse 1 volgens DIN 17175,
afgeschuind.
</t>
  </si>
  <si>
    <t xml:space="preserve">Las-T-stuk,
materiaal: staal (St 35.8),
volgens DIN 2615,
afmetingen: 114,3 x 3, 6 * 114,3 x 3,6 mm,
klasse 1 volgens DIN 17175,
afgeschuind.
</t>
  </si>
  <si>
    <t xml:space="preserve">Las-T-stuk,
materiaal: staal (St 35.8),
volgens DIN 2615,
afmetingen: 114,3 x 3,6 * 88,9 x 3,2 mm,
klasse 1 volgens DIN 17175,
afgeschuind.
</t>
  </si>
  <si>
    <t xml:space="preserve">Las-T-stuk, materiaal staalsoort P235GH, volgens NEN EN 10027-1,
nominaledruk PN16, afmetingen: 168,3x 4,0* 88,9 x 3,2 mm, volgens NEN EN
10253-2, afgeschuind, markering: charge,staalsoort en leverancier.
</t>
  </si>
  <si>
    <t xml:space="preserve">Las-T-stuk, materiaal staalsoort P235GH, volgens NEN EN 10027-1,
nominaledruk PN16, afmetingen: 168,3 x 4,0 * 168,3x 4,0 mm, volgens NEN
EN 10253-2, afgeschuind, markering: charge,staalsoort en leverancier.
</t>
  </si>
  <si>
    <t xml:space="preserve">Las-T-stuk, materiaal staalsoort P235GH, volgens NEN EN 10027-1,
nominaledruk PN16, afmetingen: 168,3x 4,0* 114,3 x 3,6 mm, volgens NEN
EN 10253-2, afgeschuind, markering: charge,staalsoort en leverancier.
</t>
  </si>
  <si>
    <t xml:space="preserve">Las-T-stuk, materiaal staalsoort P235GH, volgens NEN EN 10027-1,
nominaledruk PN16, afmetingen: 219,1 x 4,5 * 219,1x 4,5 mm, volgens NEN
EN 10253-2, afgeschuind, markering: charge,staalsoort en leverancier.
</t>
  </si>
  <si>
    <t xml:space="preserve">Las-T-stuk, materiaal staalsoort P235GH, volgens NEN EN 10027-1,
nominaledruk PN16, afmetingen: 219,1x 4,5* 114,3 x 3,6 mm, volgens NEN
EN 10253-2, afgeschuind, markering: charge,staalsoort en leverancier.
</t>
  </si>
  <si>
    <t xml:space="preserve">Las-T-stuk, materiaal staalsoort P235GH, volgens NEN EN 10027-1,
nominaledruk PN16, afmetingen: 219,1x 4,5* 168,3 x 4,0 mm, volgens NEN
EN 10253-2, afgeschuind, markering: charge,staalsoort en leverancier.
</t>
  </si>
  <si>
    <t xml:space="preserve">Las-T-stuk, materiaal staalsoort P235GH, volgens NEN EN 10027-1,
nominaledruk PN16, afmetingen: 273,0x 5,0* 168,3 x 4,0 mm, volgens NEN
EN 10253-2, afgeschuind, markering: charge,staalsoort en leverancier.
</t>
  </si>
  <si>
    <t xml:space="preserve">Las-T-stuk, materiaal staalsoort P235GH, volgens NEN EN 10027-1,
nominaledruk PN16, afmetingen: 273,0 x 5,0 * 273,0x 5,0 mm, volgens NEN
EN 10253-2, afgeschuind, markering: charge,staalsoort en leverancier.
</t>
  </si>
  <si>
    <t xml:space="preserve">Las-T-stuk, materiaal staalsoort P235GH, volgens NEN EN 10027-1,
nominaledruk PN16, afmetingen: 323,9x 5,6* 168,3 x 4,0 mm, volgens NEN
EN 10253-2, afgeschuind, markering: charge,staalsoort en leverancier.
</t>
  </si>
  <si>
    <t xml:space="preserve">Las-T-stuk, materiaal staalsoort P235GH, volgens NEN EN 10027-1,
nominaledruk PN16, afmetingen: 323,9 x 5,6 * 323,9x 5,6mm, volgens NEN
EN 10253-2, afgeschuind, markering: charge,staalsoort en leverancier.
</t>
  </si>
  <si>
    <t xml:space="preserve">Las-T-stuk, materiaal staalsoort P235GH, volgens NEN EN 10027-1,
nominaledruk PN16, afmetingen: 406,4x 6,3* 168,3x 4,0 mm, volgens NEN EN
10253-2, afgeschuind, markering: charge,staalsoort en leverancier.
</t>
  </si>
  <si>
    <t xml:space="preserve">Lasverloopstuk, concentrisch,
materiaal: staal (RSt 35.8),
afmetingen:  33,7 x 2,6 * 26,9 x 2,3 mm,
volgens DIN 2616-deel 2.
</t>
  </si>
  <si>
    <t xml:space="preserve">Lasverloopstuk, concentrisch,
materiaal: staal (RSt 35.8),
afmetingen:  42,4 x 2,6 * 33,7 x 2,6 mm,
volgens DIN 2616-deel 2.
</t>
  </si>
  <si>
    <t xml:space="preserve">Lasverloopstuk, concentrisch,
materiaal: staal (RSt 35.8),
afmetingen:  48,3 x 2,6 * 42,4 x 2,6 mm
volgens DIN 2616-deel 2.
</t>
  </si>
  <si>
    <t xml:space="preserve">Lasverloopstuk, concentrisch,
materiaal: staal (RSt 35.8),
afmetingen:  48,3 x 2,6 * 33,7 x 2,6 mm,
volgens DIN 2616-deel 2.
</t>
  </si>
  <si>
    <t xml:space="preserve">Lasverloopstuk, concentrisch,
materiaal: staal (RSt 35.8),
afmetingen:  60,3 x 2,9 * 33,7 x 2,6 mm,
volgens DIN 2616-deel 2.
</t>
  </si>
  <si>
    <t xml:space="preserve">Lasverloopstuk, concentrisch,
materiaal: staal (RSt 35.8),
afmetingen:  60,3 x 2,9 * 48,3 x 2,6 mm,
volgens DIN 2616-deel 2.
</t>
  </si>
  <si>
    <t xml:space="preserve">Lasverloopstuk, concentrisch,
materiaal: staal (RSt 35.8),
afmetingen:  60,3 x 2,9 * 42,4 x 2,6 mm
volgens DIN 2616-deel 2.
</t>
  </si>
  <si>
    <t xml:space="preserve">Lasverloopstuk, concentrisch,
materiaal: staal (RSt 35.8),
afmetingen:  88,9 x 3,2 * 60,3 x 2,9 mm,
volgens DIN 2616-deel 2.
</t>
  </si>
  <si>
    <t xml:space="preserve">Lasverloopstuk,  concentrisch,
materiaal: staal (RSt 35.8),
afmetingen:  114,3 x 3,6 * 108,0 x 3,6 mm,
volgens DIN 2616-deel 2.
</t>
  </si>
  <si>
    <t>Lasverloopstuk, concentrisch,
materiaal: staal (RSt 35.8),
afmetingen:  114,3 x 3,6 * 88,9 x 3,2 mm,
volgens DIN 2616-deel 2.</t>
  </si>
  <si>
    <t xml:space="preserve">Lasverloopstuk, concentrisch,
materiaal: staal (RSt 35.8),
afmetingen:  114 x 3,6 * 60,3 x 2,9 mm,
volgens DIN 2616-deel 2.
</t>
  </si>
  <si>
    <t xml:space="preserve">Lasverloopstuk, materiaal staalsoort P235GH, volgens NEN EN 10027-1,
nominaledruk PN16, afmetingen: 168,3x 4,0* 88,9x 3,6 mm, volgens NEN EN
10253-2, afgeschuind, markering: charge,staalsoort en leverancier.
</t>
  </si>
  <si>
    <t xml:space="preserve">Lasverloopstuk, materiaal staalsoort P235GH, volgens NEN EN 10027-1,
nominaledruk PN16, afmetingen: 219,1x 4,5* 168,3x 4,0mm, volgens NEN EN
10253-2, afgeschuind, markering: charge,staalsoort en leverancier.
</t>
  </si>
  <si>
    <t xml:space="preserve">Lasverloopstuk, materiaal staalsoort P235GH, volgens NEN EN 10027-1,
nominaledruk PN16, afmetingen: 168,3x 4,0* 114,3x 3,6 mm, volgens NEN EN
10253-2, afgeschuind, markering: charge,staalsoort en leverancier.
</t>
  </si>
  <si>
    <t xml:space="preserve">Lasverloopstuk, materiaal staalsoort P235GH, volgens NEN EN 10027-1,
nominaledruk PN16, afmetingen: 273,0x 5,0* 219,1x 4,5mm, volgens NEN EN
10253-2, afgeschuind, markering: charge,staalsoort en leverancier.
</t>
  </si>
  <si>
    <t xml:space="preserve">Lasverloopstuk, materiaal staalsoort P235GH, volgens NEN EN 10027-1,
nominaledruk PN16, afmetingen: 273,0x 5,0* 168,3x 4,0mm, volgens NEN EN
10253-2, afgeschuind, markering: charge,staalsoort en leverancier.
</t>
  </si>
  <si>
    <t xml:space="preserve">Lasverloopstuk, materiaal staalsoort P235GH, volgens NEN EN 10027-1,
nominaledruk PN16, afmetingen: 323,9x 5,6* 168,3x 4,0mm, volgens NEN EN
10253-2, afgeschuind, markering: charge,staalsoort en leverancier.
</t>
  </si>
  <si>
    <t xml:space="preserve">Lasverloopstuk, materiaal staalsoort P235GH, volgens NEN EN 10027-1,
nominaledruk PN16, afmetingen: 323,9x 5,6* 219,1x 4,5mm, volgens NEN EN
10253-2, afgeschuind, markering: charge,staalsoort en leverancier.
</t>
  </si>
  <si>
    <t xml:space="preserve">Lasverloopstuk, materiaal staalsoort P235GH, volgens NEN EN 10027-1,
nominaledruk PN16, afmetingen: 323,9x 5,6* 273,0x 5,0mm, volgens NEN EN
10253-2, afgeschuind, markering: charge,staalsoort en leverancier.
</t>
  </si>
  <si>
    <t xml:space="preserve">Lasbodem, bol, volgens DIN 28011.
materiaal: ST 37.0,
nominale diameter: 25 (Du = 42,4 mm; dikte = 3,0 mm),
laskant voorbereid volgens DIN 2559, met afgeschuinde einden, vorm 21,
hoek 60 graden.
voorzien van attest 3.1B volgens DIN 50049,P265GH.
</t>
  </si>
  <si>
    <t xml:space="preserve">Lasbodem, bol, volgens DIN 28011.
materiaal: ST 37.0,
nominale diameter: 40 (Du = 48,3 mm; dikte = 3,0 mm),
laskant voorbereid volgens DIN 2559, met afgeschuinde einden, vorm 21,
hoek 60 graden.
voorzien van attest 3.1B volgens DIN 50049,P265GH.
</t>
  </si>
  <si>
    <t xml:space="preserve">Lasbodem, bol, volgens DIN 28011,
materiaal: ST 37.0,
nominale diameter: 50 (Du = 60,3 mm; dikte= 3,0 mm),
laskant voorbereid volgens DIN 2559, met afgeschuinde einden, vorm 21,
hoek 60 graden.
voorzien van attest 3.1B volgens DIN 50049,P265GH.
</t>
  </si>
  <si>
    <t xml:space="preserve">Lasbodem, bol, volgens DIN 28011,
materiaal: ST 37.0,
nominale diameter: 80 (Du = 88,9 mm; dikte = 3,0 mm),
laskant voorbereid volgens DIN 2559, met afgeschuinde einden, vorm 21,
hoek 60 graden.
voorzien van attest 3.1B volgens DIN 50049,P265GH.
</t>
  </si>
  <si>
    <t xml:space="preserve">Lasbodem, bol, materiaal staalsoort P265 GH, volgens NEN EN 10027-1,
afmeting 114,3x3,6 mm), vorm 21, hoek 60 graden. voorzien van attest
3.1B volgens NEN EN 10204, volgens NEN EN 10253-2, afgeschuind,
markering: charge,staalsoort en leverancier.
</t>
  </si>
  <si>
    <t xml:space="preserve">Lasbodem, bol, materiaal staalsoort P265 GH, volgens NEN EN 10027-1,
afmeting 168,3x4,0 mm), vorm 21, hoek 60 graden. voorzien van attest
3.1B volgens NEN EN 10204, volgens NEN EN 10253-2, afgeschuind,
markering: charge,staalsoort en leverancier.
</t>
  </si>
  <si>
    <t xml:space="preserve">Lasbodem, bol, materiaal staalsoort P265 GH, volgens NEN EN 10027-1,
afmeting 219,1x4,5 mm), vorm 21, hoek 60 graden. voorzien van attest
3.1B volgens NEN EN 10204, volgens NEN EN 10253-2, afgeschuind,
markering: charge,staalsoort en leverancier.
</t>
  </si>
  <si>
    <t xml:space="preserve">Lasbodem, bol, materiaal staalsoort P265 GH, volgens NEN EN 10027-1,
afmeting 273,0x5,0 mm), vorm 21, hoek 60 graden. voorzien van attest
3.1B volgens NEN EN 10204, volgens NEN EN 10253-2, afgeschuind,
markering: charge,staalsoort en leverancier.
</t>
  </si>
  <si>
    <t xml:space="preserve">Lasbodem, bol, materiaal staalsoort P265 GH, volgens NEN EN 10027-1,
afmeting 323,9x5,6 mm), vorm 21, hoek 60 graden. voorzien van attest
3.1B volgens NEN EN 10204, volgens NEN EN 10253-2, afgeschuind,
markering: charge,staalsoort en leverancier.
</t>
  </si>
  <si>
    <t xml:space="preserve">Lassok,
materiaal: staal,
nominale diameter: 1/2",
volgens DIN 2986,
bi-draad volgens DIN 2999. nr 16.
</t>
  </si>
  <si>
    <t xml:space="preserve">Lassok,
materiaal: staal,
nominale diameter: 3/4",
volgens DIN 2986,
bi-draad volgens DIN 2999. nr 16.
</t>
  </si>
  <si>
    <t xml:space="preserve">Lassok,
materiaal: staal,
nominale diameter: 1",
volgens DIN 2986,
bi-draad volgens DIN 2999. nr16.
</t>
  </si>
  <si>
    <t xml:space="preserve">Lassok,
materiaal: staal,
nominale diameter: 1.1/4",
volgens DIN 2986,
bi-draad volgens DIN 2999. nr 16.
</t>
  </si>
  <si>
    <t xml:space="preserve">Lassok,
materiaal: staal,
nominale diameter: 1.1/2",
volgens DIN 2986,
bi-draad volgens DIN 2999. nr 16.
</t>
  </si>
  <si>
    <t xml:space="preserve">Lassok,
materiaal: staal,
nominale diameter: 2",
volgens DIN 2986,
bi-draad volgens DIN 2999. nr 16.
</t>
  </si>
  <si>
    <t>Isolatiekoppeling, las/las, druk: PN25, 1" (DN32), diameter uitw: 33,7
mm, lengte = 250 mm, weerstand 5 Megohm, doorslag 3Kv/50Hz.</t>
  </si>
  <si>
    <t xml:space="preserve">Isolatiekoppeling, las/las, druk: PN25, 2" (DN50), diameter uitw: 60,3
mm, lengte = 350mm, weerstand 5 Megohm, doorslag 3Kv/50Hz.
</t>
  </si>
  <si>
    <t xml:space="preserve">Isolatiekoppeling, las/las, druk: PN25, 3" (DN80), diameter uitw: 88,9
mm, lengte = 288 mm, weerstand 5 Megohm, doorslag 3Kv/50Hz.
</t>
  </si>
  <si>
    <t xml:space="preserve">Isolatiekoppeling, las/las, druk: PN25, 4" (DN100), diameter uitw: 114,3
mm, lengte = 400mm, weerstand 5 Megohm, doorslag 3Kv/50Hz.
</t>
  </si>
  <si>
    <t xml:space="preserve">Isolatiekoppeling, las/las, druk: PN25, 6" (DN150), diameter uitw: 168,3
mm, lengte = 500mm, weerstand 5 Megohm, doorslag 3Kv/50Hz.
</t>
  </si>
  <si>
    <t xml:space="preserve">Isolatiekoppeling, las/las, druk: PN25, 8" (DN200), diameter uitw: 219,1
mm, lengte = 500 mm, weerstand 5 Megohm, doorslag 3Kv/50Hz.
</t>
  </si>
  <si>
    <t xml:space="preserve">Isolatiekoppeling, las/las, druk: PN25, 10" (DN250), diameter uitw: 273
mm, lengte = 700 mm, weerstand 5 Megohm, doorslag 3Kv/50Hz.
</t>
  </si>
  <si>
    <t xml:space="preserve">Laszadel,
materiaal: staal (Weldolet),
afmeting : 114,3 x 60,3 mm (4" x 2").
</t>
  </si>
  <si>
    <t xml:space="preserve">Laszadel,
materiaal: staal (Weldolet),
afmeting : 168,3 x 60,3 mm (6" x 2").
</t>
  </si>
  <si>
    <t xml:space="preserve">Laszadel,
materiaal: staal (Weldolet),
afmeting : 219,1 x 60,3 mm (8" x 3")
kan ook als 273,0 x 60,3 mm (10" x 2") worden toegepast.
</t>
  </si>
  <si>
    <t xml:space="preserve">Voorlasflens, materiaal staalsoort P250GH, volgens NEN EN 10027-1
nominale druk: PN 10, nominale diameter: DN 200, afmeting: 219,1x4,5 mm,
aantal en diameter bouten:  8x22 mm, volgens NEN EN 1092-1,afgeschuind,
markering: charge,staalsoort en leverancier.
</t>
  </si>
  <si>
    <t xml:space="preserve">Voorlasflens, materiaal staalsoort P250GH, volgens NEN EN 10027-1
nominale druk: PN 10, nominale diameter: DN 250, afmeting: 273,0x5,0 mm,
aantal en diameter bouten: 12x22 mm, volgens NEN EN 1092-1,afgeschuind,
markering: charge,staalsoort en leverancier.
</t>
  </si>
  <si>
    <t xml:space="preserve">Voorlasflens.
Materiaal staalsoort P250GH.
Volgens NEN EN 10027-1
Nominale druk: PN 10
Nominale diameter: DN 300
Afmeting: 323,9x5,6 mm,
Aantal en diameter bouten: 12x22 mm, volgens NEN EN 1092-1,afgeschuind.
Markering: charge,staalsoort en leverancier.
</t>
  </si>
  <si>
    <t xml:space="preserve">Voorlasflens, materiaal staalsoort P250GH, volgens NEN EN 10027-1
nominale druk: PN 16, nominale diameter: DN 50, afmeting: 60,3x2,9 mm,
aantal en diameter bouten: 4x18 mm, volgens NEN EN 1092-1,afgeschuind,
markering: charge,staalsoort en leverancier.
</t>
  </si>
  <si>
    <t xml:space="preserve">Voorlasflens, materiaal staalsoort P250GH, volgens NEN EN 10027-1
nominale druk: PN 16, nominale diameter: DN 80, afmeting: 88,9x3,6 mm,
aantal en diameter bouten: 8x18 mm, volgens NEN EN 1092-1,afgeschuind,
markering: charge,staalsoort en leverancier.
</t>
  </si>
  <si>
    <t xml:space="preserve">Voorlasflens, materiaal staalsoort P250GH, volgens NEN EN 10027-1
nominale druk: PN 16, nominale diameter: DN 100, afmeting: 114,3x3,6 mm,
aantal en diameter bouten: 8x18 mm, volgens NEN EN 1092-1,afgeschuind,
markering: charge,staalsoort en leverancier.
</t>
  </si>
  <si>
    <t xml:space="preserve">Voorlasflens, materiaal staalsoort P250GH, volgens NEN EN 10027-1
nominale druk: PN 16, nominale diameter: DN 150, afmeting: 168,3x4,0 mm,
aantal en diameter bouten:  8x22 mm, volgens NEN EN 1092-1,afgeschuind,
markering: charge,staalsoort en leverancier.
</t>
  </si>
  <si>
    <t xml:space="preserve">Blindflens, materiaal: staalsoort P250GH zijn  volgens NEN EN 10027-1,
nominale druk: PN 16 bar, nominale diameter: DN 50, uitwendige diameter:
165 x 20 mm, aantal en diameter boutgaten: 4 x 18 mm, volgens NEN EN
1092-1.
</t>
  </si>
  <si>
    <t xml:space="preserve">Blindflens, materiaal: staalsoort P250GH zijn volgens NEN EN 10027-1,
nominale druk: PN 16 bar, nominale diameter: DN 80, uitwendige diameter:
200 x 20 mm, aantal en diameter boutgaten: 8 x 18 mm, volgens NEN EN
1092-1.
</t>
  </si>
  <si>
    <t xml:space="preserve">Blindflens, materiaal: staalsoort P250GH zijn volgens NEN EN 10027-1,
nominale druk: PN 16 bar, nominale diameter: DN 100, uitwendige
diameter: 220 x 20 mm, aantal en diameter boutgaten: 8 x 18 mm, volgens
NEN EN 1092-1.
</t>
  </si>
  <si>
    <t>Blindflens, materiaal :staalsoort P250GH zijn volgens NEN EN 10027-1,
nominale druk: PN 16 bar, nominale diameter: DN 150, uitwendige
diameter: 285 x 22 mm, aantal en diameter boutgaten: 8 x 22 mm, volgens
NEN EN 1092-1.</t>
  </si>
  <si>
    <t xml:space="preserve">Gasmeteraansluiting, flexibel, diameter: 1.1/2", aansluitingen:
binnendraad Rp1.1/2" / buitendraad R1.1/2", Lengte: 470mm, Koppeling: St
37. Schroefdraad volgens ISO7-1. QA-keur.
</t>
  </si>
  <si>
    <t xml:space="preserve">Gasmeteraansluiting, flexibel, diameter: 2", aansluitingen: binnendraad
Rp2" / buitendraad R2", Lengte: 520mm, Koppeling: St 37. Schroefdraad
volgens ISO7-1. QA-keur.
</t>
  </si>
  <si>
    <t>Schaaldeel DN100
Lengte: 1 meter.
Kleur: rood
Worden per stuk uitgegeven.</t>
  </si>
  <si>
    <t>Inbouwgarnituur AVK DN50. Compleet met verlengspindel werkende lengte
640 m. Schutbuis. Spindel vierkant 14 mm. Spindelkop geel. Afdekkap.
Geschikt voor schuifafsluiters.</t>
  </si>
  <si>
    <t>Inbouwgarnituur AVK DN65/80. Compleet met verlengspindel werkende lengte
600 m. Schutbuis. Spindel vierkant 17 mm. Spindelkop geel. Afdekkap.
Geschikt voor schuifafsluiters.</t>
  </si>
  <si>
    <t>Inbouwgarnituur AVK DN100. Compleet met verlengspindel, werkende lengte
590 mm. Schutbuis. Spindel vierkant 19 mm. Spindelkop geel. Afdekkap.
Geschikt voor schuifafsluiters.</t>
  </si>
  <si>
    <t>Inbouwgarnituur AVK DN125/150, compleet met verlengspindel, werkende
lengte 500 mm, schutbuis, spindel vierkant 19 mm, spindelkop geel,
afdekkap, geschikt voor schuifafsluiters.</t>
  </si>
  <si>
    <t>Inbouwgarnituur AVK DN200, compleet met verlengspindel, werkende lengte
430 mm, schutbuis, spindelkop geel vierkant 24 mm, afdekkap, geschikt
voor schuifafsluiters.</t>
  </si>
  <si>
    <t>Inbouwgarnituur AVK DN250, compleet met verlengspindel, werkende lengte
370 mm, schutbuis,spindelkop geel vierkant 27 mm, afdekkap, geschikt
voor schuifafsluiters.</t>
  </si>
  <si>
    <t>Inbouwgarnituur AVK DN300, compleet met verlengspindel, werkende lengte
310 mm, schutbuis,spindel vierkant 27 mm, spindelkop geel, afdekkap,
geschikt voor schuifafsluiters.</t>
  </si>
  <si>
    <t>Kogelkraan, kogelafsluiter recht voor gas met handelbediening;
materiaal: vernikkeld messing; werkdruk max: PN 16;
aansluitingen: cilindrisch afdichtend, binnendraad Rp 3/4" x Rp 3/4"
Doorlaat: DN 20.
DVGW-keur, EN-331.</t>
  </si>
  <si>
    <t>Kogelkraan, kogelafsluiter recht voor gas met handelbediening;
materiaal: vernikkeld messing; werkdruk max: PN 16;
aansluitingen: cilindrisch afdichtend binnendraad Rp 1" x Rp 1"
Doorlaat: DN 25.
DVGW-keur, EN-331.</t>
  </si>
  <si>
    <t>Kogelkraan, kogelafsluiter recht voor gas met handelbediening;
materiaal: vernikkeld messing; werkdruk max: PN 16;
aansluitingen: cilindrisch afdichtend binnendraad Rp 1.1/4" x Rp 1.1/4"
Doorlaat: DN 32.
DVGW-keur, EN-331.</t>
  </si>
  <si>
    <t>Kogelkraan, kogelafsluiter recht voor gas met handelbediening;
materiaal: vernikkeld messing; werkdruk max: PN 16;
aansluitingen: cilindrisch afdichtend     binnendraad Rp 1.1/2" x Rp
1.1/2" Doorlaat: DN 40.
DVGW-keur, EN-331.</t>
  </si>
  <si>
    <t>Kogelkraan, kogelafsluiter recht voor gas met handelbediening;
materiaal: vernikkeld messing; werkdruk max: PN 16;
aansluitingen: cilindrisch afdichtend binnendraad Rp 2" x Rp 2"
Doorlaat: DN 50.
DVGW-keur, EN-331.</t>
  </si>
  <si>
    <t>Kogelkraan, kogelafsluiter recht voor gas met vleugelknopbediening;
materiaal: messing; Mop 5;
aansluiting: cilindrisch afdichtend binnendraad Rp1" x wartelbuitendraad
G1.1/4".
Doorlaat: DN 20,
DVGW-keur, EN-331.</t>
  </si>
  <si>
    <t>Vlinderklep in geflensde uitvoering PN16,
Doorlaat: 80 mm (3");
Huis: GGG40,
Spindel en klep: RVS 316,
Inbouwmaat: 114 mm
Zitting: BUNA-N,
max. werkdruk: 8 bar,
8 boutgaten van 18 mm / steekcirkel 160 mm
standaard approvals: Lloyds en DNV,
bouwlengte conform Alliander/Liander-standaard.</t>
  </si>
  <si>
    <t>Vlinderklep in geflensde uitvoering PN16,
Doorlaat: 100 mm, (4")
Huis: GGG40,
Spindel en klep: RVS 316,
Inbouwmaat: 127 mm
Zitting: BUNA-N,
max. werkdruk: 8 bar,
8 boutgaten van 18 mm / steekcirkel 180 mm
standaard approvals: Lloyds en DNV,
bouwlengte conform Alliander/Liander-standaard.</t>
  </si>
  <si>
    <t>Verloopspie 90 x 110 mm PVC-SV/CPE.</t>
  </si>
  <si>
    <t>Beproevingskap voor opzetstuk, Polsafe,
Materiaal: PVC-slagvast (CPE / PVC-A),
kleur: geel,
afmetingen: 1.1/2".</t>
  </si>
  <si>
    <t xml:space="preserve">Filterelement voor gas.
Afmetingen: Bu = 94 x Bi = 49 x L = 165 mm.
Filteroppervlakte = 0,15m2.
Metaaldelen: Geëpoxeerd staal
Filtermedium: Polyesternaaldvilt 3um / 570gram op gegalvaniseerd
staalgaas genaaid.
Verlijming: polyethaanhars
Afdichting: Vilt (4mm dik). Gastec-code: G-1.0. Merk, Golden Super
(GSF), type GS-5000.
</t>
  </si>
  <si>
    <t xml:space="preserve">Filterelement voor gas.
Afmetingen: Bu = 123 x Bi = 69 x L = 210 mm.
Filteroppervlakte = 0,25m2. Metaaldelen: Geëpoxeerd staal
Filtermedium: Polyesternaaldvilt 3um / 570gram op gegalvaniseerd
staalgaas genaaid.
Verlijming: polyethaanhars
Afdichting: Vilt (4mm dik). Gastec-code: G-1.5. Merk, Golden Super
(GSF), type GS-5002.
</t>
  </si>
  <si>
    <t xml:space="preserve">Filterelement voor gas.
Afmetingen: Bu = 168 x Bi = 86 x L = 260 mm.
Filteroppervlakte = 0,70m2.
Metaaldelen: Geëpoxeerd staal Filtermedium: Polyesternaaldvilt 3um /
570gr.  op gegalvaniseerd staalgaas genaaid.
Verlijming: polyethaanhars
Afdichting: Vilt (4mm dik). Gastec-code: G-2. Merk, Golden Super (GSF),
type GS-5006.
</t>
  </si>
  <si>
    <t>Drukregelaar met gasgebrekklep.
Aansluiting: driehoeksflens
Capaciteit (aardgas) = 12.5 m3/h
Pi max = 200 mbar
Pafslag = 15 mbar
Puit nom = 28 mbar.
Type WMRG-10-F, (19886).
Inclusief driehoekige flens-pakking met filter. (gAvilar nr 28405 /
Alliander nr 20035848).
Geheel als set tesamen verpakt. Huisdrukregelaar met B-klep,
combinatieregelaar, combiklep. Gele dop. Merk gAvilar.</t>
  </si>
  <si>
    <t xml:space="preserve">Gasdrukregelaar, merk: Sperryn. Type: G1000. Uitvoering: haaks.
Toegestane werkdruk: inlaatzijdig maximaal 200mbar, uitlaatzijdig ma
ximaal 150mbar. Voorzien aan in en uitlaatzijde van 1.1/4" gas binnendraad. Geschikt voor een omgevings temperatuur van -20°C tot
+60°C. Ingeregeld op een uitlaatdruk van +/- 30mbar. Capaciteit bij een
inlaatdruk van 100mbar en een uitlaatdruk van 30mbar is 66m3/h
</t>
  </si>
  <si>
    <t xml:space="preserve">Gasdrukregelaar, merk: Elster Jeavons. Type: J48. Uitvoering: haaks.
Toegestane werkdruk: inlaatzijdig maximaal 350mbar, uitlaatzijdig
maximaal 160mbar. Voorzien aan in en uitlaatzijde van 1.1/2" gas
binnendraad. Geschikt voor een omgevings temperatuur van -20°C tot
+70°C. Ingeregeld op een uitlaatdruk van +/- 30mbar.
</t>
  </si>
  <si>
    <t xml:space="preserve">Gasdrukregelaar, merk: Brian Donkin. Type: 226Mk3. Aansluiting
binnendraad 1.1/2".  Maximale inlaatdruk: 350mbar. Geschikt voor een
omgevings temperatuur van -20°C tot +60°C. Ingeregeld op een uitlaatdruk
van +/- 30mbar. Inbouwlengte 163mm. Capaciteit bij een inlaatdruk van
100mbar en een uitlaatdruk van 30mbar is 36m3/h.
</t>
  </si>
  <si>
    <t>Manometerkraan 1/2" BSP 2xbin.dr.
Manometerkraan (afsluiter),
messing,
bi-bi BSP 1/2" x BSP 1/2",
Druktrap: PN250.
Eriks, fig. 41.</t>
  </si>
  <si>
    <t xml:space="preserve">Flenspakking,
Materiaal: Aramidevezel met NBR,
geschikt voor gas,
DN  25, PN 10-40, 71 x 34 x 2 mm.
KLINGERSIL C-4400
</t>
  </si>
  <si>
    <t xml:space="preserve">Flenspakking,
Materiaal: Aramidevezel met NBR,
geschikt voor gas,
DN  32, PN 10-40, 82 x 43 x 2 mm.
KLINGERSIL C-4400
</t>
  </si>
  <si>
    <t xml:space="preserve">Flenspakking,
Materiaal: Aramidevezel met NBR,
geschikt voor gas,
DN  40, PN 10-40, 92 x 49 x 2 mm.
KLINGERSIL C-4400
</t>
  </si>
  <si>
    <t xml:space="preserve">Flenspakking,
Materiaal: Aramidevezel met NBR,
geschikt voor gas,
DN  50, PN 10-40, 107 x 61 x 2 mm.
KLINGERSIL C-4400
</t>
  </si>
  <si>
    <t xml:space="preserve">Flenspakking,
Materiaal: Aramidevezel met NBR,
geschikt voor gas,
DN  80, PN 10-40, 142 x 90 x 2 mm.
KLINGERSIL C-4400
</t>
  </si>
  <si>
    <t xml:space="preserve">Flenspakking,
Materiaal: Aramidevezel met NBR,
geschikt voor gas,
DN 100, PN 10-16, 162 x 115 x 2 mm.
KLINGERSIL C-4400
</t>
  </si>
  <si>
    <t xml:space="preserve">Flenspakking,
Materiaal: Aramidevezel met NBR,
geschikt voor gas,
DN 150, PN 10-16, 218 x 169 x 2 mm.
KLINGERSIL C-4400
</t>
  </si>
  <si>
    <t xml:space="preserve">Flenspakking,
Materiaal: Aramidevezel met NBR,
geschikt voor gas,
DN 200, PN 10-16, 273 x 220 x 2 mm.
KLINGERSIL C-4400
</t>
  </si>
  <si>
    <t xml:space="preserve">Flenspakking,
Materiaal: Aramidevezel met NBR,
geschikt voor gas,
DN 250, PN 10, 328 x 274 x 2 mm.
KLINGERSIL C-4400
</t>
  </si>
  <si>
    <t xml:space="preserve">Stopbus pakking. Merk Permatight. Diameter spindel 18 mm.
</t>
  </si>
  <si>
    <t>Stopbus pakking. Merk Permatight. Diameter spindel 22 mm.</t>
  </si>
  <si>
    <t xml:space="preserve">Stopbus pakking. Merk Permatight. Diameter spindel 30 mm.
</t>
  </si>
  <si>
    <t xml:space="preserve">Kit voor opvulling van holle ruimtes bij stalen leidingen en
hulpstukken, die beschermd worden met DENSOLEEN-wikkelband, samenstelli
ng plastische niet uithardende kit op basis van butylrubber.
</t>
  </si>
  <si>
    <t xml:space="preserve">Wikkelband Densoleen S10 30 mm voor de bescherming van stalen leidingen
en hulpstukken en voldoet aan de eisen volgens EN12068 en DIN30672,
klasse B50.Samenstelling een polyethyleen-folie als drager met aan beide
zijden een laag butylrubber grijs/zwart.
</t>
  </si>
  <si>
    <t>Wikkelband Densoleen S10 50 mm voor de bescherming van stalen leidingen
en hulpstukken en voldoet aan de eisen volgens EN12068 en DIN30672,
klasse B50.Samenstelling een polyethyleen-folie als drager met aan beide
zijden een laag butylrubber grijs/zwart.</t>
  </si>
  <si>
    <t>PVC isolatietape 19mm x 20m, kleur geel/groen, per stuk verpakt in een
kunststof box. Type Hellermann-Tyton HelaTape Flex 1000+. VDE
goedgekeurd volgens IEC 60454-3-1-7/F-PVCP/90. Primair isoleren tot 1
kV. All-weather, geschikt voor binnen en buitentoepassing.</t>
  </si>
  <si>
    <t>PVC isolatietape 19mm x 20m, kleur geel, per stuk verpakt in een
kunststof box. Type Hellermann-Tyton HelaTape Flex 1000+. VDE goedg
ekeurd volgens IEC 60454-3-1-7/F-PVCP/90. Primair isoleren tot 1 kV. All-weather, geschikt voor binnen en buitentoepassing.</t>
  </si>
  <si>
    <t>PVC isolatietape 19mm x 20m, kleur rood, per stuk verpakt in een
kunststof box. Type Hellermann-Tyton HelaTape Flex 1000+. VDE goedg
ekeurd volgens IEC 60454-3-1-7/F-PVCP/90. Primair isoleren tot 1 kV. All-weather, geschikt voor binnen en buitentoepassing.</t>
  </si>
  <si>
    <t>PVC isolatietape 19mm x 20m, kleur blauw, per stuk verpakt in een
kunststof box. Type Hellermann-Tyton HelaTape Flex 1000+. VDE goed
gekeurd volgens IEC 60454-3-1-7/F-PVCP/90. Primair isoleren tot 1 kV. All-weather, geschikt voor binnen en buitentoepassing.</t>
  </si>
  <si>
    <t>PVC isolatietape 19mm x 20m, kleur zwart, per stuk verpakt in een
kunststof box. Type Hellermann-Tyton HelaTape Flex 1000+. VDE goed
gekeurd volgens IEC 60454-3-1-7/F-PVCP/90. Primair isoleren tot 1 kV. All-weather, geschikt voor binnen en buitentoepassing.</t>
  </si>
  <si>
    <t xml:space="preserve">Hangslot Abus 65/40 40mm messing
Messing kast. Geharde en verchroomde beugel, automatisch sluitend met 2
vernikkelde cilindersleutels.
</t>
  </si>
  <si>
    <t xml:space="preserve">Lasbocht,
materiaal naadloze staal (St 35.8), volgens DIN 2605,
afmetingen: 33,7 x 2,6 mm, 90 graden, 5S,
klasse 1 volgens DIN 17175,
afgeschuind.
</t>
  </si>
  <si>
    <t xml:space="preserve">Lasbocht, materiaal staalsoort P235GH, volgens NEN EN 10027-1,
afmetingen: 219,1x4,5mm, 90 graden, 5D, volgens NEN EN 10253-2, afges
chuind, markering: charge,staalsoort en leverancier.
</t>
  </si>
  <si>
    <t xml:space="preserve">Zaalveger met steel Raltec cocos 50cm (ALL)
Zaalveger Raltec met steel Gelakte halfronde houten zaalveger met
kokosvulling. Breedte: 50 cm. Kleur: bruin.
</t>
  </si>
  <si>
    <t>Kabelschop S&lt;(&gt;&amp;&lt;)&gt;J gepolijst 280x150mm met opstap en steel
Type: 1043 TRD
Spade Spear &lt;(&gt;&amp;&lt;)&gt; Jackson voorzien van essen steel en met opstap.
Wordt
geleverd met steel. Blad maat: 280 x 150 mm.</t>
  </si>
  <si>
    <t>Tuinspade S&lt;(&gt;&amp;&lt;)&gt;J 22525 270x160mm gecoat met steel en opstap
Type: 1044 TRD
Spade Spear &lt;(&gt;&amp;&lt;)&gt; Jackson voorzien van essen steel en met opstap.
Wordt
geleverd met steel. Blad maat: 325 x 125 mm.</t>
  </si>
  <si>
    <t xml:space="preserve">Bats Streuding 000 255x210mm 100cm blank blank geh. gesl. halfgeb.
Bats (Drents model), met vlakke rand, gehard, geslepen en halfgebogen.
Essen steel met platte pen. Lengte steel: 100 cm. Bladmaat (lxb):
255x210 mm FID-000.
</t>
  </si>
  <si>
    <t xml:space="preserve">Asfalthark   817114  14T steel 170cm  versterkt
Tuinhark - Asfalthark ATLAS, 14 tanden, RECHT, met essen steel 170 x 2,9
cm.
</t>
  </si>
  <si>
    <t xml:space="preserve">Bokkenpoot Copenhagen Pro 23.128.35 35mm varkenshaar
</t>
  </si>
  <si>
    <t>Radiatorkwast 50mm gebogen;
Radiatorkwast copenhagen pro 2322120-2 recht plat.</t>
  </si>
  <si>
    <t xml:space="preserve">Kwast 299 nr.6 14mm wegwerp kunststof ve=12
Ronde wegwerpkwast met kunststof steel en zwart varkenshaar.
</t>
  </si>
  <si>
    <t xml:space="preserve">Kwast 299 nr.8 17mm wegwerp kunststof ve=12
Type: 609.  Ronde wegwerpkwast met kunststof steel en zwart varkenshaar.
</t>
  </si>
  <si>
    <t xml:space="preserve">Kwast 299 nr.12 22mm wegwerp kunststof steel VE=12
Rond, met kunststof steel en wit varkenshaar.
</t>
  </si>
  <si>
    <t xml:space="preserve">Handstaalborstel glad 4rij drd 0,3 rvs
Voorzien van houten heft met ophangoog.Met recht RVS staaldraad.Voor het
bewerken van RVS en aluminium.
</t>
  </si>
  <si>
    <t xml:space="preserve">Fohn 220V 2000W haaks; Heteluchtpistool Metabo HG20-600 80-600gr 2000W
in doos. Traploze temperatuurinstelling met een handige draaiknop.
Hoogwaardige keramische verwarming verwarmt het model tot een
temperatuur in het bereik van 80 ° C tot 600 ° C. Passend ontworpen
luchtinlaten koelen het Metabo heteluchtpistool effectief en vergroten
de bedieningsmogelijkheden.
Vermogen: 2000 W
Temperatuurbereik: 80 - 600 ° C
Luchtstroom: 150/300/500 l / min
Aantal luchttemperatuurniveaus: 3
Kabellengte: 2,2 m
Gewicht: 0,6 kg
EAN; 4061792186057.
</t>
  </si>
  <si>
    <t xml:space="preserve">Kitpistool stopaq (All)
Kitpistool compleet
Set bestaande uit:
- Kitpistool
- Rager
- Plamuurmes
- Koppeling PVC met 2x 3/4""buitendraad
- Bocht PVC 45 graden, PN 1.0, Diam. 25, binnendraad 3/4""
- Inschroefkop grijs
- Inschroefkop met slang
- 5 inschroefkoppen
&lt;(&gt;&lt;&lt;)&gt;commerciele tekst nog niet volledig gezien oorspronkelijke spec&gt;
</t>
  </si>
  <si>
    <t>Purschuim 700 ml; Purschuim Zwaluw PU-Gunfoam 700ml Licht Groen NBS /
doseerbaar stk.</t>
  </si>
  <si>
    <t xml:space="preserve">Lekzoekpasta bus 1kg (ALL)
Lekzoekpasta In water oplossen, de te controleren verbindingen
besproeien, een sterke schuimvorming maakt zelfs de kleinste
haarscheurtjes zichtbaar. Verdunning: 1:400. Indicator: Irriterend.  Bus
a 1 kg.
</t>
  </si>
  <si>
    <t xml:space="preserve">Flesje voor lekzoekspray fl=0,5ltr.
Oliekan van polyethyleen voorzien van uittrekbare koperen tuit en
klemmoer. Type: 6-866
Inhoud: 500 ml.
</t>
  </si>
  <si>
    <t xml:space="preserve">Bankschroef Heuer 100 120mm
Geheel uit staal gesmeed. Gegarandeerd onbreekbaar. Gekartelde
spanbekken met gehard oppervlak. Standaard uitgevoerd met aangesmede,
geharde pijpenklem. De grote, vierzijdig, bewerkte geleidebanen
garanderen precisie en lange levensduur.
</t>
  </si>
  <si>
    <t xml:space="preserve">Pincet Gedore 720 150mm gebogen
met gebogen punten glansvernikkeld
</t>
  </si>
  <si>
    <t xml:space="preserve">Bi-Metaal Thermometer 0-200grd 63mm 1/2x300mm (ALL)
Bi-metaal Insteekthermometer  Bereik: 0-200°C Diameter: 63mm  Afmeting:
1/2""x300mm.
</t>
  </si>
  <si>
    <t>KABELKRUIS HOUT</t>
  </si>
  <si>
    <t xml:space="preserve">Jerrycan 10l wit polyethyleen tbv water met kraan
Geschikt voor levensmiddelen en drinkwater. UV - bescherming.
</t>
  </si>
  <si>
    <t>Gereedschapskist Raaco Compact 47 pp 7-bakjes 540x300x295
Type: Compact 47.
Uitvoering: polypropyleen, antraciet kleurig.
Flexibele indeling m.b.v. meegeleverde inzetbakjes.
Afsluitbaar deksel en twee laden voor kleine onderdelen.
Mogelijkheid om draagriem of wielen te bevestigen.
Afmetingen (l x b x h): 540 x 300 x 295 mm.</t>
  </si>
  <si>
    <t>Kabellastent TWU 250PZ 250cm karsten (ALL)
Type: 250PZ Kabellastent  Afmeting tent: 2.50 x 2.00 x 1.90 meter
 Afmeting verpakt: 1.75 x 0.30 x 0.30 meter  Gewicht: 13.5 kg. Deze
Karsten punttent is uitgevoerd met in-/uitgang aan zowel de voor- als
achterzijde. Door beide zijden volledig open te ritsen is de tent
eventueel ook nog breder uit te zetten om een droge werkplek te creëren.
De tent is in enkele seconden op te zetten en het frame zit aan het
tentdoek vast zodat het zoekraken van onderdelen onmogelijk is.  De
aluminium scharnierplaten waar de stokken in samenkomen zijn van de
beste kwaliteit en deze werktent wordt in een luxe draagtas met
schouderband geleverd.</t>
  </si>
  <si>
    <t xml:space="preserve">Lasparasol Cepro d220cm groen incl. draagtas
Lasparasol Ø 220 cm  CEPRO lasparasols zijn speciaal ontwikkeld voor
werkzaamheden in de open lucht. Ze zijn speciaal ontwikkeld als
tijdelijke afscherming van de werkplek in de buitenlucht. CEPRO
lasparasols worden gemaakt van een speciaal doek, dat alle
weersinvloeden kan weerstaan.   10 ribben, lengte ± 110 cm De uiteinden
van de ribben zijn voorzien van metalen beschermhulzen Voorzien van
kantelmechanisme Mast in 2 delen, lengte 220 cm Diameter mast 28 mm Doek
is waterafstotend en vlamwerend, gewicht ± 350 gr/m² Bovenzijde is
voorzien van een windvanger Draagtas is inbegrepen Kleur: groen
</t>
  </si>
  <si>
    <t xml:space="preserve">Ragebol RALTEC bruin cocos
Ongelakte ragebol met kokosvulling. Kleur: bruin.   Bijbehorende stelen:
(bezem)steel 1200x24mm Tauari (A197670)  (bezem)steel 1500x28mm Tauari
(A197672)  (bezem)steel 1700x28mm Tauari (A241435)
</t>
  </si>
  <si>
    <t xml:space="preserve">Handstoffer RALTEC 29cm bruin ongelakt, plat, kokos
Ongelakte uitvoering met kokos haar specifiek voor gladde oppervlakken.
Lengte: 29 cm.
</t>
  </si>
  <si>
    <t>Stofblik Vero 55784 groen kunststof
Type: 55784
Groot kunststof blik
Met steelklem.
Uitvoering met rubber lip
Kleur: groen
Afmeting 295x410x105 mm.</t>
  </si>
  <si>
    <t xml:space="preserve">PAPIERROL MINI TORK
Poetsrol Tork Mini 100130 22cm x120mtr wit 1-laags ds a 11 rol/st
</t>
  </si>
  <si>
    <t>PAPIERROLHOUDER MINI TORK 300080</t>
  </si>
  <si>
    <t xml:space="preserve">Dispenser Stoko Mat Vario RVS gelakt wit
Dispenser Stoko Mat Vario Materiaal: roestvrijstaal, wit gelaagd
Geschikt voor alle Stoko softflessen van 1000 ml en 2000 ml Eenvoudige
bediening en bijvulling
</t>
  </si>
  <si>
    <t>Handzeep 2ltr RH  #Stoko Solopol Classic; Handreinigingscrème zonder
oplosmiddel en handreinigingspastas voor sterke tot zeer sterke
vervuilingen van bijv. olie, vet roet, grafiet, metaalstof,
smeermiddelen.
Type: Stoko Solopol softbox.
Eigenschappen:
- Sterke reinigingskracht.
- Klassiek product met bewezen reinigingssysteem.
- Met schuurkorrel Astopon® (veredeld walnootschaalmeel)
- Met huidbeschermende stof Eucornol®, aloë vera en huidverzorgende
bestanddelen. Laat een aangenaam huidgevoel na.
 Inhoud: softbox à 2000 ml.</t>
  </si>
  <si>
    <t xml:space="preserve">Bouwemmer 12l zwart PE
Materiaal: polyethyleen.  Met metalen beugel en maatverdeling.   Inhoud:
12 liter.
</t>
  </si>
  <si>
    <t xml:space="preserve">Dekkleed Raltec 4x6mtr blauw pe
Voor het beschermen van bouwmaterialen tegen weersinvloeden. Rotvrij en
goed bestand tegen chemicaliën. De randen zijn dubbel geslagen, gestikt
en voorzien van ringen.
</t>
  </si>
  <si>
    <t>Zak blauw 80*110cm (rol=20zak) HDPE.
Afvalzak HDPE T25 80x110cm
1 rol is 20 zakken.
Art. nr leverancier is 132714.</t>
  </si>
  <si>
    <t>Hamerboor Raltec GK-009 5x160mm SDS+ 2-snijder</t>
  </si>
  <si>
    <t xml:space="preserve">Hamerboor Raltec GK-009 12x160mm SDS+ 2-snijder
</t>
  </si>
  <si>
    <t>Hamerboor Raltec GK-009 14x160mm SDS+ 2-snijder</t>
  </si>
  <si>
    <t>Hamerboor Raltec GK-009 16x210mm SDS+ 2-snijder</t>
  </si>
  <si>
    <t xml:space="preserve">Hamerboor Raltec GK-009 18x210mm SDS+ 2-snijder
</t>
  </si>
  <si>
    <t>Betonboor 20,0x210mm 2-snijder SDS+; Hamerboor Raltec S 20,0x210mm
2-snijder.</t>
  </si>
  <si>
    <t>Hamerboor Raltec GK-009 25x250mm SDS+ 2-snijder</t>
  </si>
  <si>
    <t>Hamerboor RALTEC SDS MAX 35.0x520mm 4-snijder
Raltec hamerboor SDS MAX 4-snijder.
Afmeting: 35.0 x 520 mm.
Per stuk met ophangclip.</t>
  </si>
  <si>
    <t xml:space="preserve">Hamerboor Rex 49655551 55x390/550mm rex49655551 SDS-max
BIG-max Hamerboor Voor het nauwkeurig boren van diepe gaten; ook op
moeilijk bereikbare plaatsen. Toepassing: beton, metselwerk, marmer,
klinkers Verpakking: transparante kunststof koker met ophangoog
Aansluiting: SDS Max Diameter: 55mmLengte: 390 / 550mm
</t>
  </si>
  <si>
    <t xml:space="preserve">Hamerboor Rex 49665551 65x390/550mm rex49655551 SDS-max
BIG-max Hamerboor Voor het nauwkeurig boren van diepe gaten; ook op
moeilijk bereikbare plaatsen. Toepassing: beton, metselwerk, marmer,
klinkers Verpakking: transparante kunststof koker met ophangoog
Aansluiting: SDS Max Diameter: 65mmLengte: 390 / 550mm
</t>
  </si>
  <si>
    <t xml:space="preserve">Speedboor Irwin 30x157mm
Voor hout en lichte bouwmaterialen. Zeer gemakkelijk te geleiden dankzij
de zelfcentrering en geslepen voorsnijders. Aansluiting: zeskant 6 mm.
</t>
  </si>
  <si>
    <t>Machinetap International DIN 371 3mm HSS (ALL)
DIN 371
60°
Verdikte schacht
Met schilaansnijding voor doorlopende gaten
Aansnijding 4-6 gangen
Spaanhoek 14-16°.</t>
  </si>
  <si>
    <t>Machinetap International DIN 371 4mm HSS (ALL)
DIN 371
60°
Verdikte schacht
Met schilaansnijding voor doorlopende gaten
Aansnijding 4-6 gangen
Spaanhoek 14-16°.</t>
  </si>
  <si>
    <t>Machinetap International DIN 371 5mm HSS (ALL)
DIN 371
60°
Verdikte schacht
Met schilaansnijding voor doorlopende gaten
Aansnijding 4-6 gangen
Spaanhoek 14-16°.</t>
  </si>
  <si>
    <t>Machinetap International DIN 371 6mm HSS (ALL)
DIN 371
60°
Verdikte schacht
Met schilaansnijding voor doorlopende gaten
Aansnijding 4-6 gangen
Spaanhoek 14-16°.</t>
  </si>
  <si>
    <t>Machinetap International DIN 371 8mm HSS (ALL)
DIN 371
60°
Verdikte schacht
Met schilaansnijding voor doorlopende gaten
Aansnijding 4-6 gangen
Spaanhoek 14-16°.</t>
  </si>
  <si>
    <t>Machinetap International DIN 371 10mm HSS (ALL)
DIN 371
60°
Verdikte schacht
Met schilaansnijding voor doorlopende gaten
Aansnijding 4-6 gangen
Spaanhoek 14-16°.</t>
  </si>
  <si>
    <t>Machinetap International DIN 371 12mm HSS (ALL)
DIN 376
60°
Verdikte schacht
Met schilaansnijding voor doorlopende gaten
Aansnijding 4-6 gangen
Spaanhoek 14-16°.</t>
  </si>
  <si>
    <t>Machinetap International DIN 371 16mm HSS (ALL)
DIN 376
60°
Verdikte schacht
Met schilaansnijding voor doorlopende gaten
Aansnijding 4-6 gangen
Spaanhoek 14-16°.</t>
  </si>
  <si>
    <t>Machinetap International DIN 371 20mm HSS (ALL)
DIN 376
60°
Verdikte schacht
Met schilaansnijding voor doorlopende gaten
Aansnijding 4-6 gangen
Spaanhoek 14-16°.</t>
  </si>
  <si>
    <t xml:space="preserve">Wringijzer nr. 1.5 M1-M12
Verstelbare houder voor handtappen en handruimers.
</t>
  </si>
  <si>
    <t xml:space="preserve">Wringijzer nr. 3 M5-M20
Verstelbare houder voor handtappen en handruimers.
</t>
  </si>
  <si>
    <t xml:space="preserve">Afbraamschijf Flexovit A30S-BF27 230x7x22 Staal/RVS verdiept centrum
Geschikt voor: staal, RVS. Voordelen: ijzer-, zwavel- en chloorvrij,
universeel toepasbaar.
</t>
  </si>
  <si>
    <t xml:space="preserve">Hoefrasp klein (ALL)
Type: 6-344-10-2-2 Handrasp Vijlhecht ontwikkeld volgens het
wetenschappelijk  ERGO™ proces Voor het bewerken van hout, multiplex,
wandplaatmateriaal, kunststof en andere zachte materialen Vorm: plat,
blokmodel, alle kanten evenwijdig lopend Boven- en onderkant raspkap,
eén zijkant enkele kap Kap type: half-zoet Afmeting: 250x25.0mm
</t>
  </si>
  <si>
    <t xml:space="preserve">Schraapstaal Gedore 132 150mm 3-kant
Type: Gedore Lagerschraper Hol 132-150 150MM  Omschrijving:  · vlgs. DIN
8350 vorm C · van speciaal staal · werkvlakken geslepen · met houten
greep · dmv stalen ring geborgde kling
</t>
  </si>
  <si>
    <t xml:space="preserve">Vijl Bahco 1-100-10-3-3 10"/250mm blok zoet met hecht
Vijl Bahco 1-100-10-3-3 10"/250mm blok zoet met hecht
</t>
  </si>
  <si>
    <t xml:space="preserve">Vijl Bahco 1-100-10-1-2 10"/250mm blok basterd met hecht blok basterd
met hecht.
Hand/blokvijl met Ergonomisch hecht, dubbel gekapt, basterd met hoge
verspaningscapaciteit op vele metalen.
</t>
  </si>
  <si>
    <t xml:space="preserve">Vijl Bahco 1-210-10-1-3 10"/250mm halfrond basterd met hecht
Halfrondevijl met Ergonomisch hecht, dubbel gekapt, met hoge
verspaningscapaciteit op vele metalen.
</t>
  </si>
  <si>
    <t xml:space="preserve">Vijl Bahco 1-230-10-1-2 10"/250mm rond basterd met hecht
Ronde vijl of rattestaart zonder hecht, dubbel gekapt, met hoge
verspaningscapaciteit op vele metalen.
</t>
  </si>
  <si>
    <t xml:space="preserve">Vijl Bahco 1-230-12-1-2 12"/300mm rond basterd met hecht
Hand/blokvijl met Ergonomisch hecht, dubbel gekapt, basterd met hoge
verspaningscapaciteit op vele metalen.
</t>
  </si>
  <si>
    <t xml:space="preserve">Snoeizaag Bahco 4212-14-6T 360mm 6tpi naslijpbaar
Snoeizaag voor droog en hard hout.Gebogen zaagblad, geslepen
vertanding.Comfortabele, sterke  beukenhouten greep.Naslijpbaar.
</t>
  </si>
  <si>
    <t xml:space="preserve">Metaalzaagblad Bahco 3906 300mm 24tpi HSS vpe=10/100
Type: 3906   Voor handzaagbeugel 12”.  Bi-metaal, dus praktisch
onbreekbaar Versplintert niet en is geschikt voor het zagen van allerlei
staalsoorten Lange standtijd Extreem hoge verspaningscapaciteit en
slijtvastheid Precisie geslepen tanden  Lengte: 300 mm.  Breedte: 13 mm.
Dikte: 0,65 mm.  Tandsteek: T24.
</t>
  </si>
  <si>
    <t xml:space="preserve">Koudbeitel KS-Tools 1620195 31x400mm
Type: 162.0195 Metselaarsbeitel 31x400mm  DIN 7254 Form A  vlak-ovaal
model naslijpbare snijvlakken  werkvlakken gehard  schacht goudkleurig
gelakt  blank geslepen Chroom-Molybdeen
</t>
  </si>
  <si>
    <t xml:space="preserve">Steekbeitel Bahco 424P 10mm 2-K hecht
Professionele steekbeitel met tweecomponentengreep voor maximale
controle en gebruiksgemak. Preciesiegeslepen voor maximale scherpte.
Gehard en ontlaten voor lange levensduur. Gewet, dus klaar voor gebruik.
</t>
  </si>
  <si>
    <t xml:space="preserve">Steekbeitel Bahco 424P 16mm 2-K hecht
Professionele steekbeitel met tweecomponentengreep voor maximale
controle en gebruiksgemak. Preciesiegeslepen voor maximale scherpte.
Gehard en ontlaten voor lange levensduur. Gewet, dus klaar voor gebruik.
</t>
  </si>
  <si>
    <t xml:space="preserve">Steekbeitel Bahco 424P 22mm 2-K hecht
Professionele steekbeitel met tweecomponentengreep voor maximale
controle en gebruiksgemak. Preciesiegeslepen voor maximale scherpte.
Gehard en ontlaten voor lange levensduur. Gewet, dus klaar voor gebruik.
</t>
  </si>
  <si>
    <t xml:space="preserve">Reservemes Stanley 1992 0-11-921 62mm blister a 5stuks
Sterk mesje, geschikt voor zwaar snijwerk, zoals tapijten, vinyl,
etcetera.Verpakt per 5 stuks op een kaart.
</t>
  </si>
  <si>
    <t>Sleutel v indraaien draadeinden (M6-M12) Draadeindsleutel Gedore 3171.
M6, M8, M10, M12.</t>
  </si>
  <si>
    <t>Draadstriptang Stripax 0,08-10mm2
Weidmuller stripax 16 draadstriptang   Geen aderbeschadigingen door het
zelf- instellende speciale stripmes systeem Automatisch openen na het
strippen Lange levensduur Geen splijting van de individuele aders
Afneembaar handvat voor optimale ergonomie.  Uitklapbare bescherming van
het snijgedeelte, veiligheid voorop.  Persoonlijke markering, voor
duidelijke herkenning Eenvoudig mes omwissel systeem met apart leverbare
reserve messensets.  Optimale deel-strip mogelijkheid, ter bescherming
van de aders.   Strippen van 6 mm2 tot en met 16 mm2 Striplengte tot 25
mm.  Lengte: 190 mm Gewicht: 175 g.</t>
  </si>
  <si>
    <t xml:space="preserve">Borgringtang Gedore 8000 J2 19-60mm inwendig recht
• tbv borgringen vlgs. DIN 472, DIN 984  DIN 5256 vorm C  rechte punten
gesmeed  chroom-vanadium temperstaal  nauwkeurig bewerkt, oliegehard en
ontlaten  zwart, greep blauw kunststof overtrokken
</t>
  </si>
  <si>
    <t xml:space="preserve">Borgringtang Gedore 8000 A2 19-60mm uitwendig, recht
• tbv borgringen vlgs. DIN 471, DIN 983  DIN 5254 vorm A  rechte punten
met openingsveer  met beveiliging ter voorkoming van beknelde handen
gesmeed  chroom-vanadium temperstaal  nauwkeurig bewerkt, oliegehard en
ontlaten  zwart, greep rood kunststof overtrokken
</t>
  </si>
  <si>
    <t xml:space="preserve">Buigtang Ridgid 410M 10mm
Ontworpen voor het buigen van koper, staal en roestvaststaal tot 180°.
Heeft een unieke luchtabsorptieschoen om de buiginspanning tot een
minimum te beperken. Ver uit elkaar staande ergonomische handgrepen.
Capaciteit 10mm.
</t>
  </si>
  <si>
    <t xml:space="preserve">Pijpenbuiger Wisent 241011 15mm met slede, radius 45mm
Perfect buigresultaat door hoogwaardige stalen buigdelen en zeer
nauwkeurige geleiding met slede. Degelijke afwerking dus lange
levensduur. Bij vakkundig gebruik onbeperkte garantie. Geschikt voor het
buigen van koperen pijp.
</t>
  </si>
  <si>
    <t xml:space="preserve">Pijpenbuiger Wisent 240929 22mm met slede radius 87mm
Perfect buigresultaat door hoogwaardige stalen buigdelen en zeer
nauwkeurige geleiding met slede. Degelijke afwerking dus lange
levensduur. Bij vakkundig gebruik onbeperkte garantie. Geschikt voor het
buigen van koperen pijp.
</t>
  </si>
  <si>
    <t xml:space="preserve">Pijptang Knipex 8310 1"-310mm zweeds 90gr.
Type: 83 10 010 Uitvoering: tang rood poedergecoat  Zweedse vorm  90°
gebogen bek  Tegen de draairichting in geplaatste tanden  Tanden extra
inductief gehard  Bubbele T-profielgreep  Tegen verlies gewaarborgde
stelmoer  Rood poedergelakt, bekken glad geslepen  Chroom-vanadium-
elektrostaal, gesmeed, oliegehard   Spanwijdte: 42mm Lengte: 310mm
</t>
  </si>
  <si>
    <t xml:space="preserve">Pijptang Knipex 8310 1,5"-420mm zweeds 90gr.
Type: 83 10 015 Uitvoering: tang rood poedergecoat  Zweedse vorm  90°
gebogen bek  Tegen de draairichting in geplaatste tanden  Tanden extra
inductief gehard  Bubbele T-profielgreep  Tegen verlies gewaarborgde
stelmoer  Rood poedergelakt, bekken glad geslepen  Chroom-vanadium-
elektrostaal, gesmeed, oliegehard   Spanwijdte: 60mm Lengte: 420mm
</t>
  </si>
  <si>
    <t xml:space="preserve">Pijptang Knipex 8310 2"-560mm zweeds 90gr.
Type: 83 10 020 Uitvoering: tang rood poedergecoat  Zweedse vorm  90°
gebogen bek  Tegen de draairichting in geplaatste tanden  Tanden extra
inductief gehard  Bubbele T-profielgreep  Tegen verlies gewaarborgde
stelmoer  Rood poedergelakt, bekken glad geslepen  Chroom-vanadium-
elektrostaal, gesmeed, oliegehard   Spanwijdte: 70mm Lengte: 560mm
</t>
  </si>
  <si>
    <t xml:space="preserve">Pijptang Knipex 8310 3"-650mm zweeds 90gr.
Type: 83 10 030 Uitvoering: tang rood poedergecoat  Zweedse vorm  90°
gebogen bek  Tegen de draairichting in geplaatste tanden  Tanden extra
inductief gehard  Bubbele T-profielgreep  Tegen verlies gewaarborgde
stelmoer  Rood poedergelakt, bekken glad geslepen  Chroom-vanadium-
elektrostaal, gesmeed, oliegehard   Spanwijdte: 110mm Lengte: 650mm
</t>
  </si>
  <si>
    <t>Pijpsnijder Ridgid 246 50-150mm gietijzerpijp met ketting v gietijzer
Type: 246L
Ridgid kettingtang
Bereik: 50-150mm
Geschikt voor: gietijzer (GY) pijp
TANG KETTING KNIP 50-150 MM V GY-PIJP</t>
  </si>
  <si>
    <t xml:space="preserve">Rolkettingtang Lovink (ALL)
Rolkettingtang tbv Lovink-moffen.
</t>
  </si>
  <si>
    <t xml:space="preserve">Buigtang Gedore 8120JC 160mm plat 2-K greep
• met korte bekken, grijpvlakken gekarteld  volgens DIN ISO 5745
temperstaal vlgs. DIN EN 10083, olie gehard
</t>
  </si>
  <si>
    <t xml:space="preserve">Telefoontang Gedore 8132JC 200mm 2-K greep
Type: 8132JC half-ronde bekken, grijpvlakken recht  volgens DIN ISO 5745
inductief geharde precisie-snijvlakken, snijvlakken gehard tot 61-63 HRC
temperstaal vlgs. DIN EN 10083, olie gehard 2-componenten-grepen met
stroeve handbescherming
</t>
  </si>
  <si>
    <t xml:space="preserve">Telefoontang Gedore 8132ABJC 200mm 2-K greep gebogen
Type: 8132ABJC Half-ronde bekken, grijpvlakken gebogen  volgens DIN ISO
5745  inductief geharde precisie-snijvlakken, snijvlakken gehard tot 61-
63 HRC  temperstaal vlgs. DIN EN 10083, olie gehard 2-componenten-grepen
met stroeve handbescherming
</t>
  </si>
  <si>
    <t xml:space="preserve">Waterpomptang Knipex 8701 300mm PVC bekleed Cobra
Gepolijst, met anti-slip kunststof bekleed. Instelling door druk op de
knop direct op het werkstuk: snel en eenvoudig te hanteren. De fijne
verstelling maakt het mogelijk de tang aan te passen aan de meest
uiteenlopende afmetingen van werkstukken,prettige stand van de
handgrepen. Het scharnier is gemakkelijk te verstellen waarna een
gegarandeerde verbinding tot stand komt. Hoge stabiliteit dankzij
dubbele geleiding. Zelfklemmend op buizen en moeren: glijdt niet van het
werkstuk af en werkt krachtbesparend. Grijpvlakken met speciaalgeharde
tanden, hardheid van de tanden ca. 61 HRC: steeds weer veilig grijpen
dankzij hoge slijtvastheid. Met één hand verstelbaar. Klembeveiliging
verhindert verwondingen. Gunstige hefboomwerking:
optimalekrachtoverbrenging. Chroom-vanadium-elektrostaal, gesmeed,
oliegehard. Bijzonder grote capaciteit om te grijpen. Goede toegang to
het werkstuk. Hoge belastbaarheid en slanke vrm. Capaciteit
2.3/4""/60mm. 30 instelposities.  "
</t>
  </si>
  <si>
    <t>Waterpomptang Knipex 8701 400mm PVC bekleed Cobra
gepolijst, met kunststof bekleed. Pijp- en waterpomptang in één.
Zelfklemmend op buizen en moeren: glijdt niet van het werkstuk af en
werkt krachtbesparend.  Snelle en precieze instelling, direct op het
werkstuk.  Geen onbedoelde verstelling mogelijk.  Geen doorschieten van
het scharnier.  Fijnverstelling.  Optimale hefboomwerking.  In veel
situaties als schroefsleutel inzetbaar.  Grijpvlakken met
speciaalgeharde tanden, hardheid van de tanden ca. 61 HRC:  Steeds weer
veilig grijpen dankzij hoge slijtvastheid.  Chroom-vanadium-
elektrostaal, gesmeed, oliegehard.  Capaciteit voor buizen tot 3 1/2""
bij een lengte van een 1 1/2""-pijptang. 20% minder gewicht dan
vergelijkbare pijptangen.  Capaciteit op moeren 95mm. 27 instelposities.</t>
  </si>
  <si>
    <t xml:space="preserve">Zijkniptang Gedore 8316JC 200mm 2-K greep
Type: 8316JC Verchroomd, met 2-componenten handgrepen.  Amerikaans
model. Voor piano draad. Inductief gehard tot 64HRC, geharde preciesie-
snijvlakken. Capaciteit 2mm
</t>
  </si>
  <si>
    <t xml:space="preserve">Pijpsnijdermes Ridgid E-4546
Snijwiel voor roestvaststaal Voor ridgid pijpsnijders type 105, 150,
131, 151, 131P, 151P, 132, 152, 132P, 152P, 153, 153P, 205 en 205S en 20
</t>
  </si>
  <si>
    <t xml:space="preserve">Pijpsnijder Ridgid 30S 32950 25-79mm (ALL)
Pijpsnijder Ridgid 32950 25-79mm Ontworpen voor het afkorten van
koperen, messing, aluminium endunwandige stalen buizen. Met een
aanzetspindel voor een lange levensduur en stevigheid."
</t>
  </si>
  <si>
    <t xml:space="preserve">Pijpsnijdermes Ridgid 33175 25-79mm v pijpensnijder voor 32950 (30S)
Reservermes voor Ridgid 32950 pijpensnijder (A350976) Bereik: 25 - 79 mm
(1 - 3.1/8 inch)  Geschikt voor: Staal en Roestvaststaal
</t>
  </si>
  <si>
    <t xml:space="preserve">Pijpsnijdermes Ridgid E-3469
Snijwiel voor koper en aluminium Voor ridgid pijpsnijders type 101,
118,103, 104, 117, 105, 150, 131, 151, 131P, 151P, 132, 152, 132P, 152P,
153, 153P, 205 en 205S
</t>
  </si>
  <si>
    <t xml:space="preserve">Snijmoer Dormer F202 M8 HSS
HSS, rechtse draad, metrisch fijn. Voor het handmatig opzuiveren van
schroefdraad.DIN 382.
</t>
  </si>
  <si>
    <t xml:space="preserve">Snijmoer Dormer F202 M10 HSS
HSS, rechtse draad, metrisch fijn. Voor het handmatig opzuiveren van
schroefdraad.DIN 382.
</t>
  </si>
  <si>
    <t xml:space="preserve">Boutenschaar KS-Tools 1180124 600mm.
</t>
  </si>
  <si>
    <t xml:space="preserve">Betonschaar groot 900mm.
Boutenschaar vervaardigd uit Chroon-vanadium staal. Voorzien van
verwisselbare messen en nastelbaar door middel van excentrische ste
lbouten. Maximale snijcapaciteit 48 HRC.
Maximale snijdiameter: 9 mm.
Lengte: 900 mm.
Type: 8178.
</t>
  </si>
  <si>
    <t xml:space="preserve">Combischaar Kukko 190mm (ALL)
</t>
  </si>
  <si>
    <t xml:space="preserve">Lijmklem Bessey GZ20 20cm draaihandvat
20 % meer spankracht per spindelomwenteling door geoptimaliseerd profiel
De best mogelijke veiligheid door rechtlijnige krachtoverbrenging op de
glijbeugel Spankracht tot 5.500 N Veredelde glij- en vaste beugel voor
verend en elastisch spannen Ergonomisch gevormde houten handgreep
Spanwijdte 20cm Spandiepte 10cm Profiel 22x8,5mm
</t>
  </si>
  <si>
    <t xml:space="preserve">Kabelbinderspantang 2,5-4,8mm transparant
Voor kabelbinderbreedte 2,5-4,8 mm.
</t>
  </si>
  <si>
    <t xml:space="preserve">Pijpsleutelset Gedore KD26R 120 6-32mm 15 delig
Uitvoering: verchroomd. Uit stalen pijp gesmeed, vervolgens gehard.
Compleet met wringstaven 26RS 1,2,3. 15-delig. inhoud: 6x7, 8x9, 10x11,
12x13, 14x15, 16x17, 18x19, 20x22, 21x23, 24x27, 25x28 en 30x32mm.
</t>
  </si>
  <si>
    <t xml:space="preserve">Dopsleutel Gedore 19 1/2"-21mm 6-kant
• uitvoering volgens DIN 3124, ISO 2725-1  binnenvierkantaandrijving
volgens DIN 3120 - C 12,5, ISO 1174, met kogelvangsleuf  voor
handgebruik, rand gekarteld  -vanadium staal 31CrV3, fijn geslepen,
verchroomd  * niet genormeerd
</t>
  </si>
  <si>
    <t xml:space="preserve">Dopsleutel Gedore 19 1/2"-22mm 6-kant
• uitvoering volgens DIN 3124, ISO 2725-1  binnenvierkantaandrijving
volgens DIN 3120 - C 12,5, ISO 1174, met kogelvangsleuf  voor
handgebruik, rand gekarteld  -vanadium staal 31CrV3, fijn geslepen,
verchroomd  * niet genormeerd
</t>
  </si>
  <si>
    <t xml:space="preserve">Dopsleutel Gedore 32 3/4"-41mm 6-kant
• uitvoering vlgs. DIN 3124, ISO 2725-1  binnenvierkantaandrijving
volgens DIN 3120 - D 20, ISO 1174, met stiftborging  voor handgebruik,
rand gekarteld  -vanadium staal 31CrV3, geslepen, verchroomd  * niet
genormeerd
</t>
  </si>
  <si>
    <t xml:space="preserve">Verloopstuk Gedore 1932 1/2-3/4" bi-bu
Type: 1932 Verloopt van 1/2"" binnen naar 3/4"" buiten."
</t>
  </si>
  <si>
    <t xml:space="preserve">Inbussleutelset Gedore SCL42-70 2,5-10mm 7-delig zakmes
Voor binnenzeskantschroeven. Stabiele metalen houder, zakmesmodel. 7-
delig inhoud: 42-2,5, 3, 4, 5, 6, 8 en 10mm.
</t>
  </si>
  <si>
    <t xml:space="preserve">Inbussleutel Gedore 42 14mm verchroomd
Voor binnenzeskantschroeven. Chroom vanadium verchroomd.
</t>
  </si>
  <si>
    <t xml:space="preserve">Inbussleutelset Gedore 49-09A 5/64-3/8" 9-delig etui
Voor binnenzeskantschroeven. In blauw kunststof etui. 9-delig:42-5/64-
3/32-1/8-5/32-3/16-7/32-1/4-5/16-3/8".
</t>
  </si>
  <si>
    <t xml:space="preserve">Type: 151.8033
Inbussleutel stift T-model 3x100/150mm; Inbussleutel T-Greep
stiftsleutel voor binnenzeskant-schroeven (inbus), voorzien van 2-compo
nenten greep, volledig gehard, punt gebruineerd, hoogglans verchroomd en vervaardigd uit speciaalstaal. (Gedore, Type: 2142T)
</t>
  </si>
  <si>
    <t xml:space="preserve">Inbussleutel 4x150/180mm,
T-greep voor binnenzeskantschroeven.
T-greep met ophangoog, voorzien van:
- twee componenten handgreep,
- volledig gehard,
- punt gebruineerd,
- hoogglans verchroomd
- vervaardigd uit speciaalstaal.
Lengte exclusief handvat 150mm
(inclusief 180mm) (KS-tools, type 151.8034)
</t>
  </si>
  <si>
    <t xml:space="preserve">Moersleutel Bahco 8075 18", 0-53mm gefosfateerd
Bahco verstelbare moersleutel. Zweeds kwaliteitsstaal.Gefosfateerd.
Slanke bekken.Even sterk in beide richtingen.Met schaalverdeling in mm.
</t>
  </si>
  <si>
    <t xml:space="preserve">Kniesleutel Gedore 34 8x9mm
Met dunwandige twaalfkant dopsleutels Middenstuk met gaten voor
wringstaven Extra groot zwenkbereik.
</t>
  </si>
  <si>
    <t xml:space="preserve">Afsluitersleutel water (ALL)
</t>
  </si>
  <si>
    <t>SLEUTEL DIENSTKRAAN WATER CONISCH VIERKANT</t>
  </si>
  <si>
    <t xml:space="preserve">Sleutel afsluiter gas (ALL)
</t>
  </si>
  <si>
    <t xml:space="preserve">Kruissleutel Alliander tbv lichtmasten/sectiekast (ALL)
</t>
  </si>
  <si>
    <t xml:space="preserve">Kruissleutel Alliander tbv lichtmasten (ALL)
Lemp kruissleutel
Geschikt voor lichtmasten
</t>
  </si>
  <si>
    <t xml:space="preserve">Blaas Kleiss nr3 120-170mm tbv MSD-500 (ALL)
Balafsluiter (gasblaas), nr. 3 voor Kleiss P3-systeem (gasloos aanboren)
Type: Kleiss MDS-500-3D1b.  Tbv: zakpijp: nr.2  Opzetstuk: 2"
</t>
  </si>
  <si>
    <t xml:space="preserve">Blaas Kleiss nr4 140-215mm tbv MSD-500 (ALL)
Balafsluiter (gasblaas), nr. 4 voor Kleiss P3-systeem (gasloos aanboren)
Type: Kleiss MDS-500-4D2b.  Tbv: zakpijp: nr.2  Opzetstuk: 2"
</t>
  </si>
  <si>
    <t xml:space="preserve">Blaas Kleiss nr5 190-270mm tbv MSD-500 (ALL)
Balafsluiter (gasblaas), nr. 5 voor Kleiss P3-systeem (gasloos aanboren)
Type: Kleiss MDS-500-5D2b.  Tbv: zakpijp: nr.2  Opzetstuk: 2.1/2"
</t>
  </si>
  <si>
    <t xml:space="preserve">Blaas Kleiss nr6 240-315mm tbv MSD-500 (ALL)
Balafsluiter (gasblaas), nr. 6 voor Kleiss P3-systeem (gasloos aanboren)
Type: Kleiss MDS-500-6D2b.  Tbv: zakpijp: nr.3  Opzetstuk: 2.1/2"
</t>
  </si>
  <si>
    <t>Blaas Kleiss nr7 400mm P3 MSD-500 (ALL)
Type: Blaas Kleiss nr7 400mm P3 MSD-500 Gepatenteerde afsluitbal voor
het tijdelijk afsluiten van leidingen in combinatie met KLEISS POLSAFE
blazenzetapparatuur. Leverbaar met of zonder voordrukmeting.</t>
  </si>
  <si>
    <t xml:space="preserve">Afperspompaansluitstop 1/2inch incl. kraan en rectuskopp.1/4
-
</t>
  </si>
  <si>
    <t xml:space="preserve">Afperspompaansluitstop 3/4inch incl. kraan en rectuskopp.1/4
-
</t>
  </si>
  <si>
    <t xml:space="preserve">Afperspompaansluitstop 1inch incl. kraan en rectuskopp.1/4
-
</t>
  </si>
  <si>
    <t xml:space="preserve">Afperspompaansluitstop 1.1/4inch incl. kraan en rectusk.1/4
-
</t>
  </si>
  <si>
    <t xml:space="preserve">Afperspompaansluitstop 1.1/2inch incl. kraan en rectusk.1/4
-
</t>
  </si>
  <si>
    <t xml:space="preserve">Afperspompaansluitstop 2inch incl. kraan en rectuskopp.1/4
-
</t>
  </si>
  <si>
    <t xml:space="preserve">Afsluitstop enkele ring 3" (ALL)
Afsluitstop
Diameter: 3"
Met enkele ring
</t>
  </si>
  <si>
    <t xml:space="preserve">Afsluitstop enkele ring 3 1/2" (ALL)
Afsluitstop
Diameter: 3 1/2"
Met enkele ring
</t>
  </si>
  <si>
    <t xml:space="preserve">Afsluitstop dubbele ring 10" (ALL)
Afsluitstop
Diameter: 10"
Met dubbele ring
</t>
  </si>
  <si>
    <t>Drukverschilmeter blauwe lijn S2610 0-1,0bar + afpersset 1bar 069680
Type:
S2610 De BLAUWE LIJN® druk(verschil)meter heeft een meetbereik tot 1.000
hPa/mbar en een resolutie vanaf 0,1 hPa  De BLAUWE LIJN® S2610 is
geschikt voor het meten van druk en drukverschil van niet-corrosieve,
niet-agressieve, niet-visceuse en niet-kristalliserende gassen. Het
toestel kan worden gebruikt voor het meten van o.a. drukverschil,
voordruk, branderdruk, beproevingsdruk voor gasleidingen, drukstoot tot
1 bar, voordruk expansievat en gasdistributiedruk.   Het instrument is
uitgerust met een holdfunctie. Daarnaast kan er door middel van de
temperatuurcompensatie direct een nauwkeurige meting worden verricht,
wanneer het instrument van een koude naar een warme ruimte wordt
gebracht. Met de S2610 kan in iedere gewenste positie worden gemeten,
zonder dat de meter steeds opnieuw genuld moet worden.   De S2610 heeft
een meetbereik van 1.000 mbar / hPa en is in het bereik tot 200 mbar met
"één cijfer achter de komma" uit te lezen, oftewel 0,1 mbar / hPa. Het
instrument is uitgevoerd met twee standaard aansluitnippels van Ø 8 mm,
beide voorzien van twee O-ringen. Op deze aansluitnippels past
probleemloos een vitrylslang of de BLAUWE LIJN® slangenset. Ditzelfde
geldt voor de optionele Afpersset®, welke met een inbusboutje eenvoudig
kan worden vastgezet  Het toestel is ergonomisch van vorm en ligt da
ardoor erg prettig in de hand. Dankzij het grote LCD met displayverlichting zijn de meetresultaten onder alle omstandigheden goed
af te lezen. Het geïntegreerde beschermholster zorgt ervoor dat het
toestel tegen een stootje kan. De magneet in het holster geeft de
mogelijkheid de druk(verschil)meter te bevestigen aan vlakke metalen
delen, zoals de mantel van een CV ketel. De bediening verloopt via vier
toetsen en een aan / uit-toets. Dankzij de automatische bereikinstelling
wordt de gemeten waarde altijd in de hoogste resolutie afgelezen. Bij
het opstarten van het toestel wordt de nulstelling automatisch
uitgevoerd. Daarnaast kan de drukmeter ook naar de behoefte van de
gebruiker worden genuld.   Vanzelfsprekend is de S2610 gecertificeerd
volgens de norm NEN-EN 50379:2004 deel 2 en mag het toestel worden
gebruikt voor het afstellen van verbrandingstoestellen.    Kenmerken:
Groot LCD met displayverlichting  Eenvoudige bediening
Temperatuurcompensatie  Positie-effect nihil Automatische nulstelling na
opstarten toestel en handmatige nulstelling  Geïntegreerd
beschermholster met magneet  Automatische bereikinstelling (auto-
ranging)    Inbegrepen accessoires:  Rubberen beschermholster met
magneet, Ø 3 mm verloopnippels, 50 cm vitrylslang, twee 1,5 V Alkaline
batterijen, fabrieksrapport, kopie certificaat NEN-EN 50379:2004 deel 2
en Nederlandstalige handleiding.</t>
  </si>
  <si>
    <t xml:space="preserve">GASDRUKMETER DIGITAAL tbv GAS 0-10bar
TYPE S2680+AFPERSSET IN KOFFER
set bestaande uit:
-069519 druk(verschil)meter S2599, 0-10000 mbar
 compleet met adapternippels
-069420 Blauwe lijn beschermholster, intelligent
-069633 Blauwe lijn afperssetje in aluminiumkoffer
-999605 KwaliteitsWaarborgService EURO Index S2599
Zonder slang en balg.
Toepassing: Hoge Druk.
Drukverschilmeter Blauwelijn S2680 digitaal 0-10bar AFPERSSET tbv GAS
(ALL).
Incl. koffer
</t>
  </si>
  <si>
    <t xml:space="preserve">Loopwiel 10km afstandmeter 10km (ALL)
Type: VA10 Meetwiel   Hoge betrouwbaarheid Wie gaat voor de allehoogste
nauwkeurigheid, kan niet om dit meetwiel heen. Het meetwiel VA10
kenmerkt zich door een hoge betrouwbaarheid. Aan de allerhoogste eisen
qua op het gebied van precisie, kwaliteit en betrouwbaarheid die in de
bouw- en GWW-wereld van essentieel belang zijn, wordt door dit meetwiel
voldaan. Nedo heeft voor dit meetwiel zeer krappe productietolerantie
opgesteld. Dankzij het op de centimeter nauwkeurige telwerk durft deze
Duitse fabrikant te garanderen dat meetwiel slechts een afwijking van ±
2 centimeter op een traject van 100 meter heeft.   Robuust en lange
levensduur Het precisiewiel is gefabriceerd uit hoogwaardig en
lichtgewicht staal. Dit, in combinatie met het stootvaste, boven het
loopwiel gemonteerde telwerk, staat garant voor een zeer lange
levensduur. Omdat de teller wordt aangedreven door een getande riem, is
dit meetwiel uiterst robuust. Dit telwerk is met een resetknop eenvoudig
op nul te zetten. Tenslotte is de geleidingsstang gemaakt van
hoogwaardig aluminium.   Handig en compact Het meetwiel VA10 is een
doordachte constructie, doorontwikkeld naar aanleiding van vragen uit de
markt. Zo is dit meetwiel voorzien van een stander met als extra
slimmigheidje dat deze ook als rem kan fungeren. Tevens is de aluminium
geleidingsstang voorzien van een handig opklapmechanisme. Hierdoor is
dit lichte meetwiel zeer compact op te bergen.   Wielomtrek:  100 cm
Meetbereik:  0 m tot 9.999,99 m  Nauwkeurigheid 0,01 m  Gewicht: 3,65 kg
Tolerantie: 0,02 %"
</t>
  </si>
  <si>
    <t>Schrijfhaak Bahco 9048 250 mm</t>
  </si>
  <si>
    <t xml:space="preserve">Aanboortoestel IPCO Unidrill dia max 200mm (ALL)
IPCO-UNIDRILL. Voor het aanboren van kunststof, AC en metalen of
gietijzeren gasleidingen via POLSAFE / GLW huisaansluitingen en
opzetstukken t/m buisdiameter 200mm.
</t>
  </si>
  <si>
    <t xml:space="preserve">Steekflens 50x107x3mm rvs (ALL)
</t>
  </si>
  <si>
    <t xml:space="preserve">Steekflens 100x162x3mm rvs (ALL)
</t>
  </si>
  <si>
    <t xml:space="preserve">Steekflens 150x218x4mm rvs (ALL)
</t>
  </si>
  <si>
    <t xml:space="preserve">Steekflens 200x273x5mm rvs (ALL)
</t>
  </si>
  <si>
    <t xml:space="preserve">Steekflens 250x328x6mm rvs (ALL)
</t>
  </si>
  <si>
    <t>Voorhamer 5kg, steel 90 cm; Voorhamer Gedore 609 H-5-90 5kg 900mm
hickory steel, gesmede hamerkop DIN 1042. Zorgvuldig gehard en ontlaten
baan en pen blank geslepen, baankanten volgens voorschriften. Steel is
sterk en veerkrachtig.</t>
  </si>
  <si>
    <t xml:space="preserve">Bankhamer vervaardigd uit hoogwaardig staal en voorzien van hickory
steel.
Type: 5039 93
Gewicht: 300 gr.
</t>
  </si>
  <si>
    <t>Hamer Gedore 248ST 25mm nylon terugslagvrij
met uiterst stevige en robuuste stalen steel
splintervrije, breuk- en slijtvaste polyamide-koppen, 75 Shore D, getest
tot -20° C
hamerslag zilver poedergecoat.</t>
  </si>
  <si>
    <t>Hamer moker 1,5kg m steel; Vuisthamer volgens DIN 6475. Voorzien van
gelakte essenhouten steel, gesmede uitvoering, werkvlakken inductief
gehard, baan blank geslepen, afgeronde hoeken, hamerkop gepoedercoat
(hamerslag) en vervaardigd uit hoogwaardig speciaalstaal.
Lengte: 280 mm.
Gewicht: 1500 gr.
Type: 142.5150</t>
  </si>
  <si>
    <t xml:space="preserve">Boombijl KS-Tools 1402066 700mm 1250g
Type: 140.2066 Houtbijl 700mm - 1250g  DIN 5131  met Hickory-steel
steel met dubbele ringspie geborgd  gesmede uitvoering  bijl blank
geslepen  kop gepoedercoat ( hamerslag )  bijlkop van hoogwaardig
speciaalstaal  "
</t>
  </si>
  <si>
    <t xml:space="preserve">Pendrijverset Gedore 116 D 3-8mm 6-delig
Pendrijverset Gedore 116 D    DIN 6450  luchtgehard chroom-molybdeen-
vanadium-staal 45CrMoV7  over de gehele lengte gelijkmatig doorgehard en
zorgvuldig ontlaten  slagkoppen inductief ontlaten, werkvlakken blank
geslepen en blank gelakt  in metalen cassetteinhoud:pendrijver 119-3, 4,
5, 6, 7 en 8mm
</t>
  </si>
  <si>
    <t>Moerensplijter Kukko 54.2 M6-M18
Type: 54-2
 Voor het splijten van vastzittende of dolgedraaide moeren zonder
beschadiging van de schroefdraad. De beitels van de moerensplijters zijn
slijtagedelen. Botte, bramige of uitgebroken beitels moeten onmiddellijk
vervangen worden. Dubbelwerkende moerensplijters met dubbele
splijtwerking voor niet meer los te krijgen moeren in de
kwaliteitsklassen 5, 6 en 8.</t>
  </si>
  <si>
    <t xml:space="preserve">Schroevendraaierset Mannesmann 1134-6 6 delig, horlogemaker
Voor schroeven met zaagsnede.In kunststof doos.6-delig: 1-1,4-2-2,4-3-
3,8 mm.
</t>
  </si>
  <si>
    <t xml:space="preserve">Schroevendraaier met zaagsnede 3x80/165mm.
Schroevendraaier voor schroeven met sleuf, voorzien van 3-
componentengreep, met ophanggat, kling uit vanadium plus staal.
Uitvoering volgens DIN ISO 2380-2.
Type: 2150
Maat: 3 mm.
Klinglengte: 80 mm.
Totale lengte: 160 mm.
</t>
  </si>
  <si>
    <t xml:space="preserve">Schroevendraaier zaagsnede 4x100/185 voor schroeven met sleuf, voorzien
van handvat met softgrip (3-componentengreep), met ophanggat, kling uit
vanadium plus staal. Uitvoering volgens DIN ISO 2380-2 (Gedore).
Type: 2150
Maat: 4 mm.
Klinglengte: 100 mm.
Totale lengte: 185mm.
</t>
  </si>
  <si>
    <t xml:space="preserve">Schroevendraaier 4x150/235mm sleuf.
Uitvoering volgens DIN ISO 2380-2, snede DIN ISO 2380-1 vorm B
• 3-componenten-greep Power-Grip3 met ophanggat
• handvat met ergonomisch design voor nauwkeurig en moeiteloos werken
• vormsluitende verbinding van greep en kling voor optimale
krachtoverbrenging
• einde van de greep met markering
(type Gedore 2150)
</t>
  </si>
  <si>
    <t xml:space="preserve">Schroevendraaier met zaagsnede 6,5x125mm,
voor schroeven met sleuf, voorzien van slagkap,
aandrijfzeskant bij de kling,
3-componentengreep, met ophanggat,
kling uit vanadium plus staal.
Uitvoering volgens DIN ISO 2380-2.
Maat: 6,5 mm.
Klinglengte: 125 mm.
Totale lengte: 230 mm.
</t>
  </si>
  <si>
    <t xml:space="preserve">Schroevendraaier zaagsn 6.5 x 25 x 81, korte uitvoering voor schroeven
met sleuf, voorzien van 3-componentengreep, met ophanggat, kling uit
vanadium plus staal. Uitvoering volgens DIN ISO 2380-2.  (Gedore)
Blad Maat: 6,5 mm.
Klinglengte: 25 mm.
Totale lengte: 81 mm.
</t>
  </si>
  <si>
    <t xml:space="preserve">Schroevendraaier 8x150/270 voor schroeven met sleuf, voorzien van
slagkap, aandrijfzeskant bij de kling, 3-componentengreep, met oph
anggat, kling uit vanadium plus staal. Uitvoering volgens DIN ISO 2380-2.
Type: 2154SK
Maat: 8 mm.
Klinglengte: 150 mm.
Totale lengte: 270 mm.
</t>
  </si>
  <si>
    <t xml:space="preserve">Schroevendraaier Gedore 2154SK 10x200/320mm sleuf
Schroevendraaier zaagsn. 10 x200/320. Schroevendraaier voor schroeven
met sleuf, voorzien van slagkap, aandrijfzeskant bij de kling, 3-
componentengreep, met ophanggat, kling uit vanadium plus staal.
Uitvoering volgens DIN ISO 2380-2.
Gedore Type: 2154SK
Maat: 10 mm.
Klinglengte: 200 mm.
Totale lengte: 320 mm.
</t>
  </si>
  <si>
    <t xml:space="preserve">Schroevendraaier Gedore 2150 12x250mm incl.zaagsnede sleuf 3-K greep
</t>
  </si>
  <si>
    <t>Schroevendraaier haaks 5,5x125mm; Schroevendraaier KS-Tools 1512676 5
,5x125mm haaks.</t>
  </si>
  <si>
    <t xml:space="preserve">Schroevendraaier Kruiskop PH-0 voor schroeven met Phillips kruiskop,
voorzien van 3-componentengreep, met ophanggat, kling uit vanadium plus
staal. Uitvoering volgens DIN ISO 2380-2.
Type: 2160
Maat: PH0.
Klinglengte: 60 mm.
Totale lengte: 145 mm.
</t>
  </si>
  <si>
    <t xml:space="preserve">Schroevendraaier Gedore 2160 PH1x80/180mm kruiskop
Schroevendraaier voor schroeven met Phillips kruiskop, voorzien van 3-
componentengreep, met ophanggat, kling uit vanadium plus staal.
Uitvoering volgens DIN ISO 2380-2. Type: 2160
Maat: PH1.
Klinglengte: 80 mm.
Totale lengte: 180 mm.
</t>
  </si>
  <si>
    <t xml:space="preserve">Schroevendraaier Kruiskop PH2x100/210
voor schroeven met Philips kruiskop, voorzien van 3-componentengreep,
met ophanggat, kling uit vanadium plus staal. Uitvoering volgens DIN ISO
8764.
Type: 2160PH
Maat: PH2.
Klinglengte: 100 mm.
Totale lengte: 210 mm.
</t>
  </si>
  <si>
    <t xml:space="preserve">Schroevendraaier Gedore 2163TXB T10x80/165mm resistorx
Voor schroeven met inwendige Torx en stift.
Met 3-componentengreep, met ophanggat.
Kling uit vanadium plus staal.
Met kogelkop
</t>
  </si>
  <si>
    <t xml:space="preserve">Schroevendraaier Gedore 2163TXB T20x100/185mm resistorx
Voor schroeven met inwendige Torx en stift.
Met 3-componentengreep, met ophanggat.
Kling uit vanadium plus staal.
Met kogelkop
</t>
  </si>
  <si>
    <t xml:space="preserve">Schroevendraaier Gedore 2163TXB T30x115/225mm resistorx
Voor schroeven met inwendige Torx en stift.
Met 3-componentengreep, met ophanggat.
Kling uit vanadium plus staal.
Met kogelkop
</t>
  </si>
  <si>
    <t xml:space="preserve">Karwei-kachel propaan (ALL)
Karweikachel uit staal (gemoffeld) Afmetingen: vierkant 15, hoogte 14
cm.  Kompleet met: - afsluiter, - handwiel,- SPAARSTAND regeling
Aansluiting 3/8" links uitwendig schroefdraad.
</t>
  </si>
  <si>
    <t xml:space="preserve">Handgreep piezo Sievert promatic (ALL)
Met ophangbeugel. Ergonomische handgeep: ligt goed in de hand en maakt
het werk minder vermoeiend. Gemakkelijk hanteerbaar in alle houdingen.
Bajonetaansluiting: wisselen van brander zonder gereedschap. Traploos en
gemakkelijk regelbare vlam. Snelle en practische piezo-ontsteking. Geen
gastoevoer zonder brander. Gastoevoer alleen bij het indruken van de
knop.
</t>
  </si>
  <si>
    <t>Zachtvlambrander Sievert 334191 (ALL)
Zachtvlambrander 334191  Het zachtevlam-ontwerp is ideaal voor kabelwerk
en andere toepassingen voor het krimpen  Zachtevlambranders met een
stabiele, krachtige oranje en roetvrije vlam  Frisse lucht wordt in de
brander gezogen en houdt zo de branderkop koel om het risico van
verbranding van het krimpmateriaal te verkleinen.
Voor het efficiënt verwarmen van de krimpkous  Werkdruk 2 bar
Product gegevens:
Brander diameter: Ø 38mm
Gasverbruik bij 2 bar: 900g/h
Warmte effect: 11,5kW
Geschikt voor dikwandige krimpkousen max: 150mm</t>
  </si>
  <si>
    <t xml:space="preserve">Cycloonbrander Sievert promatic 19mm (ALL)
Voor zacht- en hardsolderen. Speciaal ontworpen voor het solderen van
buizen etc. geven een wervelvlam die de omtrek van de buis omspoelt en
verhit. Wordt ook gebruikt voor ander soldeer- en verhittingswerk zoals
het gloeien, buigen of harden van pijpen etc. Maximale diameter van de
buis voor hardsolderen: 22 mm en voor zachtsolderen: 40 mm. Aansluiting:
Bajonet.
</t>
  </si>
  <si>
    <t xml:space="preserve">Cycloonbrander Sievert promatic 25mm (ALL)
Voor zacht- en hardsolderen. Speciaal ontworpen voor het solderen van
buizen etc. . Geeft een wervelvlam die de omtrek van de buis omspoelt en
verhit. Wordt ook gebruikt voor ander soldeer- en verhittingswerk zoals
het gloeien, buigen of harden van pijpen etc. Maximale diameter van de
buis voor hardsolderen: 28 mm en voor zachtsolderen: 60 mm. Aansluiting:
Bajonet.
</t>
  </si>
  <si>
    <t xml:space="preserve">Krimpbrander Sievert promatic 50mm (ALL)
Sievert promatic   Het zachtevlam-ontwerp is ideaal voor kabelwerk en
andere toepassingen voor het krimpen Zachtevlambranders met een
stabiele, krachtige oranje en roetvrije vlam  Frisse lucht wordt in de
brander gezogen en houdt zo de branderkop koel om het risico van
verbranding van het krimpmateriaal te verkleinen  Voor het efficiënt
verwarmen van de krimpkous  Werkdruk 2 bar  Product gegevens Brander
diameter Ø: 50mm Gasverbruik bij 2 bar:2000g/h Warmte effect: 26kW
Geschikt voor dikwandige krimpkousen max: 150mm
</t>
  </si>
  <si>
    <t xml:space="preserve">Reduceer/slangbreuk Sievert 1-4 bar Shell .
Regelbare reduceerslangbreukventiel voor propaan: 1-4 bar. Het
slangbreukventiel sluit de gastoevoer af in geval van een slangbreuk of
andere grote gaslekken. Het slangbreukventiel heeft een draaibare Shell
aansluiting.
</t>
  </si>
  <si>
    <t xml:space="preserve">Reduceer/slangbreuk Sievert 2 bar 3/8inch (ALL)
Voor propaan met vast ingestelde druk, 2 bar. Met 3/8L aansluiting. Met
slangbreuk beveiliging.
</t>
  </si>
  <si>
    <t xml:space="preserve">Slangbreukventiel Sievert 3/8inch (ALL)
Deze sluit automatisch de gastoevoer af als er een slangbreuk voorkomt.
Drukknop om het ventiel te heropenen. Gemaakt van messing, welke een
lange levensduur verzekert. Uitgevoerd met draaibare slangaansluiting.
</t>
  </si>
  <si>
    <t xml:space="preserve">Slangbreukventiel Sievert shell (ALL)
Deze sluit automatisch de gastoevoer af als er een slangbreuk voorkomt.
Drukknop om het ventiel te heropenen. Gemaakt van messing, welke een
lange levensduur verzekert. Uitgevoerd met draaibare slangaansluiting.
</t>
  </si>
  <si>
    <t>Propaanslang Sievert 2x3/8inch 4m. (ALL)
Met aangeperste koppelingen.
&lt;toevoeging&gt;
Geen slang aanleveren met productiedatum ouder dan vorig jaar.
=====================================================
Slang moet voorzien zijn van:
- Productie jaartal
- Normering EN-559
- drukklasse 2MPa (20 Bar)
=====================================================
.</t>
  </si>
  <si>
    <t xml:space="preserve">Propaanslang EN-559 inwendig 8mm,
uitwendig 15mm oranje a 50mtr
Belangrijk:
Geen slang aanleveren met productiedatum ouder dan vorig jaar!
Propaanslang  met een temperatuur bereik van - 20°C tot en met 70°C.
Binnenwand: NBR, zwart glad.
Buitenwand: CR, oranje en glad.
Met opdruk jaaraanduiding.
=====================================================
Slang moet voorzien zijn van:
- Productie jaartal
- Normering EN-559
- drukklasse 2MPa (20 Bar)
=====================================================
Afgifte per meter!
</t>
  </si>
  <si>
    <t xml:space="preserve">Soldeerbout Weller WP-2 200-450gr but. Pyropen JR.
Type: Weller WP-2 200-450gr Deze Pyropen junior kit omvat een
soldeerbout met stift (0,5 mm), een navulfles butaangas en een houder
met spons.  Deze gassoldeerbout met temperatuurregeling is naast het
gewone soldeerwerk bij uitstek geschikt voor solderen in de elektronica.
Bovendien kan men met de Pyropen Jr. ook hardsolderen, folie krimpen,
hout branden en plastic 'sealen'. De Pyropen junior is handzaam, weegt
slechts 57 gram.
</t>
  </si>
  <si>
    <t>Soldeerbout electrisch 60W.
360 graden verlichting, gegoten ergonomische potloodgreep, makkelijk
vervangbare soldeerpunten en ingebouwde veiligheidshouder is dit de
perfecte hoogwaardige en veelzijdige soldeerbout voor diverse
soldeertaken. Gegoten ergonomische potloodgreep zorgt voor comfort, grip
en precisie. Snelle puntwissels. Een veiligheidshouder houdt de
soldeerbout op zijn plek als deze niet wordt gebruikt. Dit verkleint de
kans op letsel en schade binnen uw werkomgeving.</t>
  </si>
  <si>
    <t xml:space="preserve">Malleable fitting, knie 90˚. Binnendraad-buitendraad 1¼". nr92.
</t>
  </si>
  <si>
    <t xml:space="preserve">Afsluitplug 1" voor Wavin pvc aftakzadel (oude type). Materiaal:
PVC-slagvast (CPE/PVC-A).
</t>
  </si>
  <si>
    <t>Slangklem ABA Original 15-24mm staal elvz b=12 nr.008 vpe=50
ABA Original 2 wordt standaard geleverd met banden van Aluzink, dat een
langere en betere roestbestendigheid heeft dan traditioneel
gegalvaniseerde banden. Het breukmoment is hoog, dankzij de strenge
kwaliteitscontrole op elk onderdeel voor assemblage en het uit 1 stuk
geperste wormhuis. Staal elektrolytisch verzinkt.</t>
  </si>
  <si>
    <t xml:space="preserve">Slangklem ABA Original 19-28mm staal elvz b=12 nr.010 vpe=50
ABA Original 2 wordt standaard geleverd met banden van Aluzink, dat een
langere en betere roestbestendigheid heeft dan traditioneel
gegalvaniseerde banden. Het breukmoment is hoog, dankzij de strenge
kwaliteitscontrole op elk onderdeel voor assemblage en het uit 1 stuk
geperste wormhuis. Staal elektrolytisch verzinkt.
</t>
  </si>
  <si>
    <t xml:space="preserve">Slangklem ABA Original 22-32mm staal elvz b=12 nr.012 vpe=50
ABA Original 2 wordt standaard geleverd met banden van Aluzink, dat een
langere en betere roestbestendigheid heeft dan traditioneel
gegalvaniseerde banden. Het breukmoment is hoog, dankzij de strenge
kwaliteitscontrole op elk onderdeel voor assemblage en het uit 1 stuk
geperste wormhuis. Staal elektrolytisch verzinkt.
</t>
  </si>
  <si>
    <t>Slangklem ABA Original 26-38mm staal elvz b=12 nr.016 vpe=50
ABA Original 2 wordt standaard geleverd met banden van Aluzink, dat een
langere en betere roestbestendigheid heeft dan traditioneel
gegalvaniseerde banden. Het breukmoment is hoog, dankzij de strenge
kwaliteitscontrole op elk onderdeel voor assemblage en het uit ¿¿n stuk
geperste wormhuis. Staal elektrolytisch verzinkt.</t>
  </si>
  <si>
    <t xml:space="preserve">Slangklem ABA Original 38-50mm staal elvz b=12 nr.024 vpe=50
ABA Original 2 wordt standaard geleverd met banden van Aluzink, dat een
langere en betere roestbestendigheid heeft dan traditioneel
gegalvaniseerde banden. Het breukmoment is hoog, dankzij de strenge
kwaliteitscontrole op elk onderdeel voor assemblage en het uit 1 stuk
geperste wormhuis. Staal elektrolytisch verzinkt.
</t>
  </si>
  <si>
    <t xml:space="preserve">Slangklem ABA Original 44-56mm staal elvz b=12 nr.028 vpe=50
ABA Original 2 wordt standaard geleverd met banden van Aluzink, dat een
langere en betere roestbestendigheid heeft dan traditioneel
gegalvaniseerde banden. Het breukmoment is hoog, dankzij de strenge
kwaliteitscontrole op elk onderdeel voor assemblage en het uit 1 stuk
geperste wormhuis. Staal elektrolytisch verzinkt.
</t>
  </si>
  <si>
    <t>Beschermbuis HDPE 110mm zwart met rode strepen flexib L=6m</t>
  </si>
  <si>
    <t>Beschermbuis HDPE 160mm zwart met rode strepen flexib L=6m</t>
  </si>
  <si>
    <t xml:space="preserve">Waterslang Polyform.
Afmeting binnen x buiten: 12x16mm.
Transparant PVC WD 3bUniverseel, zonder inlage.
Werktemperatuur: -15 tot +60°C.
</t>
  </si>
  <si>
    <t>SPANNINGSAFDICHTSET VOOR GIETHARSDOORVOERBLOK</t>
  </si>
  <si>
    <t>TYPE 0-1/4-1/2-10, VOLGENS HOLEC-TEKENING 132185.</t>
  </si>
  <si>
    <t>BEVESTIGINGSMATERIAAL VOOR OPSTELLING MAGNEFIX, VOLGENS ONZE AANGEPAST
ETEKENING 50.802/55, DD. 17 MEI 1994 (OUD ART.NR. 154347), BESTAANDE U
ITDE OP DE TEKENING GENOEMDE MATERIALEN.GAARNE ATTENTIE VOOR HET NIET
VOLLOPEN VAN DE GATEN NA HET THERMISCHVERZINKEN. DE SCHERPE KANTEN AAN
DE KOPZIJDE DIENEN TE WORDEN AFGEROND.DE MATERIALEN DIENEN OP KEUR TE
WORDEN GELEVERD.VERPAKKING:DE MATERIALEN DIENEN PER SET VERPAKT TE WO
RDEN.</t>
  </si>
  <si>
    <t>ART.NR. 2684.475.</t>
  </si>
  <si>
    <t>Wordt geleverd in setjes van twee stuks</t>
  </si>
  <si>
    <t>Cu20x3rol
Zachtgetrokken elektrlytisch vertind bandkoper
met afgeronde hoeken,
20 x 3 mm, Brinell hardheid 50, volgens E CU F 20.
Op fabrieksringen van ca. 50 kg.
De rollen voorzien van labels met het gewicht van de rol.</t>
  </si>
  <si>
    <t>HOOGSPANNINGSVEILIGHEID FULLRANAFMETINGEN    : VOLGENS DIN 43625NOM. S
PANNING: 12 KVNOM. STROOM  : 40 ATYPE            : FFLNJZONDER SLAGSTI
FT OF MELDER.</t>
  </si>
  <si>
    <t>HOOGSPANNINGSVEILIGHEID FULLRANAFMETINGEN   : VOLGENS DIN 43625NOM. SP
ANNING: 12 KVNOM. STROOM  : 80 ATYPE            : FFLNJZONDER SLAGSTIF
T OF MELDER.</t>
  </si>
  <si>
    <t>AFMETINGEN   : VOLGENS DIN 43625NOM. SPANNING: 12 KVNOM. STROOM  : 80
ATYPE         : FFLSJMET SLAGSTIFT OF MELDER.</t>
  </si>
  <si>
    <t>ALUMINIUM AFTAKKAST OVEREENKOMSTIG DE PEN-TEKENINGEN2-6518-2 EN 4-6518
-1 EN UW TEKENING AD603.
-------------------------------------------------
RVS fundering is een apart artikelnummer 20036980
-------------------------------------------------</t>
  </si>
  <si>
    <t>ELEKTROLYTISCH VERZINKTE UITVOERING, COMPLEET MET DRUK-STUK EN 2 CILIN
DERKOPSCHROEVEN MET KRUISKOP, NIET GE-MONTEERD, VOLGENS ONZE TEKENING
959/D WIJZIGING A DD.2 JANUARI 1989.
VERPAKT IN DOZEN VAN 100 STUKS.</t>
  </si>
  <si>
    <t>ELEKTROLYTISCH VERZINKT, COMPLEET MET VERZINKTE BOUTENM5X20 MM, NIET G
EMONTEERD, COMPLEET VERPAKT IN DOZENVAN 100 STUKS.</t>
  </si>
  <si>
    <t xml:space="preserve">Cocosmat ruiggeschoren.
Kokosmat naturel
Afmeting: 500 x 800 mm, Hoogte: 17 mm.
</t>
  </si>
  <si>
    <t>NEN: VD 450-750
H07V-R ECA
Rol a 100 meter.</t>
  </si>
  <si>
    <t>NEN: VD 450/750
H07V-R ECA
Ring a 100 meter.</t>
  </si>
  <si>
    <t>NEN: VDf 450/750
H07V-K
Doos a 100 meter.</t>
  </si>
  <si>
    <t xml:space="preserve">Soepele 5x4 koper kabel (H07RN-F) t.b.v. woonboot aansluiting. Kabel
(buiten)diameter 16mm. Aderkleuren: Bruin, zwart, grijs, blauw,
groen/geel conform de NEN-EN 50334.
Kabel heeft een hoge UV- en ozonbestendigheid, een goede weerstand tegen
indrukking, scheuren en slijtage.
</t>
  </si>
  <si>
    <t xml:space="preserve">Kabel YMz1K 0.6/1kV 5 x 16 Cu volgens NEN3618.
Aderkleuren groen/geel, blauw, bruin, zwart en grijs.
Brandklasse B2-ca s1,d1,a1.
Haspels met 500m.
</t>
  </si>
  <si>
    <t>Kabel YMvK 12x 2,5mm2 Cu rm genummerd volgens NEN3617.
Aderkleuren 11x zwart genummerd, 1x geel/groen.
Brandklasse Dca-s2,d2,a3.</t>
  </si>
  <si>
    <t>Kabel YMvK 30x 2,5mm2 genummerd.</t>
  </si>
  <si>
    <t xml:space="preserve">Hellstern v-direkt aansluitklem, Type HEL 4835.
</t>
  </si>
  <si>
    <t>Hellstern aansluitklem 95-300mm2 inclusief bout+moer M12.</t>
  </si>
  <si>
    <t>Hellstern aansluitklem 2x95-300mm2 m bout M16, Type HEL 4858.</t>
  </si>
  <si>
    <t xml:space="preserve">Isolatieband 45 mm breed, rol a 25 meter; kleur zwart;
type 301 prima certoplast.
Isolatieband 977000450 45mm zwart (ALL)
</t>
  </si>
  <si>
    <t>ZELFKLEVENDE ZEEFDRUK-STICKER, CIJFER 0
MATERIAAL       : FASCAL 900
KLEEFKRACHT    : PERMANENT
FORMAAT         : 70 X 40 MM
MODEL            :RECHTE HOEKENAANTAL
KLEUREN: 1 KLEUR, DONKERBRUIN/ZWART
DIAPOSITIEFAFWERKING       : LOSSE EXEMPLAREN,
NETJES GEBUNDELD.</t>
  </si>
  <si>
    <t>ZELFKLEVENDE ZEEFDRUK-STICKER, CIJFER 1
MATERIAAL       : FASCAL 900
KLEEFKRACHT    : PERMANENT
FORMAAT         : 70 X 40 MM
MODEL            : RECHTE HOEKENAANTAL
KLEUREN: 1 KLEUR, DONKERBRUIN/ZWART DIAPOSITIEF
AFWERKING       : LOSSE EXEMPLAREN,
NETJES GEBUNDELD.</t>
  </si>
  <si>
    <t>ZELFKLEVENDE ZEEFDRUK-STICKER, CIJFER 2
MATERIAAL       : FASCAL 900
KLEEFKRACHT    : PERMANENT
FORMAAT         : 70 X 40 MM
MODEL            :RECHTE HOEKEN
AANTAL KLEUREN: 1 KLEUR, DONKERBRUIN/ZWART DIAPOSITIEF
AFWERKING       : LOSSE EXEMPLAREN,
NETJES GEBUNDELD.</t>
  </si>
  <si>
    <t>ZELFKLEVENDE ZEEFDRUK-STICKER, CIJFER 3
MATERIAAL       : FASCAL 900
KLEEFKRACHT    : PERMANENT
FORMAAT         : 70 X 40 MM
MODEL            :RECHTE HOEKEN
AANTAL KLEUREN: 1 KLEUR, DONKERBRUIN/ZWART DIAPOSITIEF
AFWERKING       : LOSSE EXEMPLAREN,
NETJES GEBUNDELD.</t>
  </si>
  <si>
    <t>ZELFKLEVENDE ZEEFDRUK-STICKER, CIJFER 4
MATERIAAL       : FASCAL 900
KLEEFKRACHT    : PERMANENT
FORMAAT         : 70 X 40 MM
MODEL            : RECHTE HOEKEN
AANTAL KLEUREN: 1 KLEUR, DONKERBRUIN/ZWART DIAPOSITIEF
AFWERKING       : LOSSE EXEMPLAREN,
NETJES GEBUNDELD.</t>
  </si>
  <si>
    <t>ZELFKLEVENDE ZEEFDRUK-STICKER, CIJFER 5
MATERIAAL       : FASCAL 900
KLEEFKRACHT    : PERMANENT
FORMAAT         : 70 X 40 MM
MODEL            :RECHTE HOEKEN
AANTAL KLEUREN: 1 KLEUR, DONKERBRUIN/ZWART DIAPOSITIEF
AFWERKING       : LOSSE EXEMPLAREN,
NETJES GEBUNDELD.</t>
  </si>
  <si>
    <t>ZELFKLEVENDE ZEEFDRUK-STICKER, CIJFER 6
MATERIAAL       : FASCAL 900
KLEEFKRACHT    : PERMANENT
FORMAAT         : 70 X 40 MM
MODEL            : RECHTE HOEKEN
AANTAL KLEUREN: 1 KLEUR, DONKERBRUIN/ZWART DIAPOSITIEF
AFWERKING       : LOSSE EXEMPLAREN,
NETJES GEBUNDELD.</t>
  </si>
  <si>
    <t>ZELFKLEVENDE ZEEFDRUK-STICKER, CIJFER 7
MATERIAAL       : FASCAL 900
KLEEFKRACHT    : PERMANENT
FORMAAT         : 70 X 40 MM
MODEL            : RECHTE HOEKEN
AANTAL KLEUREN: 1 KLEUR, DONKERBRUIN/ZWART DIAPOSITIEF
AFWERKING       : LOSSE EXEMPLAREN, NETJES GEBUNDELD.</t>
  </si>
  <si>
    <t>ZELFKLEVENDE ZEEFDRUK-STICKER, CIJFER 8
MATERIAAL       : FASCAL 900
KLEEFKRACHT    : PERMANENT
FORMAAT         : 70 X 40 MM
MODEL            : RECHTE HOEKEN
AANTAL KLEUREN: 1 KLEUR, DONKERBRUIN/ZWART DIAPOSITIEF
AFWERKING       : LOSSE EXEMPLAREN, NETJES GEBUNDELD.</t>
  </si>
  <si>
    <t>ZELFKLEVENDE ZEEFDRUK-STICKER, CIJFER 9
MATERIAAL       : FASCAL 900
KLEEFKRACHT    : PERMANENT
FORMAAT         : 70 X 40 MM
MODEL            :RECHTE HOEKEN
AANTAL KLEUREN: 1 KLEUR, DONKERBRUIN/ZWART DIAPOSITIEF
AFWERKING       : LOSSE EXEMPLAREN, NETJES GEBUNDELD.</t>
  </si>
  <si>
    <t>Laagspanningsverdeelrek
Inclusief voedingstrook en VE00-E, inclusief adaptor zonder OV- en
tariefset. het rek uitvoering zoals omschreven in uw aanbieding
DD. 23-11-2017 ref.173507-01 Wijzing B</t>
  </si>
  <si>
    <t>TARIEF/OV-SET T.B.V. LAAGSPANNINGSVERDEELREK.DE SET UITVOEREN ZOALS OM
SCHREVEN IN UW AANBIEDINGDD. 8 DECEMBER 1995 REF. PEN1195.OFF/BJM.</t>
  </si>
  <si>
    <t>(OUD ART.NR. 222210).</t>
  </si>
  <si>
    <t>ISOLATOR S, NR. 7114, 45 X 41 MM - M8</t>
  </si>
  <si>
    <t>Laagspanningsstrook.
xxxxxx-groep,
160 A, 1-polig, schakelbaar,
Beschermkap onder
(over de kabelaansluiting onderzijde afgaande stroken).
Jean Muller.
Inclusief:
- Beschermkap
- zakje bevestigingsmaterialen</t>
  </si>
  <si>
    <t>NH-patroonlastscheiderstrook 400 A, DIN 2, enkelpolig schakelend,
onderaansluiting, inclusief afdekkap, naamplaat en inlegklem van "van
Alfen".
Verpakking is inclusief aansluitmateriaal M12x30 (3stuks LVZSI)
VE2-L-E/A + V-BT + V-KU. De handgrepen zijn voorzien van een venster met
de opdruk "DIN 1/2". TYPE VE2-L-E/A/PAKKET 1,
Inclusief:
- Beschermkap onder (over de kabelaansluiting onderzijde afgaande
stroken).
- Afdekkapje met opdruk max. en Amperage (A).</t>
  </si>
  <si>
    <t>Laagspanningsstrook.
NH-patroonlastscheiderstrook 630 A, 1-polig, Schakelend,
Inclusief
- Afdekkap
- naamplaat,
- onderaansluiting met M12 bout, 2 sluitringen, 1 getande veerring +
moer.
Beschermkap onder
(over de kabelaansluiting onderzijde afgaande stroken).
Weber, type VE3-L-E/PAKKET 5, DIN 3.</t>
  </si>
  <si>
    <t>NH-patroonlastscheiderstrook 1000 A, met messen,
zijaansluiting links,
enkelpolig schakelend met rode handgreep,
omschrijving: VER-AS/E/V061 + pakket 4 + beschermkap.
Inclusief:
- Beschermkap links (is kap over de kabelaansluiting zijkant
van binnenkomende trafokabel).</t>
  </si>
  <si>
    <t>NH-patroonlastscheiderstrook 1260 A,
type VERD3-AU/PAKKET 1,
Bestaande uit
2 parallel geschakelde NH-patroonlastscheiderstroken 630 AMP, DIN 3.
Inclusief:
- Afdekkap
- Naamplaat,
- Onderaansluiting met per fase: 3 bouten met moer M12, 2 sluitringen en
1 veerring (los bijgevoegd 1 zakje met 3 bouten, 3 moeren en 6 ringen;
de rest zit gemonteerd)
Aan dit pakket worden een afdekkap V-KU1260 en
2 beschrftingsschilden V-BT toegevoegd.
Beschermkap onder
(over de kabelaansluiting onderzijde afgaande stroken).</t>
  </si>
  <si>
    <t>STEUNPL.AANSL. 30 GRD
VOLGENS ONZE TEKENING 50.802/69
DE STEUNPLATEN UIT TE VOEREN IN DONKERGROENE PRIMER.</t>
  </si>
  <si>
    <t xml:space="preserve">Perskabelschoen geschikt voor 10mm2 Cu, boutgat 11mm (M10). Volgens DIN
46235.
</t>
  </si>
  <si>
    <t>Perskabelschoen geschikt voor 35mm2 Cu, boutgat=13mm (M12). Volgens DIN
46235.</t>
  </si>
  <si>
    <t xml:space="preserve">Lasbocht,
materiaal naadloze staal (St 35.8), volgens DIN 2605,
afmetingen: 60,3 x 2,9 mm, 45 graden, 5S,
klasse 1 volgens DIN 17175,
afgeschuind.
</t>
  </si>
  <si>
    <t xml:space="preserve">Lasbocht,
materiaal naadloze staal (St 35.8), volgens DIN 2605,
afmetingen: 88,9 x 3,2 mm, 45 graden, 5S,
klasse 1 volgens DIN 17175,
afgeschuind.
</t>
  </si>
  <si>
    <t xml:space="preserve">Hellstern v-direkt aansluitvlag, Type HEL 4835 L.
</t>
  </si>
  <si>
    <t xml:space="preserve">Lasbocht, materiaal staalsoort P235GH, volgens NEN EN 10027-1,
afmetingen: 219,1x4,5 mm, 45 graden, 5D, volgens NEN EN 10253-2, afge
schuind, markering: charge,staalsoort en leverancier.
</t>
  </si>
  <si>
    <t xml:space="preserve">Lasbocht, materiaal staalsoort P235GH, volgens NEN EN 10027-1,
afmetingen: 273,0x5,0 mm, 45 graden, 5D, volgens NEN EN 10253-2, afge
schuind, markering: charge,staalsoort en leverancier.
</t>
  </si>
  <si>
    <t xml:space="preserve">Lasbocht, materiaal staalsoort P235GH, volgens NEN EN 10027-1,
afmetingen: 323,9x5,6mm, 45 graden, 5D, volgens NEN EN 10253-2, afges
chuind, markering: charge,staalsoort en leverancier.
</t>
  </si>
  <si>
    <t>Hoofdschakelaar 63 A, 4- polig,
type TS634.S. Fabr.HAF.</t>
  </si>
  <si>
    <t>Hostalitbuis 5/8", slagvast</t>
  </si>
  <si>
    <t>HOST-INSTALLATIEBUIS 3/4",
SLAGVAST,
KEMA-KEUR,
1 LENGTE = 4 METER.</t>
  </si>
  <si>
    <t>PRIJS IN DE PRIJSLIJST IS PER 50 STUKS.</t>
  </si>
  <si>
    <t xml:space="preserve">Wartelmoer M16, kunststof, kleur RAL 7035 (licht grijs), schroefdraad
metrisch,  te gebruiken bij wartel M16 voor bevestigen wartel in
behuizing. Levering per stuk. Wiska (EMUG16).
</t>
  </si>
  <si>
    <t xml:space="preserve">Wartelmoer M25, kunststof, kleur RAL 7035 (licht grijs), schroefdraad
metrisch,  te gebruiken bij wartel M25 voor bevestigen wartel in
behuizing. Levering per stuk. Wiska (EMUG25).
</t>
  </si>
  <si>
    <t xml:space="preserve">Wartelmoer M32, kunststof, kleur RAL 7035 (licht grijs), schroefdraad
metrisch,  te gebruiken bij wartel M32 voor bevestigen wartel in
behuizing. Levering per stuk. Wiska (EMUG32).
</t>
  </si>
  <si>
    <t>ART.NR. 428599.</t>
  </si>
  <si>
    <t>Onderkast voor 2 elementen vertikaal,
1x PG-16 wartel.
Inclusief scheidingsschotje.
Fabr: Jung, Type: WG600, Code: 661.</t>
  </si>
  <si>
    <t>1-POLIG, JUNG WG600, TYPE 606E.</t>
  </si>
  <si>
    <t>JUNG WG600, TYPE 621N</t>
  </si>
  <si>
    <t>Sleutel 452433 m rode kop v K2/K3 voor sperkop (ALL)
Type: K&lt;(&gt;&amp;&lt;)&gt;D sleutel voor dummy
Technische specificaties: Klasse
Sleutel: voor kast/lessenaar
Uitvoeringsvorm: Schroefkop
Materiaal: Geen
Uitvoering: Dubbelbaard
Geschikt voor: sperkop</t>
  </si>
  <si>
    <t xml:space="preserve">HGR ZEKERING  D2  LE27F02
</t>
  </si>
  <si>
    <t xml:space="preserve">HGR ZEKERING  D2 T LE2720
</t>
  </si>
  <si>
    <t xml:space="preserve">HGR ZEKERING-D LNDZF20
</t>
  </si>
  <si>
    <t>Isolatiepakking+boutisolatieset. Naam Gasketseal. Druk PN10/PN16.
inclusief bout isolatieset. Een dubbel aantal ringen.</t>
  </si>
  <si>
    <t xml:space="preserve">Voorlasflens.
Materiaal staalsoort P250GH, volgens NEN EN 10027-1
Nominale druk: PN 16
Nominale diameter: DN 300
Afmeting: 323,9x7,1 mm
Aantal en diameter bouten: 12x26 mm, volgens NEN EN 1092-1,afgeschuind.
Markering: charge,staalsoort en leverancier.
</t>
  </si>
  <si>
    <t>Insteekmof, verlengd,
Materiaal: PVC-slagvast (CPE / PVC-A), klasse 33,
kleur: geel,
afmetingen: 200 mm.
Gastec QA-merk.</t>
  </si>
  <si>
    <t xml:space="preserve">Schuurvel Flexovit P37C 230x280mm-K150 alox vpe=100st
Schuurvel P37C 230 x 280mm. Korrel: 150.   Schuurkorrel: Temperatuur
behandeld aluminium oxide.  Drager: B-gewicht latexpapier met
fibervezels.  Speciale stearaat toplaag.  Sneller schuren en lange
levensduur
</t>
  </si>
  <si>
    <t xml:space="preserve">Schroefdraadafdichting Loctite 572 a50ml
Loctite 572 schroefdraadafdichtingsmiddel voor metaal, langzame
uitharding  Geschikt voor grove metalen schroefdraden Aanbevolen wanneer
langzame uitharding wordt gevraagd in verband met het positioneren van
verbindingen  Technische gegevens Maximale pijp
</t>
  </si>
  <si>
    <t xml:space="preserve">Betonverf 2,5ltr grijs
</t>
  </si>
  <si>
    <t xml:space="preserve">Verf Rust-Oleum 2192 500ml wit RAL9010
Type: 2192 Gebaseerd op een sneldrogende magere sojaolie alkydhars. Eén
HARD HAT spuitbus is gelijk aan 2 of meer standaard spuitbussen dus meer
vierkante meters: 3-4 m². Een dikkere verflaag zonder zakkers. In één
spuitgang, een kruisgang volstaat over het algemeen. Sneller droog: 10-
15 minuten. Hoge kwaliteit pigmenten zorgen voor een langer glans en
kleurbehoud. De licht-elastische verflaag voorkomt voortijdig barsten,
scheuren en afbladderen. Inhoud: Spuitbus 500ml. Kleur: Wit (RAL 9010).
</t>
  </si>
  <si>
    <t>Verf Rust-Oleum 2178 500ml zwart mt
Type: 2178 Gebaseerd op een sneldrogende magere sojaolie alkydhars. Eén
HARD HAT® spuitbus is gelijk aan 2 of meer standaard spuitbussen dus
meer vierkante meters: 3-4 m².  Een dikkere verflaag zonder zakkers. In
één spuitgang, een kruisgang volstaat over het algemeen.  Sneller droog:
10-15 minuten. Hoge kwaliteit pigmenten zorgen voor een langer glans en
kleurbehoud. De licht-elastische verflaag voorkomt voortijdig barsten,
scheuren en afbladderen. Inhoud: Spuitbus 500ml. Kleur: Mat Zwart.</t>
  </si>
  <si>
    <t>Primer Rust-Oleum 2182 500ml grijs
Type: 2182 Sneldrogende anti-roest grondverf gebaseerd op een
aromaatvrije kortolie alkydhars. Wordt gebruikt op blanke of licht
geroeste staaloppervlakken om bescherming te bieden tegen corrosie.
Lood- en chromaatvrij.  Overspuitbaar na 10 minuten, hanteerbaar na 30
minuten Inhoud: Spuitbus a 500ml Kleur: Grijs</t>
  </si>
  <si>
    <t>Verf Motip 04013 400ml hamerslag
Sneldrogende lak met hamerslag effect voor het behandelen van behandelde
en onbehandelde ondergronden van hout, metaal, aluminium, glas, steen en
diverse soorten kunststof. De lak heeft een goede dekkracht, is krasvast
en stootvast en is bestand tegen benzine, chemicaliën, verdunde
reinigingsmiddelen en weersinvloeden. Kleur: Zilver hamerslag.
Inhoud:400ml.</t>
  </si>
  <si>
    <t>Purschuim Bison 500ml 20-25l schuim
Een gebruiksklaar, 1-component polyurethaan isolatie-, vul- en
montageschuim met een ozonvriendelijk drijfgas. SimsonPur is HCFK- en
CFK-vrij, hardt snel uit onder invloed van luchtvochtigheid en is
rottingsvrij. Toepassing: SimsonPur is uitermate geschikt voor het
afdichten en opvullen van voegen, naden, leidingdoorvoeren en
aansluitingen van bouw- en dakelementen.
Inhoud 500ml.</t>
  </si>
  <si>
    <t xml:space="preserve">Plasticspray nr70 200ml spuitbus (ALL)
Plastic Spray Nr. 70 Plastik spray is een transparante beschermingslak.
Isoleert, beschermt, verzegelt, dicht-af. Geeft een heldere, kleurloze
en elastische laklaag. Plastik spray0 is bestand tegen  alcohol,zuren,
mineraal-olie logen, en atmosferische invloeden. Verpakking: 200ml
spuitbus
</t>
  </si>
  <si>
    <t xml:space="preserve">Universeel smeermiddel voor het onderhouden en beschermen van
elektrische uitrustingen. Verdringt water, beschermt tegen vocht en vo
orkomt corrosie en oxidatie. Smeert en penetreert, dringt vlug door en maakt onderdelen los, vastgelopen door vuil, corrosie of
opgedroogd vet. Veilig te gebruiken op alle metalen en de meeste rubbers
en kunststoffen.
Kleur: amber.
Inhoud: spuitbus à 250 ml.
</t>
  </si>
  <si>
    <t>Sproeiwasspray Kontakt WL v contacten (ALL)
Kontakt Chemie spuitbus Kontakt WL
Beschrijving: Kontakt WL is een speciaal sproeiwasmiddel voor sterk
vervuilde elektrische apparaten, printen en componenten. Toepassingen in
het reinigen van elektrische contacten, relais, connectoren, printen.
Kontakt WL verwijdert ook harsrestanten. Ozon-vriendelijke uitvoering.
Verpakking: Spuitbus 200ml</t>
  </si>
  <si>
    <t xml:space="preserve">Siliconenvet Molykote 55M a100gr o.a. voor O-ringen
Op siliconen gebaseerd smeermiddel voor O-ringen. Geschikt voor
dynamische smering tussen rubberen en metalen onderdelen in
luchtdruksystemen in vliegtuigen, auto’s en algemene industriële
toepassingen. Inhoud: 100gr.
</t>
  </si>
  <si>
    <t xml:space="preserve">Siliconenvet Molykote 111 a100gr wit
Voorkomt uitdroging van O-ringen en manchetten.
Inhoud: 100gr.
</t>
  </si>
  <si>
    <t xml:space="preserve">Smeervet Molykote BR2+ a400gr MoS2
Op basis van hoogwaardig lithiumzeepvet ontwikkeld. Universeel smeervet
voor nagenoeg alle doeleinden. Bevat molybdeendisulfide. Toepassing:
alle kogel-, rol- en glijlagers, tandwielaandrijvingen met gering
toerental, draadspindels etcetera.
Inhoud: 400gr.
</t>
  </si>
  <si>
    <t xml:space="preserve">Secondelijm Griffon Combi-snel 24ml 6304033 dubbelspuit
Lijm Bison Kombi-snel 24ml dubbelspuit Super snelle, transparante 2-
componenten epoxylijm. Ideaal voor zeer snelle, sterke kleine reparaties
aan aardewerk, porselein, glas, leer, hout, steen, metaal, keramiek. De
kracht van epoxy met de snelheid van secondelijm. Niet geschikt voor
Polyethyleen (PE), Polypropyleen (PP), PTFE ensiliconenrubber.
</t>
  </si>
  <si>
    <t>Contactlijm Bison Tix 100ml
Universele contactlijm op neopreen basis. Druipt niet, trekt geen
draden. Voorstrijken van poreuze materialen is overbodig.</t>
  </si>
  <si>
    <t xml:space="preserve">Afvalzak 70x100cm (voorheen Otje) (ALL)
Afvalzak (voorheen Otje)  Afmeting: 70 x 100 cm  Extra dik: 0,2mm
</t>
  </si>
  <si>
    <t xml:space="preserve">Poetsdoek Kimtuf gr/wit geimp. 1-laags in emmer.
Het meest effectieve handreinigingssyteem, in emmer, waar u ook bent.
Kleur: blauw/wit Afmeting: 27 x 31 cm. 1 laags Geïmpregneerd.
</t>
  </si>
  <si>
    <t xml:space="preserve">Handreiniger Dreumex Classic 4,5ltr blik; Classic is een
handreinigingsgel met silica microkorrels voor middelzware vervuilingen
zoals olie, vetten, smeer, bitumen en rubber. Het is met name geschikt
voor gebruik in garages, werkplaatsen en industrieën.
- Extra reinigingskracht dankzij huidvriendelijke scrubbers.
- Dermatologisch getest.
- Met oplosmiddel.
- Siliconenvrij.
- Huidvriendelijk en huidverzorgend dankzij zonnebloemolie en vitamine
F.
- pH waarde: 8 - 9.
- Geur: citrus.
- Inhoud: blik à 4,5 liter
</t>
  </si>
  <si>
    <t xml:space="preserve">Koffiefilters voor koffiezetapparaat Bravilor Mondo 2.
Koffiefilter Bravilor voor  85/245UV ds a 1000st
Type: 58245UV
</t>
  </si>
  <si>
    <t xml:space="preserve">Closetpapier Tork120261 basic plus king size,
2 lagen
lengte ±70 meter
breedte 9,9 cm
diameter 12,3 cm
</t>
  </si>
  <si>
    <t xml:space="preserve">Plankendrager v elem.kist 20x25cm staal (ALL)
</t>
  </si>
  <si>
    <t>TEHA DEKS LK37075/2 R7030  LG2
Lengte a 2 meter</t>
  </si>
  <si>
    <t xml:space="preserve">Las-T-stuk, materiaal staalsoort P235GH, volgens NEN EN 10027-1,
nominaledruk PN16, afmetingen: 323,9x 5,6* 219,1 x 4,5mm, volgens NEN EN
10253-2, afgeschuind, markering: charge,staalsoort en leverancier.
</t>
  </si>
  <si>
    <t>Kabelbundelband 762x7   zwart.</t>
  </si>
  <si>
    <t xml:space="preserve">Adereindhuls Conta Clip 2202.0 H 0,75mm2,
L=14mm Wit
</t>
  </si>
  <si>
    <t xml:space="preserve">Adereindhulzen, Geel met kunststof kraag.
Fabr. Conta-Clip, Type H 1,0/14.
</t>
  </si>
  <si>
    <t xml:space="preserve">Adereindhuls Conta Clip 2204.0 H 1,5mm2,
L=14mm Rood
</t>
  </si>
  <si>
    <t xml:space="preserve">Lasverloopstuk, materiaal staalsoort P235GH, volgens NEN EN 10027-1,
nominaledruk PN16, afmetingen: 219,1x 4,5* 88,9x 3,6mm, volgens NEN EN
10253-2, afgeschuind, markering: charge,staalsoort en leverancier.
</t>
  </si>
  <si>
    <t xml:space="preserve">Aanboorzadel toepasbaar als aftakzadel of blaasgatzadel 114-134mmx1½"
Polsafe materiaal: RVS met NBR rubber.
</t>
  </si>
  <si>
    <t>klasse 0,2S.</t>
  </si>
  <si>
    <t xml:space="preserve">Aanboorzadel toepasbaar als aftakzadel 168-188mmx1½" Polsafe materiaal:
RVS met NBR rubber.
</t>
  </si>
  <si>
    <t xml:space="preserve">Aanboorzadel toepasbaar als aftakzadel 230-250mmx1½" Polsafe materiaal:
RVS met NBR rubber.
</t>
  </si>
  <si>
    <t xml:space="preserve">Aanboorzadel toepasbaar als aftakzadel 345-365mmx1½" Polsafe materiaal:
RVS met NBR rubber.
</t>
  </si>
  <si>
    <t xml:space="preserve">Gas meter
Measurement principle:                Diaphragm
Class:                                      1,5
Capacity:                                  G4 (0,04 – 6 m³/h)
Compliance:                              EN-1359
Temperature correction:              None
Pressure correction:                    None
Valve:                                      None
Communication:                         None
Nominal boss diameter:                DN20
Centre distance bosses:                220 mm
Threat bosses:                           GM¾"
Supplier:                                    Apator Metrix
Type:                                       UG G4
Meter code:                               28301
</t>
  </si>
  <si>
    <t>Gasmeter, balg,
Capaciteit: G10– 16m3/h
Nominale diameter: DN40
Hartafstand:   300mm
Aansluiting: schroefdraad G2.
1.1/2"-pijp.</t>
  </si>
  <si>
    <t>Gasmeter, balg,
Capaciteit: G16– 25m3/h;
Nominale diameter: DN40
Hartafstand:   300mm
Aansluiting: schroefdraad G2.
1 1.5"-pijp.</t>
  </si>
  <si>
    <t xml:space="preserve">Laszadel,
materiaal: staal (Weldolet),
afmeting : 168,3 x 88,9 mm (6" x 3").
</t>
  </si>
  <si>
    <t>Vloerkorrels "SPLIT" (zak=20kg); Dit multifunctionele absorptiemiddel is
een granulaat dat lichte chemicaliën, oplosmiddelen en oliën absorbeert.
Het heeft een sterk absorberend vermogen, is abrasiebestendig en
zuurabsorberend. Geschikt voor binnen- en buitengebruik.</t>
  </si>
  <si>
    <t xml:space="preserve">Stalen airmover plug 1.1/2", staal massief inclusief lassok.
</t>
  </si>
  <si>
    <t>ARGUS KOGELKRAAN TYPE FK 75, ND 16,MET HANDSTEEL.NW  80,
INBOUWMMAAT 180MM.
Type afsluiter       : Kogel
Merk                 : Argus
Diameter             : DN80
Draairichting        : rechts
Aantal slagen        : 1/4 slag
Nominale drukklasse  : PN 16
Verbindingstechniek 1: flens
Verbindingstechniek 2: flens
Afsluiter bekleed    : nee
Inbouwmaat           : 180 mm
Afsluiter bediening  : handsteel
Materiaal            : Staal
Spindelmaat          : -</t>
  </si>
  <si>
    <t>ARGUS STALEN KOGELKRAAN FK 75 DN 100PN 16 KB RF FB 18548442.ART.NR. 31
51-0100-552972.</t>
  </si>
  <si>
    <t>Vlinderklep in geflensde uitvoering PN16 flensboring
met 16bar druk + wormkast alu flenstype G.
Doorlaat: 200 mm, (8")
Huis: GGG40,
Spindel en klep: RVS 316,
Zitting: BUNA-N,
max. werkdruk: 8 bar,
12 boutgaten van 22 mm / steekcirkel 295 mm
standaard approvals: Lloyds en DNV,
bouwlengte conform Alliander/Liander-standaard.
Inclusief: zwart draaiwiel/handwiel.</t>
  </si>
  <si>
    <t>Vlinderklep in geflensde uitvoering PN16,
met wormkast klein,
Doorlaat: 250 mm, (10")
Huis: GGG40,
Spindel en klep: RVS 316,
Zitting: BUNA-N,
max. werkdruk: 8 bar,
12 boutgaten van 26 mm / steekcirkel 355 mm
standaard approvals: Lloyds en DNV,
bouwlengte conform Alliander/Liander-standaard.</t>
  </si>
  <si>
    <t xml:space="preserve">Druk manometer, meettype doosveer, schaalbereik 0-60mbar, klasse 1.6,
onderaansluiting 1/2, materiaal RVS, kast doorsnede 100mm.
</t>
  </si>
  <si>
    <t xml:space="preserve">Druk manometer, meettype doosveer, schaalbereik 0-250mbar, klasse 1.6,
onderaansluiting 1/2", materiaal RVS-messing, kast doorsnede 100mm.
</t>
  </si>
  <si>
    <t xml:space="preserve">Druk manometer, meettype doosveer, schaalbereik 0-400mbar, klasse 1.6,
achteraansluiting 1/2", materiaal RVS-messing, kast doorsnede 100mm.
</t>
  </si>
  <si>
    <t xml:space="preserve">Druk manometer, meettype buisveer, schaalbereik 0-2,5Bar, klasse 2.5,
onderaansluiting 1/4", materiaal RVS-messing, kast doorsnede 63mm.
</t>
  </si>
  <si>
    <t xml:space="preserve">Druk manometer, meettype buisveer, schaalbereik 0-10Bar, klasse 2.5,
onderaansluiting 1/4", materiaal RVS-messing, kast doorsnede 63mm.
</t>
  </si>
  <si>
    <t xml:space="preserve">Druk manometer, meettype buisveer, schaalbereik 0-10Bar, klasse 1.0,
onderaansluiting 1/2", materiaal RVS-messing, kast doorsnede 100mm.
</t>
  </si>
  <si>
    <t xml:space="preserve">Drukregelaar met gasgebrekklep.
Aansluiting: inlaat binnendraad Rp 3/4" x uitlaat puntstuk R 3/4"
Capaciteit (aardgas) = 10 m3/h
Pi max = 200 mbar
Pafslag = 15 mbar
Puit nom = 28 mbar.
Type WMRG10-K 3/4". (20189). Met inwendig filter. Haakse
huisdrukregelaar met B-klep, combinatieregelaar, combiklep. Gele dop.
Merk gAvilar.
</t>
  </si>
  <si>
    <t xml:space="preserve">Gasdrukregelaar, merk: Brian Donkin. Type: 226Mk3. Aansluiting
binnendraad 2".  Maximale inlaatdruk: 350mbar. Geschikt voor een omge
vings temperatuur van -20°C tot +60°C. Ingeregeld op een uitlaatdruk van +/- 3
inlaatdruk van 100mbar en een uitlaatdruk van 30mbar is 210m3/h.
</t>
  </si>
  <si>
    <t>Stuurdrukregelaar voor Axial-flow valve, type ZSC100,
Afstelling PU=3 bar.
Restrictor manifold orifice 3/32".</t>
  </si>
  <si>
    <t>Voordrukregelaar Type: HARNO PILOT v.afv PU=100 mBar.
Veerbereik 0 - 2,5 bar.</t>
  </si>
  <si>
    <t xml:space="preserve">Gasdrukregelaar, merk: Instromet/Rockwell. Type 243-12-2-SRL veerbelast
met veiligheidsklep. Nominale diameter: DN50 / 4 gats. Ingezet voor een
werkdruk: inlaatzijdig maximaal 8 Bar, uitlaatzijdig 100 mbar.
Klepzitting 3/8".
</t>
  </si>
  <si>
    <t xml:space="preserve">Veiligheidafslagklep, merk: IGA-Elster. Type: SSV serie 100 LP = lage
druk uitvoering. Flensaansluiting. Nominale diameter: DN50 / PN16 / 4
gats. Veerrange 141 t/m 200 mbar. Geschikt voor een druk van maximaal 19
Bar.
</t>
  </si>
  <si>
    <t xml:space="preserve">Veiligheidafslagklep, merk: IGA-Elster. Type: SSV serie 100 LP = lage
druk uitvoering. Flensaansluiting. Nominale diameter: DN80 / PN16 / 8
gats. Veerrange 141 t/m 200 mbar. Geschikt voor een druk van maximaal 19
Bar.
</t>
  </si>
  <si>
    <t xml:space="preserve">Veiligheidafslagklep, merk: IGA-Elster. Type: SSV serie 100 HP = hoge
druk uitvoering. Flensaansluiting. Nominale diameter: DN100 / PN16 / 8
gats. Veerrange 2,5 t/m 6 Bar. Geschikt voor een druk van maximaal 19
Bar.
</t>
  </si>
  <si>
    <t xml:space="preserve">Veiligheidafslagklep, merk: Elster. Type: Fopso met aangebouwd
filterhuis. 3/4" BSP binnendraad. Veerrange 100 t/m 210 mbar.
</t>
  </si>
  <si>
    <t>Veiligheidafslagklep, merk:IGA.
Type: Opso.</t>
  </si>
  <si>
    <t xml:space="preserve">Stuurventiel, merk OPSO Pneumax.
Type: LP. Aansluitmaten: 3/2 ventiel 1/4"BSP, afslagunit 1/4"NPT.
Veertype 888-888-513-063 / 70017PO77.
Kleur paars. Veerbereik 140 tot 210mbar.
Geschikt voor een omgevingstemperatuur van -20°C tot +60°C.
</t>
  </si>
  <si>
    <t xml:space="preserve">Schakelventiel 3 aansluitingen met 2 standen. Knop groen. NO = Normally
Open. PN16. Veerretour. Binnendraad BSP 1/4".
</t>
  </si>
  <si>
    <t>Sleeve H5
voor AXIALFLOW 80
Type: 73404P009.</t>
  </si>
  <si>
    <t>Lasnippel 1/2" materiaal Staal.</t>
  </si>
  <si>
    <t>Meetnippel 1/8",
messing,
conform NEN 1571.</t>
  </si>
  <si>
    <t xml:space="preserve">Snijring koppeling recht, 10mm x NPT1/8 buitendraad, DIN2353. Materiaal
Staal-verzinkt.
</t>
  </si>
  <si>
    <t xml:space="preserve">Snijring koppeling recht, 10mm x NPT1/4 buitendraad, DIN2353. Materiaal
Staal-verzinkt.
</t>
  </si>
  <si>
    <t>Snijring koppeling knie, 10mm x 10mm, DIN2353, materiaal staal-verzinkt.</t>
  </si>
  <si>
    <t>Snijring koppeling knie, 8mm x NPT1/8 buitendraad, DIN2353,  materiaal
staal-verzinkt.</t>
  </si>
  <si>
    <t>Snijring koppeling knie, 10mm x NPT1/8 buitendraad, DIN2353,  materiaal
staal-verzinkt.</t>
  </si>
  <si>
    <t>Snijring koppeling knie, 10mm x NPT1/4 buitendraad, DIN2353,  materiaal
staal-verzinkt.</t>
  </si>
  <si>
    <t xml:space="preserve">Snijring koppeling knie, 12mm x NPT1/4 buitendraad, DIN2353,  materiaal
staal-verzinkt.
</t>
  </si>
  <si>
    <t>Snijring koppeling knie, 12mm x NPT1/2 buitendraad, DIN2353,  materiaal
staal-verzinkt.</t>
  </si>
  <si>
    <t xml:space="preserve">Snijring koppeling T-stuk, 12mm x 12mm x 12mm, DIN2353.
Materiaal Staal-verzinkt.
</t>
  </si>
  <si>
    <t xml:space="preserve">Snijring koppeling recht, 10mm x 10mm, DIN2353. Materiaal
Staal-verzinkt.
</t>
  </si>
  <si>
    <t xml:space="preserve">Snijring 10mm, DIN2353. Materiaal Staal-verzinkt.
</t>
  </si>
  <si>
    <t>Kabelhakmes KWG 2050 v.loodmantel (ALL)
Kabelmessen,
Hakmes v.loodmantel KWG 2050</t>
  </si>
  <si>
    <t xml:space="preserve">Kruissleutel 584D bl.2 v kasten (ALL)
</t>
  </si>
  <si>
    <t xml:space="preserve">Trekveer Wymefa 192603 10mtr met binnenkabel
Om installatiedraad in installatiebuis te trekken. Met binnenkabel.
</t>
  </si>
  <si>
    <t xml:space="preserve">Batterij Varta CR2032 20,0x3,2mm lithium 3,0V-230mAh
Type: CR2032 Batterij Varta   lithium 3,0V-230mAh Type: Knoopcel
Systeem: Lithium Voltage: 3,0 V Hoogte: 3.2  mm Diameter: 20  mm
Toepassing o.a. calculators, elektronische organizers."
</t>
  </si>
  <si>
    <t xml:space="preserve">Batterij Varta 4901/LR1 12,0x30,2mm alkaline 1,5V-880mAh
Krachtige alkalinebatterij, met een groot temperatuurbereik en hoge
weerstand tegen trillingen en stoten. Toepassing o.a. CD/ MD/ MP3-
spelers, speelgoed, camera's, afstandbedieningen.
</t>
  </si>
  <si>
    <t>Volgens onze tekening 51.111/2.
(oud art.nr. 718360).</t>
  </si>
  <si>
    <t>Suikerstick a 4 gram. Doos a 1000 st</t>
  </si>
  <si>
    <t>Creamerstick a 2,5 gram. Doos a 1000 st
***DIT PRODUCT BEVAT ALLERGENEN***</t>
  </si>
  <si>
    <t>Betontegel. Buitenmaat 60 cm x 40 cm x 5 cm. Kleur grijs.</t>
  </si>
  <si>
    <t xml:space="preserve">Betonband 100x15x5cm (ALL)
</t>
  </si>
  <si>
    <t xml:space="preserve">Profielpaal voor aanwijsbord.
materiaal: aluminium, diameter: 48 mm, lengte: 1500 mm, uitgerust met
een grond ankerbuis.
</t>
  </si>
  <si>
    <t xml:space="preserve">Aanwijsbord voor zinker aanduiding, vervaardigd van metaal frame
thermisch verzinkt met aluminimum aanduidingsbord geel met zwarte o
pschrift Z en GAS, afmeting bord vierkant 40 x 40cm.
</t>
  </si>
  <si>
    <t xml:space="preserve">Magnesium lintanode 3/4 x 3/8 met stalen kern 1/8.
</t>
  </si>
  <si>
    <t xml:space="preserve">Kunststof zegelkap met kliksluiting, 1-delig, geel tbv gas, Fabr: KZ;
Type: TP 3/4" Dinwendig = 43; Binwendig = 23 mm; d1 = 33 mm; d2 = 27.4
mm; tbv: Gasmeter G4-G6 met  GM3/4" wartelmoer; Kraankoppeling met G1"
wartelmoer; 22knel
</t>
  </si>
  <si>
    <t xml:space="preserve">Verfblik 1 liter met deksel ve=1
Cilindrische blikverpakking voor verf, lak en beits. De vorm is rond, de
romp recht (dus niet stapelbaar) en aan de bovenzijde van het verfblik
is een ring waarin het deksel sluit.
</t>
  </si>
  <si>
    <t>LAAGSPANNINGSVERDEELREK 5 VELDEN UITBREIDINGUITVOERING B: KOPPELREK 5
AFGAANDE KABELVELDEN, TEK. EAAS006,
VELDINDELING VAN LINKS NAAR RECHTS:
VELD 1: RESERVE (KOPPELING)
VELD 2 T/M 5: RESERVE VELD
HET KOPPELREK WORDT GELEVERD:
- EXCLUSIEF VERTICALE NUL-/AARDRAILSTRIP
- INCLUSIEF KOPPELSTUKKEN
OP DE V-ITP ISOLATIEDRAGER KAN EEN TESTSET WORDEN GEMONTEERD.
OP DE OPENDOOSPROFIELEN WORDEN TWEE KLEMBEUGELS T.B.V. ZADELS D.M.V.
WYBERTS T.B.V. DE INSTALLATIEBUIS GEMONTEERD.</t>
  </si>
  <si>
    <t>hoogspanningspatronen fabr. Line Equipment,7,2 kV, type AFLSJ, 100A, D
IN 43625</t>
  </si>
  <si>
    <t>hoogspanningspatronen fabr. Line Equipment,7,2 kV, type AFLAJ  63A</t>
  </si>
  <si>
    <t>hoogspanningspatronen, full range, 12 kV, volgens IEC 282-1/DIN 43625,
type FFLNJ, 63 A, zonder slagstift of melder</t>
  </si>
  <si>
    <t xml:space="preserve">Lasbocht, materiaal staalsoort P235GH, volgens NEN EN 10027-1,
afmetingen: 323,9x5,6mm, 90 graden, 5D, volgens NEN EN 10253-2, afges
chuind, markering: charge,staalsoort en leverancier.
</t>
  </si>
  <si>
    <t xml:space="preserve">buigzaam rvs gasmeteraansluitingen, met meetnippel, geisoleerd,
gasmeter- x kraankoppeling
Diam.inw. 1.1/2" (DN40).
Flex voor gasmeter G10/G16 met
kraankoppelling G2"wm x R1.1/2";
Kraankoppeling volgens NEN2542; Schroefdraad volgens ISO7-1; Nippel
volgens NEN1571
type: EGI 5 x 470 x 1.1/2"
</t>
  </si>
  <si>
    <t xml:space="preserve">Gasdrukregelaar, merk: IGA. Type 1843-B veerbelast met
veiligheidsafslagklep, aansluiting: binnendraad BSP 1", spuitstuk 3/16",
inlaatdruk maximaal  4 bar, uitlaatdruk 30 mbar, afblaas 45 mbar.
</t>
  </si>
  <si>
    <t xml:space="preserve">Encapress reparatiepakket 100 mm
Doos met:
- Component-A (0,125 kg in plastic fles)
- Component-B (2,336 kg in blik)
- Manchet
- Sluiting
- Plastic handschoenen
- primer (25ml ; 0,126 kg)
</t>
  </si>
  <si>
    <t>Encapress reparatie-pakketten 150 mm
Doos met:
- Component-A (0,160 kg in plastic fles)
- Component-B (3,029 kg in blik)
- Manchet
- Sluiting
- Plastic handschoenen
- primer (25ml ; 0,123 kg)</t>
  </si>
  <si>
    <t xml:space="preserve">Encapress reparatie-pakketten 200 mm
Doos met:
- Component-A (0,160 kg in plastic fles)
- Component-B (4 kg in blik)
- Manchet
- Sluiting
- Plastic handschoenen
- primer (50ml ; 0,147 kg)
</t>
  </si>
  <si>
    <t>Encapress reparatie-pakket 250 mm.
Doos met:
- Component-A (0,160 kg in plastic fles)
- Component-B (5,749 kg in blik)
- Manchet
- Sluiting
- Plastic handschoenen
- primer (50ml ; 0,149 kg)</t>
  </si>
  <si>
    <t>Encapress reparatie-pakket 300 mm.
Doos met:
- Component-A (0,160 kg in plastic fles)
- Component-B (6,490 kg in blik)
- Manchet
- Sluiting
- Plastic handschoenen
- primer (50ml ; 0,147 kg)</t>
  </si>
  <si>
    <t xml:space="preserve">Encapress reparatie-pakket 375 mm
Doos met:
- Component-A (-,--- kg in plastic fles)
- Component-B (7 kg in blik)
- Manchet
- Sluiting
- Plastic handschoenen
- primer (50ml ; 0,147 kg)
</t>
  </si>
  <si>
    <t xml:space="preserve">Soldeerdraad Griffon 2mm 40%Sn/60%Pb m. kern pot 500gr
Met geactiveerde harskern.
</t>
  </si>
  <si>
    <t>Huisvuilzakken
type Komo, certificaatnummer 32675
Afmeting 60x 80 cm
Dikte 0,05 mm.
Rol bevat 20 zakken; 20 rollen in een doos.</t>
  </si>
  <si>
    <t>C-klem geschikt voor 25mm2 kabel.</t>
  </si>
  <si>
    <t xml:space="preserve">Vierkantstaal 16mm. lengte 6 meter. Uitvoering gestraald. Voorzien van
lasverf.
</t>
  </si>
  <si>
    <t>Vierkantstaal 20mm. Lengte 6 meter. Uitvoering gestraald. Voorzien van
lasverf.</t>
  </si>
  <si>
    <t>Vierkantstaal 24mm. Lengte 6 meter. Uitvoering gestraald. Voorzien van
lasverf.</t>
  </si>
  <si>
    <t xml:space="preserve">Stalen stop met vierkant, 1/4" conische gasdraad, gegalvaniseerd.
</t>
  </si>
  <si>
    <t>Stalen stop met vierkant, 1/2" conische gasdraad, gegalvaniseerd.</t>
  </si>
  <si>
    <t xml:space="preserve">Stalen stop met vierkant, 3/4" conische gasdraad, gegalvaniseerd.
</t>
  </si>
  <si>
    <t xml:space="preserve">Stalen stop met vierkant, 1" conische gasdraad, gegalvaniseerd.
</t>
  </si>
  <si>
    <t>2-delige isolatiekoppeling;
materiaal: messing;
aansluiting 1: wartel 1", cilindrisch (G) draad,
    wartelmoer volgens NEN 176;
aansluiting 2: buitendraad 3/4", conisch afdichtend (R),
    puntstuk volgens NEN 3258.</t>
  </si>
  <si>
    <t>Letterblokje, zwarte opdruk "A", achtergrond geel, afmetingen: 26 x 16
mm. Conform NEN 1184.</t>
  </si>
  <si>
    <t>Letterblokje, zwarte opdruk "D", achtergrond geel, afmetingen: 26 x 16
mm. Conform NEN 1184.</t>
  </si>
  <si>
    <t>Letterblokje, zwarte opdruk "H", achtergrond geel, afmetingen: 26 x 16
mm. Conform NEN 1184.</t>
  </si>
  <si>
    <t>Letterblokje, zwarte opdruk "K", achtergrond geel, afmetingen: 26 x 16
mm. Conform NEN 1184.</t>
  </si>
  <si>
    <t>Letterplaatje,
zwarte opdruk "L", achtergrond geel, afmetingen: 26 x 16 mm.
Conform NEN 1184.</t>
  </si>
  <si>
    <t>Letterblokje, zwarte opdruk "N", achtergrond geel, afmetingen: 26 x 16
mm. Conform NEN 1184.</t>
  </si>
  <si>
    <t>Letterblokje, zwarte opdruk "S", achtergrond geel, afmetingen: 26 x 16
mm. Conform NEN 1184.</t>
  </si>
  <si>
    <t>Letterblokje, zwarte opdruk "V", achtergrond geel, afmetingen: 26 x 16
mm. Conform NEN 1184.</t>
  </si>
  <si>
    <t>Letterblokje, zwarte opdruk "W", achtergrond geel, afmetingen: 26 x 16
mm. Conform NEN 1184.</t>
  </si>
  <si>
    <t>Cijfer c.q. letterblokje, "blanco", achtergrond geel, afmetingen: 25 x
16 mm. Conform NEN 1184.</t>
  </si>
  <si>
    <t>Cijferblokje, zwarte opdruk "0", achtergrond geel, afmetingen: 26 x 16
mm. Conform NEN 1184.</t>
  </si>
  <si>
    <t>Cijferblokje, zwarte opdruk "1", achtergrond geel, afmetingen: 26 x 16
mm. Conform NEN 1184.</t>
  </si>
  <si>
    <t>Cijferblokje, zwarte opdruk "2", achtergrond geel, afmetingen: 26 x 16
mm. Conform NEN 1184.</t>
  </si>
  <si>
    <t>Cijferblokje, zwarte opdruk "3", achtergrond geel, afmetingen: 26 x 16
mm. Conform NEN 1184.</t>
  </si>
  <si>
    <t>Cijferblokje, zwarte opdruk "4", achtergrond geel, afmetingen: 26 x 16
mm. Conform NEN 1184.</t>
  </si>
  <si>
    <t>Cijferblokje, zwarte opdruk "5", achtergrond geel, afmetingen: 26 x 16
mm. Conform NEN 1184.</t>
  </si>
  <si>
    <t>Cijferblokje, zwarte opdruk "6" c.q. "9", achtergrond geel, afmetingen:
26 x 16 mm. Conform NEN 1184.</t>
  </si>
  <si>
    <t>Cijferblokje, zwarte opdruk "7", achtergrond geel, afmetingen: 26 x 16
mm. Conform NEN 1184.</t>
  </si>
  <si>
    <t>Cijferblokje, zwarte opdruk "8", achtergrond geel, afmetingen: 26 x 16
mm. Conform NEN 1184.</t>
  </si>
  <si>
    <t>Cijferplaatje,
zwarte opdruk ",0", achtergrond geel, afmetingen: 26 x 16 mm.
Conform NEN 1184.</t>
  </si>
  <si>
    <t>Cijferplaatje,
zwarte opdruk ",1", achtergrond geel, afmetingen: 26 x 16 mm.
Conform NEN 1184.</t>
  </si>
  <si>
    <t>Cijferplaatje,
zwarte opdruk ",2", achtergrond geel, afmetingen: 26 x 16 mm.
Conform NEN 1184.</t>
  </si>
  <si>
    <t>Cijferplaatje,
zwarte opdruk ",3", achtergrond geel, afmetingen: 26 x 16 mm.
Conform NEN 1184.</t>
  </si>
  <si>
    <t>Cijferplaatje,
zwarte opdruk ",4", achtergrond geel, afmetingen: 26 x 16 mm.
Conform NEN 1184.</t>
  </si>
  <si>
    <t>Cijferplaatje,
zwarte opdruk ",5", achtergrond geel, afmetingen: 26 x 16 mm.
Conform NEN 1184.</t>
  </si>
  <si>
    <t>Cijferplaatje,
zwarte opdruk ",6", achtergrond geel, afmetingen: 26 x 16 mm.
Conform NEN 1184.</t>
  </si>
  <si>
    <t>Cijferplaatje,
zwarte opdruk ",7", achtergrond geel, afmetingen: 26 x 16 mm.
Conform NEN 1184.</t>
  </si>
  <si>
    <t>Cijferplaatje,
zwarte opdruk ",8", achtergrond geel, afmetingen: 26 x 16 mm.
Conform NEN 1184.</t>
  </si>
  <si>
    <t>Cijferplaatje,
zwarte opdruk ",9", achtergrond geel, afmetingen: 26 x 16 mm.
Conform NEN 1184.</t>
  </si>
  <si>
    <t xml:space="preserve">Gasdrukregelaar met veiligheidafslagklep, merk IGA.
Type 1843-B2-L.
Aansluiting binnendraad BSP 1". Spuitstuk 1/8"x3/16" (taps).
Inbouwlengte 100mm.
Inlaatdruk maximaal 8Bar.
Ingeregeld voor een uitlaatdruk van 100mbar. Capaciteit 50m3/h.
</t>
  </si>
  <si>
    <t xml:space="preserve">Gasdrukregelaar inclusief besturingsysteem.
Merk: IGA.
Type: Axial flow valves, serie 300.
Nominale diameter DN50 flenstussenbouw 77mm, voorzien van een sleeve H5.
Pilot type: Harnoreg AR .
Veer bereik van 35 tot 140mbar.
</t>
  </si>
  <si>
    <t xml:space="preserve">Gasdrukregelaar, merk: Elster Jeavons. Type: J48. Uitvoering: recht.
Toegestane werkdruk: inlaatzijdig maximaal 350mbar, uitlaatzijdig
maximaal 160mbar. Voorzien aan in en uitlaatzijde van 1.1/2" gas
binnendraad. Geschikt voor een omgevings temperatuur van -20°C tot
+70°C. Ingeregeld op een uitlaatdruk van +/- 30mbar.
</t>
  </si>
  <si>
    <t xml:space="preserve">Veiligheidafslagklep, merk: Elster. Type: Fopso met aangebouwd
filterhuis. 1" BSP binnendraad. Veerrange 100 t/m 210 mbar.
</t>
  </si>
  <si>
    <t xml:space="preserve">Schuifafsluiter DN200.
Materiaal: GGG-50
Aansluitingen: flens 200 mm / flens 200 mm, 8-boutgaten 22 mm
Drukklasse: PN10
Bekleding: Epoxy/PUR coating volgens DIN 30677-2
Materiaalschuif: NBR (rubber)
Bouwlengte : 400 mm,
Spindelmaat: 24 mm
Gewicht 70 KG.
</t>
  </si>
  <si>
    <t xml:space="preserve">Schuifafsluiter DN250.
Materiaal: GGG-50
Aansluitingen: flens 250 mm / flens 250 mm, 12-boutgaten 22 mm
Drukklasse: PN10
Bekleding: Epoxy/PUR coating volgens DIN 30677-2
Materiaalschuif: NBR (rubber)
Bouwlengte : 450 mm
Spindelmaat: 27 mm
Gewicht 110 KG.
</t>
  </si>
  <si>
    <t xml:space="preserve">Schuifafsluiter DN300
Materiaal: GGG-50
Aansluitingen: flens 300 mm / flens 300 mm, 12-boutgaten 22 mm
Drukklasse: PN10
Bekleding: Epoxy/PUR coating volgens DIN 30677-2
Materiaalschuif: NBR (rubber)
Bouwlengte : 500 mm
Spindelmaat: 27 mm
Gewicht 160 KG.
</t>
  </si>
  <si>
    <t>Koppelmof voor spindel vierkant 22 mm, materiaal gietijzer, inclusief 2
RVS bouten.</t>
  </si>
  <si>
    <t>Kast met fundatie voor woonboot,
Materiaal kast: Polyester.
Afmetingen kast: 865 x 590 x 320 mm.
Afmetingen sokkel: 902 x 585 x 310 mm.
met
gemonteerde Melamine montageplaat 490 x 18 mm.
O&lt;(&gt;&amp;&lt;)&gt;K, type: EH-3, grootte: DIN-O.
{bestelnr. 015/411.000.003 KAST en 015/411.160.000 SOKKEL}.</t>
  </si>
  <si>
    <t xml:space="preserve"> Rubberen afdichtingsplug, materiaal: EPDM 103 x 75 mm voor mantelbuis
110 mm.</t>
  </si>
  <si>
    <t xml:space="preserve">Dubbele nippel 1/4"X 1/4" buitendraad, Materiaal RVS 316, met montage
zeskant.
</t>
  </si>
  <si>
    <t>Dubbele nippel staal 3/4" x 1/2" buitendraad.</t>
  </si>
  <si>
    <t>Snijring koppeling knie, 12mm x BSP3/8 buitendraad, DIN2353,  materiaal
staal-verzinkt.</t>
  </si>
  <si>
    <t xml:space="preserve">Laszadel,
materiaal: staal (Weldolet),
afmeting : 323,9 x 60,3 mm (12" x 2")
kan ook als 406,4 x 60,3 mm (16" x 2") worden toegepast.
</t>
  </si>
  <si>
    <t>Blindflens, materiaal: staalsoort P250GH zijn volgens NEN EN 10027-1,
nominale druk: PN 16 bar, nominale diameter: DN200, uitwendige diameter:
340 x 24 mm, aantal en diameter boutgaten: 12 x 22 mm, volgens NEN EN
1092-1.</t>
  </si>
  <si>
    <t>Insteekmof, verlengd,
Materiaal: PVC-slagvast (CPE / PVC-A), klasse 33,
kleur: geel,
afmetingen: 63 mm.
Gastec QA-merk.</t>
  </si>
  <si>
    <t>Slang 6x9mm siliconen
Per cm!</t>
  </si>
  <si>
    <t>Aftakzadel elektrolas PE100 SDR11 110x63mm, monoblock. Diameter
doorgaande leiding 110mm, aftakking 63mm spie-eind.</t>
  </si>
  <si>
    <t>Klemmenblokset PE25 PEKO/PECU-leiding-enkel 25mm M6x70 (ALL)
Klemblokset.
Geschikt voor  PE25 PEKO/PECU leiding.
Bevestiging dmv bout M6x70mm.
Klemmenblokset v PE25 PEKO/PECU-leiding (enkel) 2x klemblok, schaaldeel
kunststof 25 mm, 2x dekplaatje st verz, 2x slotbout + moer M6x70.</t>
  </si>
  <si>
    <t xml:space="preserve">Dop Omsteek 25mm zwart polyethyleen rond
Zwarte uitvoering, met bol draagvlak, voor ronde buis, omsteek.
</t>
  </si>
  <si>
    <t xml:space="preserve">Dop Omsteek 32mm zwart polyethyleen rond
Zwarte uitvoering, met bol draagvlak, voor ronde buis, omsteek.
</t>
  </si>
  <si>
    <t>Kabel V-VMvKhsas 0.6/1kV - 4 x 50Alsvm + 4 x 2.5 + sas25 volgens
NEN3616. Aderkleuren rood, geel, blauw en geel/blauw. Brandklasse Eca.
Haspels van 500m.</t>
  </si>
  <si>
    <t>Gasket + Gland assy voor Rockwell 243-8
- 1x Diaphragm 143-82-150-00
- 1x Gland assy 210-019-300-006
POST 6: DIAPHR. GLAND ASSY: 210-019-300-016
POST 7: GASKET: 210-019-063-44</t>
  </si>
  <si>
    <t xml:space="preserve">Bouwfolie 2x50mtrx0,2mm transparant PE.
Voor allerlei toepassingen in de bouw. Ook voor gebruik onder beton.
</t>
  </si>
  <si>
    <t xml:space="preserve">Hangslot Abus 65/40 HB63 40mm 63mm ms met stalen beugel
Type: 65/60 Hangslot Abus Gemaakt van messing, met geharde vernikkelde
beugel. Dubbele automatische vergrendeling, ontgrendeling door 2
meegeleverde sleutels. Verschillend sluitend. Kastbreedte: 60 mm.
</t>
  </si>
  <si>
    <t xml:space="preserve">Multireiniger Glassex 750 ml; Glassex Multireiniger voor het reinigen
van glas, spiegels, ruiten, gladde oppervlakken enz.
Inhoud: 750 ml (spuitflacon).
</t>
  </si>
  <si>
    <t xml:space="preserve">Achterplaat voor aanwijsbord, materiaal: alumiunium, afmeting: 120 x 160
mm. Conform NEN 1184.
</t>
  </si>
  <si>
    <t>Vinyl mantelleiding
VMVL 3 x 0,75 qmm, wit
Rol a 100 meter.</t>
  </si>
  <si>
    <t xml:space="preserve">Wartel M16, bereik 4 – 10 mm, IP68, kunststof, kleur RAL 7035 (licht
grijs), inbouw gat 16mm, schroefdraad metrisch, bestel ook de
 wartelmoer M16 voor bevestigen wartel in behuizing. Levering per stuk.
Wiska (ESKV16).
</t>
  </si>
  <si>
    <t xml:space="preserve">Wartel M20, bereik 6 – 13 mm, IP68, kunststof, kleur RAL 7035 (licht
grijs), inbouw gat 20mm, schroefdraad metrisch, bestel ook de
 wartelmoer M20 voor bevestigen wartel in behuizing. Levering per stuk.
Wiska (ESKV20).
</t>
  </si>
  <si>
    <t xml:space="preserve">Wartel M32, bereik 13 – 21 mm, IP68, kunststof, kleur RAL 7035 (licht
grijs), inbouw gat 32mm, schroefdraad metrisch, bestel ook de
 wartelmoer M32 voor bevestigen wartel in behuizing. Levering per stuk.
Wiska (ESKV32).
</t>
  </si>
  <si>
    <t>Kabel V - VMvKhsas 0.6/1kV - 4 x 150Alsvm + 4 x 6 + sas50 volgens
NEN3616. Aderkleuren rood, geel, blauw en geel/blauw. Brandklasse Eca.
Haspels van 500m.</t>
  </si>
  <si>
    <t>Overschuifflens v laskraag PE 250mm, electrolas, materiaal: staalsoort ,
gecoat, diameter doorlaat: DN 250, drukklasse: PN 10 , Steekcirkel: 350
mm, Aantal en diameter boutgaten: 12 x 22 mm.</t>
  </si>
  <si>
    <t>Overschuifflens v laskraag PE 315mm, electrolas, materiaal: staalsoort ,
gecoat, diameter doorlaat: DN 300, drukklasse: PN 10, Steekcirkel: 400
mm, Aantal en diameter boutgaten: 12 x 22 mm.</t>
  </si>
  <si>
    <t>Overschuifflens v laskraag PE 400mm, electrolas, materiaal: staalsoort ,
gecoat, diameter doorlaat: DN 400, drukklasse: PN 10 , Steekcirkel: 515
mm, Aantal en diameter boutgaten: 16 x 26 mm.</t>
  </si>
  <si>
    <t>Eindkap PE elektrolas, 10 bar gas, 50 mm, PE100 SDR11.</t>
  </si>
  <si>
    <t>Knie PE elektrolas, 10 bar gas, 45 graden, 50 mm, PE100 SDR11.</t>
  </si>
  <si>
    <t>Knie PE elektrolas, 10 bar gas, 90 graden, 50mm, PE100 SDR11.</t>
  </si>
  <si>
    <t>Mof PE elektrolas, 10 bar gas, 250 mm, PE100 SDR11.</t>
  </si>
  <si>
    <t>Mof PE elektrolas, 10 bar gas, 315 mm, PE100 SDR11.</t>
  </si>
  <si>
    <t>Mof PE elektrolas, 10 bar gas, 400 mm, PE100 SDR11.</t>
  </si>
  <si>
    <t xml:space="preserve">Mof verloop PE elektrolas, 10 bar gas, PE100 SDR11, elektrolasmof 63 mm
x 50mm.
</t>
  </si>
  <si>
    <t xml:space="preserve">T-stuk, PE, 10 bar gas, PE100 SDR11, elektrolasmof 63 mm x 63 mm x 63
mm.
</t>
  </si>
  <si>
    <t xml:space="preserve">T-stuk PE, 10 bar gas, PE100 SDR11, elektrolasmof 75 mm x 75 mm x 75 mm.
</t>
  </si>
  <si>
    <t xml:space="preserve">T-stuk PE, 10 bar gas, PE100 SDR11, elektrolasmof 110 mm x 110 mm x 110
mm.
</t>
  </si>
  <si>
    <t xml:space="preserve">T-stuk PE, 10 bar gas, PE100 SDR11, elektrolasmof 160 mm x 160 mm x 160
mm.
</t>
  </si>
  <si>
    <t xml:space="preserve">PE blaasgatzadel 110mm x 2"bi - 2.1/2bu".
</t>
  </si>
  <si>
    <t xml:space="preserve">PE blaasgatzadel 160mm x 2"bi - 2.1/2bu".
</t>
  </si>
  <si>
    <t xml:space="preserve">Mof PE elektrolas, 10 bar gas, PE100 SDR11, 125 mm.
</t>
  </si>
  <si>
    <t>L.S.- REK 9 moduul (gemonteerd)</t>
  </si>
  <si>
    <t>Laagspanningsrek 6 moduul (gemonteerd).</t>
  </si>
  <si>
    <t>Overschuifflens v laskraag PE 315mm, electrolas, materiaal: staalsoort ,
gecoat, diameter doorlaat: DN 300, drukklasse: PN 16, Steekcirkel: 410
mm, Aantal en diameter boutgaten: 12 x 26 mm.</t>
  </si>
  <si>
    <t>Overschuifflens v laskraag PE 400mm, electrolas, materiaal: staalsoort ,
gecoat, diameter doorlaat: DN 400, drukklasse: PN 16, Steekcirkel: 525
mm, Aantal en diameter boutgaten: 16 x 30 mm.</t>
  </si>
  <si>
    <t xml:space="preserve">Filterelement voor gas.
Afmetingen: Bu = 78 x Bi = 32 x L = 100 mm.
Filteroppervlakte = 0,0432m2.
Metaaldelen: Geëpoxeerd staal
Filtermedium: Polyesternaaldvilt 3um / 570gram op gegalvaniseerd
staalgaas genaaid.
Verlijming: polyethaanhars.
Afdichting: Vilt (4mm dik). Merk, Golden Super (GSF), type GS-10267
(type 1).
</t>
  </si>
  <si>
    <t xml:space="preserve">Filterelement voor gas.
Afmetingen: Bu = 390 x Bi = 246 x L = 460 mm.
Filteroppervlakte = 2,70m2.
Metaaldelen: Geëpoxeerd staal
Filtermedium: Polyesternaaldvilt 3um / 570gr.  op gegalvaniseerd
staalgaas genaaid.
Verlijming: polyethaanhars
Afdichting: Vilt (4mm dik). Gastec-code: G-5,0. Merk, Golden Super
(GSF), type GS-5013.
</t>
  </si>
  <si>
    <t xml:space="preserve">Lasbocht, materiaal staalsoort P265GH, volgens NEN EN 10027-1,
afmetingen: 273,0x5,0mm, 90 graden, 3D, volgens NEN EN 10253-2, afges
chuind, markering: charge,staalsoort en leverancier.
</t>
  </si>
  <si>
    <t xml:space="preserve">Lasbocht, materiaal staalsoort P235GH, volgens NEN EN 10027-1,
afmetingen: 406,4x6,3mm, 45 graden, 5D, volgens NEN EN 10253-2, afges
chuind, markering: charge,staalsoort en leverancier.
</t>
  </si>
  <si>
    <t xml:space="preserve">Lasbodem, bol, materiaal staalsoort P265 GH, volgens NEN EN 10027-1,
afmeting 406,4x6,3 mm), vorm 21, hoek 60 graden. voorzien van attest
3.1B volgens NEN EN 10204, volgens NEN EN 1092-2, afgeschuind,
markering: charge,staalsoort en leverancier.
</t>
  </si>
  <si>
    <t xml:space="preserve">Las-T-stuk, materiaal staalsoort P235GH, volgens NEN EN 10027-1,
nominaledruk PN16, afmetingen: 273,0x 5,0* 114,3 x 3,6 mm, volgens NEN
EN 10253-2, afgeschuind, markering: charge,staalsoort en leverancier.
</t>
  </si>
  <si>
    <t xml:space="preserve">Las-T-stuk, materiaal staalsoort P235GH, volgens NEN EN 10027-1,
nominaledruk PN16, afmetingen: 323,9x 5,6* 114,3 x 3,6 mm, volgens NEN
EN 10253-2, afgeschuind, markering: charge,staalsoort en leverancier.
</t>
  </si>
  <si>
    <t xml:space="preserve">Lasverloopstuk, materiaal staalsoort P235GH, volgens NEN EN 10027-1,
nominaledruk PN16, afmetingen: 406,4x 6,3* 323,9x 5,6mm, volgens NEN EN
10253-2, afgeschuind, markering: charge,staalsoort en leverancier.
</t>
  </si>
  <si>
    <t xml:space="preserve">Lasverloopstuk, materiaal staalsoort P235GH, volgens NEN EN 10027-1,
nominaledruk PN16, afmetingen: 406,4x 6,3* 219,1x 4,5mm, volgens NEN EN
10253-2, afgeschuind, markering: charge,staalsoort en leverancier.
</t>
  </si>
  <si>
    <t>Aftakzadel elektrolas PE100 SDR11 250x63mm, monoblock. Diameter
doorgaande leiding 250mm, aftakking 63mm spie-eind.</t>
  </si>
  <si>
    <t>Blindflens, materiaal: staalsoort P250GH zijn volgens NEN EN 10027-1,
nominale druk: PN 16 bar, nominale diameter: DN 400, uitwendige
diameter: 580 x 32 mm, aantal en diameter boutgaten: 16 x 30 mm, volgens
NEN EN 1092-1.</t>
  </si>
  <si>
    <t>Blindflens, materiaal: staalsoort P250GH zijn  volgens NEN EN 10027-1,
nominale druk: PN 16 bar, nominale diameter: DN 500, uitwendige
diameter: 715 x 36 mm, aantal en diameter boutgaten: 20 x 33 mm, volgens
NEN EN 1092-1.</t>
  </si>
  <si>
    <t xml:space="preserve">Voorlasflens.
Materiaal staalsoort P250GH, volgens NEN EN 10027-1
Nominale druk: PN 10
Nominale diameter: DN 400
Afmeting: 406,4x6,3mm
Aantal en diameter bouten: 16x26 mm, volgens NEN EN 1092-1,afgeschuind.
Markering: charge,staalsoort en leverancier.
</t>
  </si>
  <si>
    <t>BEVESTIGINGSSET - rek, vlakke wand(6 beugels). Sleufgat 20x13,5mmGeel-
gepassiveerd (bichromatiseerd)</t>
  </si>
  <si>
    <t>Laagspanningsstrook,
1600 A, 1-polig, schakelbaar.
LET OP GEWIJZIGDE SPECIFICATIEOFFERTE 94.8636.02/80 - 17/06/94
Beschermkap onder
(over de kabelaansluiting onderzijde afgaande stroken).
Jean Muller
type: SL3-3x2/1600/PL/HO/Q/Y
Lev.nr. C93548702</t>
  </si>
  <si>
    <t>Laagspanningsstrook,
630 A, 1-polig, schakelbaar,
630 A
Beschermkap onder
(over de kabelaansluiting onderzijde afgaande stroken).
Jean Muller,
type: SL3-3x/3A-D14/PL/HO/Q/Y (347-184).
Lev.nr. C93548701.
Inclusief:
- Beugel
- Zakje bevestigingsmiddelen</t>
  </si>
  <si>
    <t>Laagspanningsstrook
1600 A, 1-polig, schakelbaar
Beschermkap onder
(over de kabelaansluiting onderzijde afgaande stroken).
Jean Muller,
type: SL3-3x2/1600/PL/HO/Q/Y</t>
  </si>
  <si>
    <t xml:space="preserve">Opzetstuk voor aanboorzadel, Polsafe, Materiaal: PVC-slagvast (CPE /
PVC-A), met KR-koppeling. Kleur: opzetstuk grijs en wartel geel,
afmetingen: 32 mm x 1.1/2" SDR11 Gastec Qa-merk. Voldoet aan NEN-EN
1555-2.
</t>
  </si>
  <si>
    <t xml:space="preserve">Aanboorzadel toepasbaar als aftakzadel 138-160mmx1½" Polsafe materiaal:
RVS met NBR rubber.
</t>
  </si>
  <si>
    <t xml:space="preserve">Aftakzadel elektrolas PE100 SDR11 75x63mm, monoblock. Diameter
doorgaande leiding 75mm, aftakking 63mm spie-eind.
</t>
  </si>
  <si>
    <t xml:space="preserve">Lasverloopstuk, materiaal staalsoort P235GH, volgens NEN EN 10027-1,
nominaledruk PN16, afmetingen: 406,4x 6,3* 273,0x 5,6mm, volgens NEN EN
10253-2, afgeschuind, markering: charge,staalsoort en leverancier.
</t>
  </si>
  <si>
    <t xml:space="preserve">Lasbocht, materiaal staalsoort P235GH, volgens NEN EN 10027-1,
afmetingen: 406,4x6,3mm, 90 graden, 5D, volgens NEN EN 10253-2, afges
chuind, markering: charge,staalsoort en leverancier.
</t>
  </si>
  <si>
    <t>Afdekhoes,
Transparante zak,</t>
  </si>
  <si>
    <t>Vuilniszakken 85 x100 cm, d=0,07mm.
Materiaal: Polyethyleen.
Kleur: grijs.
Verpakking: doos a 250 st.</t>
  </si>
  <si>
    <t>Zeep, wascreme t.b.v. Tork S-box, wit.
flacons a 1000 ml
Fabr. Tork; type Mevon 55; Tork.nr. 420501.
Geparfumeerde zeep.
Toepassing:
Geschikt voor Tork-dispenser S1 (Alliander art.nr: 20010217).</t>
  </si>
  <si>
    <t xml:space="preserve">Anti corrosion CRC 3-36 spuitbus 250ml
Type: 3-36
Anti-corrosiespray die roest en corrosie tegengaan door het aanwezige
vocht te verdringen. Daarnaast zorgt de beschermende film dat het
afgesloten is voor toekomstig vocht en zuurstof. Het is een universeel
smeermiddel, kruipolie en corrosievertrager en dringt door tot in de
fijnste poriën en scheurtjes van het oppervlak. Het smeert zonder
kleverig te worden, beschermt alle metalen en legeringen en is bruikbaar
voor de meeste geschilderde oppervlakken, coatings, kunststoffen en
rubbersoorten.
Kleur: blauwgroen.
Inhoud: spuitbus à 250 ml.
</t>
  </si>
  <si>
    <t>Fundatie R.V.S. DIN.2  type:RF2G</t>
  </si>
  <si>
    <t>Sleutels driehoek en vierkant
tbv
- zuilen en laagspanningsverdeelkasten
- en deuren van de Peperbus
Volgens tek.: SLE13097(A).</t>
  </si>
  <si>
    <t>Sleutelbuisvolgens tekening 70100 HR 5.
SLEUTELBUIS RVS,
ROND 88,9 x 73,3 MM,
LENGTE 100 MM,
ACHTERPLAAT IS VOORZIEN VAN
4 GATEN ROND 6,5 MM DIE TE
GEBRUIKEN ZIJN ALS BEVESTIGINGSGATEN
OF RVS BETONANKERS ROND 6 MM,
VOORPLAAT IS VOORZIEN VAN EEN
CILINDERGAT 17 MM EN EEN
RVS SLEUTELPLAATJE MET LAGERBUS,
VOLGENS PROTOTYPE</t>
  </si>
  <si>
    <t>Handreiniger Deb Stoko Solopol Classic 2ltr vierkant patroon
Type: Solopol Classic
Zwakzure handreiniger voorzien van natuurlijke schuurkorrel, met een
sterke waskracht en goede huidverdraagzaamheid. Solopol classic bevat
geen zeep, geen oplosmiddelen en geen kleurstoffen.
Kleur: beige.
Inhoud: patroon à 2 liter.
Geschikt voor een HVY2LDP of HVY2LDB dispenser.</t>
  </si>
  <si>
    <t xml:space="preserve">Verlengbit huisaansluitkast 400A voor huisaansluitkast
Verlengbit (v 400A huisaansluitkast)
Verleng-bittype Belzer-K3C-PZD-125H-2.
</t>
  </si>
  <si>
    <t xml:space="preserve">Aftakzadel elektrolas PE100 SDR11 250x32mm, monoblock.
Diameter doorgaande leiding 250mm, aftakking 32mm spie-eind.
</t>
  </si>
  <si>
    <t xml:space="preserve">Smeervet Molykote LongtermW2 a400gr
Hoge drukbestendigheid, zeer goed bestand tegen veroudering. Inzetbaar
in breed toerental gebied. Vet voor een schone omgeving. Inhoud: 400gr.
</t>
  </si>
  <si>
    <t xml:space="preserve">Aardlekschakelaars
25 A - 400 V.
4-polig, afschakelbaar bij 30 mA.
en voorzien van Kema-keur.
</t>
  </si>
  <si>
    <t xml:space="preserve">Porseleinen diazed smeltveiligheden 10a 380/250v,
volgens vde 06 36 type d01-10amp,
Type LE1410
</t>
  </si>
  <si>
    <t>Vlinderklep in geflensde uitvoering PN16,
met wormkast klein, en draaiwiel.
Doorlaat: 150 mm, (6")
Huis: GGG40,
Spindel en klep: RVS 316,
Zitting: BUNA-N,
max. werkdruk: 8 bar,
8 boutgaten van 22 mm / steekcirkel 240 mm
standaard approvals: Lloyds en DNV,
bouwlengte conform Alliander/Liander-standaard.</t>
  </si>
  <si>
    <t>Kogelkraan, afsluiter recht voor gas met handelbediening;
materiaal: messing; MOP 5;
aansluiting: cilindrisch afdichtend binnendraad Rp2" x wartelbuitendraad
G 2.1/2".
Doorlaat: DN 50.
DVGW-keur, EN-331.</t>
  </si>
  <si>
    <t xml:space="preserve">Filterelement voor gas.
Afmetingen: Bu = 225 x Bi = 105 x L = 305 mm.
Filteroppervlakte = 1,05m2.
Metaaldelen: Geëpoxeerd staal
Filtermedium: Polyesternaaldvilt 3um / 570gr.  op gegalvaniseerd
staalgaas genaaid.
Verlijming: polyethaanhars
Afdichting: Vilt (4mm dik). Merk, Golden Super (GSF), type GS-5201.
</t>
  </si>
  <si>
    <t>Verlichtingaansluitset 25 A;
lev.nr. C93550409</t>
  </si>
  <si>
    <t>Wandlamphouders E27, schuine uitvoering,
in de kleur wit en voorzien van Kema-keur.
Fabr. Niko, typeno. 18506.</t>
  </si>
  <si>
    <t xml:space="preserve">132777 VDS 90C ROOD 2,5 mm2 H07V2-K
ROL 100 meter.
</t>
  </si>
  <si>
    <t xml:space="preserve">Kunststof beschermdop voor gasmeter G4/G6- met 3/4" aansluitdraad.
</t>
  </si>
  <si>
    <t xml:space="preserve">Gasdrukregelaar, merk: Brian Donkin. Type: 226Mk2. Nominale diameter
DN50. Flens aansluiting PN16, 4 gats. Maximale inlaatdruk: 350mbar.
Geschikt voor een omgevings temperatuur van -20°C tot +60°C. Ingeregeld
op een uitlaatdruk van +/- 30mbar. Inbouwlengte 210mm. Capaciteit bij
een inlaatdruk van 100mbar en een uitlaatdruk van 30mbar is 210m3/h
</t>
  </si>
  <si>
    <t xml:space="preserve">Gasmeteraansluiting, flexibel, diameter 1", MeterKoppeling /
KraanKoppeling, Lengte 390mm. Koppelingen St 37. Flex voor gasmeter G4/
G6; GM1"wm x G1.1/4"wm; Meterkoppeling volgens NEN3084; Kraankoppeling volgens NEN2542; Isolatiestuk volgens NEN7205.
</t>
  </si>
  <si>
    <t xml:space="preserve">Gasmeteraansluiting, flexibel, diameter: 1.1/2", aansluitingen:
KraanKoppeling / buitendraad, Lengte: 550mm, Koppelingen: St 37. Flex
voor kraankoppel G2"; G2"wm x R1.1/2"; Kraankoppeling volgens NEN2542;
Schroefdraad volgens ISO7-1; Isolatiestuk volgens NEN7205.
</t>
  </si>
  <si>
    <t>Hellstern AANSLUITKLEM, type 4812.1/35-150mm2 Cu/Al met bout M10x55.</t>
  </si>
  <si>
    <t xml:space="preserve">Hellstern AANSLUITKLEM,
type 4812/35-150mm2 Cu/Al met bout M12x50.
</t>
  </si>
  <si>
    <t xml:space="preserve">Hellstern AANSLUITKLEM,
type 4843/2x(35-150) Cu/Al met bout M12x55.
</t>
  </si>
  <si>
    <t>Aansluitklem 3x25mm2 Cu, boutgat 6,5mm.</t>
  </si>
  <si>
    <t>Geisoleerde adereindhuls,
volgens DIN 46228 - deel 4,
2,5 mm2; blauwe isolatie;
totale lengte 14 mm, stiftlengte 8 mm.</t>
  </si>
  <si>
    <t>Geisoleerde adereindhuls, volgens DIN 46228 - deel 4,
2,5 mm2; blauwe isolatie
totale lengte 24 mm, stiftlengte 18 mm.</t>
  </si>
  <si>
    <t xml:space="preserve">Adereindhuls Conta Clip 2201.0 H 0,5mm2,
L=14mm Oranje
</t>
  </si>
  <si>
    <t xml:space="preserve">Adereindhuls Weidmueller type H1,5/24 R,  H 1,5mm2, L=24mm Rood.
</t>
  </si>
  <si>
    <t xml:space="preserve">Adereindhuls Conta Clip 2267.0 H 25mm2,
L=29mm Bruin
</t>
  </si>
  <si>
    <t>Perskabelschoen geschikt voor 95mm2 kabel, boutgat M16. Volgens DIN
46235.</t>
  </si>
  <si>
    <t xml:space="preserve">Bevestigingsbeugel Buis 110mm (ALL)
</t>
  </si>
  <si>
    <t>KABELBEUGEL,
verstelbaar 60-64mm, type K 64 S, bestelnr. 3.023,
met tegenplaatje type GW 60-64mm, bestelnr. 14.104
(fabrikaat PUK).</t>
  </si>
  <si>
    <t>Hostalit bochten voor installatiebuis 1"</t>
  </si>
  <si>
    <t>HOSTALIT BOCHTEN VOOR INSTALLATIEBUIS 1 1/4". FABR. WAVIN.</t>
  </si>
  <si>
    <t xml:space="preserve">PIPE VSV SOK 1      GRYS  ZK25
</t>
  </si>
  <si>
    <t>Draagframe, staand,
voor MAGNEFIX type MD4 - 2K+1T.
Volgens pakket MD-2F
incl. 3C-profiel.art.nr. 2684.649.</t>
  </si>
  <si>
    <t>Staand draagframe
voor MAGNEFIX type MD4 - 3K
Volgens pakket MD-1F incl. 3C-profiel.art.nr. 2684.656.</t>
  </si>
  <si>
    <t>Staand draagframe,
voor MAGNEFIX type MD4 - 3K+1T.
Volgens pakket MD-3F incl. 3C-profiel.art.nr. 2684.650</t>
  </si>
  <si>
    <t>Afdekhoes, plastic,
LDPE 100MY
75+2X16X116CM
transparant</t>
  </si>
  <si>
    <t>04 groepenkast 220/0004 C17904501</t>
  </si>
  <si>
    <t xml:space="preserve">Walkast (aansluitkast v woonboot), fundatie via DIN2, Roestvaststaal,
RVS kast type RVH32 (2E). (Inclusief 2 ledige 3x63A HAK kasten
gemonteerd).
In de kast is nog extra ruimte voor of 2 maal elektra of 2 maal
gasaansluiting.
Buitenafmetingen: B=112cm; H=118cm; dpt=36cm. Binnenafmetingen
(geschat): B=100; H=106; dpt=28cm
</t>
  </si>
  <si>
    <t xml:space="preserve"> Gevelkap van RVS met 1" leidingbeugel,
Groen Epoxie RAL 7034. H= 720 mm.
De gevelkap is samengesteld uit:
- buitenkap    EP25603
- achterplaat  EP25600
- set pijpklembeugels 38 mm.  EP26058</t>
  </si>
  <si>
    <t xml:space="preserve">GE
naam: Invoerstuk grote poort 2008.006 (v.h.2008.007)
type: 4600141797P
ABB
naam: Invoerstuk 160-01, 2x16/19 + 1x19/25 mm
type:  2008.006  160-01 Invoerstuk bulk
</t>
  </si>
  <si>
    <t>CENTREERSET tbv koppelen LS-rekkenLev.nr. C93550408</t>
  </si>
  <si>
    <t>BEVESTIGINGSSET - rek, beton zuil(6 beugels). Sleufgat 20x13,5mm.Geel-
gepassiveerd (biochromatiseerd).spec. C94562902.</t>
  </si>
  <si>
    <t xml:space="preserve"> Dozensluittape / verpakkingstape.
Bruin PVC plakband,
rollen van 50 mm. breed en 66 m lang.</t>
  </si>
  <si>
    <t xml:space="preserve">Knie malleable, Nodulair Gietijzer, verzinkt, Voor verbinding Staal 1" x
PE 32 SDR11 (met steunbus) NBR-afdichtingen. Gas: Staal-zijde PN10
20-70oC / PE-zijde PN5 20-40oC Water: Staal-zijde PN16 20-80oC /
PE-zijde PN16 20-40oC GF - Primofit, type 2922.
</t>
  </si>
  <si>
    <t xml:space="preserve">Knie malleable, Nodulair Gietijzer, verzinkt, Voor verbinding Staal
1.1/4" x PE 40 SDR11 (met steunbus) NBR-afdichtingen. Gas: Staal-zijde
PN10 20-70oC / PE-zijde PN5 20-40oC Water: Staal-zijde PN16 20-80oC /
PE-zijde PN16 20-40oC GF - Primofit, type 2922.
</t>
  </si>
  <si>
    <t xml:space="preserve">Knie malleable, Nodulair Gietijzer, verzinkt, Voor verbinding Staal
1.1/2" x PE 50 SDR11 (met steunbus) NBR-afdichtingen. Gas: Staal-zijde
PN10 20-70oC / PE-zijde PN5 20-40oC Water: Staal-zijde PN16 20-80oC /
PE-zijde PN16 20-40oC GF - Primofit, type 2922.
</t>
  </si>
  <si>
    <t xml:space="preserve">Knie malleable, Nodulair Gietijzer, verzinkt, Voor verbinding Staal 2" x
PE 63 SDR11 (met steunbus) NBR-afdichtingen. Gas: Staal-zijde PN10
20-70oC / PE-zijde PN5 20-40oC Water: Staal-zijde PN16 20-80oC /
PE-zijde PN16 20-40oC GF - Primofit, type 2922.
</t>
  </si>
  <si>
    <t xml:space="preserve">Snijring koppeling recht, 16mm x BSP1/2 buitendraad, DIN2353. Materiaal
Staal-verzinkt.
</t>
  </si>
  <si>
    <t xml:space="preserve">Aanboorzadel RVS T-klem, RVS 304, DN150 (168-188mm) x Flens DN100,
L=500mm, Afdichting NBR rubber, toepassing tot 8 bar, Flens volgens
NEN1092-1.
</t>
  </si>
  <si>
    <t xml:space="preserve">Aanboorzadel RVS T-klem, RVS 304, DN200 (211-232mm) x Flens DN100,
L=500mm, Afdichting NBR rubber, toepassing tot 8 bar, Flens volgens
NEN1092-1.
</t>
  </si>
  <si>
    <t xml:space="preserve">Aanboorzadel RVS T-klem, RVS 304, DN300 (315-338mm) x Flens DN100,
L=500mm, Afdichting NBR rubber, toepassing tot 8 bar, Flens volgens
NEN1092-1.
</t>
  </si>
  <si>
    <t xml:space="preserve">Aanboorzadel RVS T-klem, RVS 304, DN400 (406-430mm) x Flens DN100,
L=500mm, Afdichting NBR rubber, toepassing tot 8 bar, Flens volgens
NEN1092-1.
</t>
  </si>
  <si>
    <t xml:space="preserve">Accu ICE CP 12-6 6V 10Ah 151x50x98mm (ALL)
Cellpower CP 12-6  Cellpower loodaccu 6 Volt - 12 Ah Afmeting: 151 x 51
x 100mm Aansluiting: Faston 4,8mm Gewicht: 1,92kg
</t>
  </si>
  <si>
    <t xml:space="preserve">Isolatiekoppeling, las/las, druk: PN25, 12" (DN300), diameter uitw: 323
,9 mm, lengte = 700 mm, weerstand 5 Megohm, doorslag 3Kv/50Hz.
</t>
  </si>
  <si>
    <t xml:space="preserve">Isolatiekoppeling, las/las, druk: PN25, 14" (DN400), diameter uitw: 406
,4 mm, lengte = 900 mm, weerstand 5 Megohm, doorslag 3Kv/50Hz.
</t>
  </si>
  <si>
    <t>AFSCHERMPLAAT voor LS-aansl. nettrafo.
inclusief bevestigingsbeugels
Afmetingen plaat ca 700 x 456 x 4 mm.
2 Bevestigingsbeugels
(elke beugel is een dubbel (samengelast) L-profiel
met zijden van ca. 9 cm, breed 4 cm)
Volgens spec. GEB-tek.nr 69588 HR 4
d.d. 15.04.1994, wijz. B.</t>
  </si>
  <si>
    <t>Consoles voor bevestiging klemblokkent.b.v. 240 mm2, volgens tekening6
7981- HR 8 (A).</t>
  </si>
  <si>
    <t xml:space="preserve">Afpersflens, materiaal: staalsoort P250GH zijn volgens NEN EN 10027-1,
nominale druk: PN 10 /16 bar, nominale diameter: DN 100, uitwendige
diameter: 220 x 20 mm,diameter dr gat 1", aantal en diameter boutgaten:
8 x 18 mm, volgens NEN EN 1092-1.
</t>
  </si>
  <si>
    <t xml:space="preserve">Afpersflens, materiaal: staalsoort P250GH zijn  volgens NEN EN 10027-1,
nominale druk: PN 10 /16 bar, nominale diameter: DN 150, uitwendige
diameter: 285 x 22 mm,diameter dr gat 1", aantal en diameter boutgaten:
8 x 22 mm, volgens NEN EN 1092-1.
</t>
  </si>
  <si>
    <t xml:space="preserve">Afpersflens, materiaal: staalsoort P250GH zijn  volgens NEN EN 10027-1,
nominale druk: PN 10 bar, nominale diameter: DN 200, uitwendige
diameter: 340 x 24 mm,diameter dr gat 1", aantal en diameter boutgaten:
8 x 22 mm, volgens NEN EN 1092-1. BSPT draad.
</t>
  </si>
  <si>
    <t>Afpersflens, materiaal: staalsoort P250GH zijn volgens NEN EN 10027-1,
nominale druk: PN 16 bar, nominale diameter: DN 250, uitwendige
diameter: 405 x 26 mm,diameter dr gat 1", aantal en diameter boutgaten:
12 x 26 mm, volgens NEN EN 1092-1.</t>
  </si>
  <si>
    <t>Koppelset 630 A, schakelbaar
Beschermkap links
(is kap over de kabelaansluiting zijkant van binnenkomende trafokabel).
Inclusief:
- 2 zakjes bevestigingsmateriaal
- doosje met 3 messen 630A, DIN-3.
- Beschermplaat
- Beugel
- zakje met 2 zwarte blokjes
Jeam Muller; lev.nr. C93550405</t>
  </si>
  <si>
    <t xml:space="preserve"> Dozen bruinpakzakken 2x70gr gevoerd.
Inhoud: ca.250 zakken per doos.
Afm.: 20 (breedte) x 29 (breedte uitgevouwen) x 50 (hoogte) cm
Gewicht: 4 kg/doos.</t>
  </si>
  <si>
    <t xml:space="preserve">Schamppaal, materiaal, metaal thermisch verzinkt voorzien van afdekkap,
afmetingen: lengte 150cm, diameter 76mm, voorzien van grondpennen.
</t>
  </si>
  <si>
    <t xml:space="preserve">Laszadel,
materiaal: staal (Weldolet),
afmeting : 219,1 x 88,9 mm (8" x 3").
</t>
  </si>
  <si>
    <t xml:space="preserve">Laszadel,
materiaal: staal (Weldolet),
afmeting : 273,0 x 88,9 mm (10" x 3").
</t>
  </si>
  <si>
    <t xml:space="preserve">Laszadel,
materiaal: staal (Weldolet),
afmeting : 323,9 x 88,9 mm (12" x 3")
kan ook als 406,4 x 88,9 mm (16" x 3")worden toegepast.
</t>
  </si>
  <si>
    <t xml:space="preserve">Gasdrukregelaar,
merk: Brian Donkin. Type: 226Mk2.
Nominale diameter DN100. Flens aansluiting PN16, 8 gats. Maximale
inlaatdruk: 350 mbar. Geschikt voor een omgevings temperatuur van -20 °C
tot +60 °C. Ingeregeld op een uitlaatdruk van +/- 30 mbar. Inbouwlengte
369 mm. Capaciteit bij een inlaatdruk van 100 mbar en een uitlaatdruk
van 30 mbar is 930 m3/h.
</t>
  </si>
  <si>
    <t>Rubberen manchet afdichting. Waterdichte afdichting tussen mantelbuis en
gasvoerende buis. Uitwendige maat mantelbuis range 429-400mm. Uitwendige
maat gasvoerende buis range 282-250mm.</t>
  </si>
  <si>
    <t xml:space="preserve">Rubberen manchet afdichting. Waterdichte afdichting tussen mantelbuis en
gasvoerende buis. Uitwendige maat mantelbuis 427mm. Uitwendige maat
gasvoerende buis 315mm.
</t>
  </si>
  <si>
    <t>Inlegplaatje v straatpot 190x190mm. Tekst "GAS". Materiaal kunststof
HDPE. Kleur geel.</t>
  </si>
  <si>
    <t>Vlinderklep in geflensde uitvoering PN16,
met wormkast klein,
Doorlaat: 300 mm, (12")
Huis: GGG40,
Spindel en klep: RVS 316,
Zitting: BUNA-N,
max. werkdruk: 8 bar,
12 boutgaten van 26 mm / steekcirkel 410 mm
standaard approvals: Lloyds en DNV,
bouwlengte conform Alliander/Liander-standaard.</t>
  </si>
  <si>
    <t>Malleable fitting, knie 90˚. Binnendraad-buitendraad 1¼"x1". nr92</t>
  </si>
  <si>
    <t>Overschuifflens v laskraag PE 200mm, electrolas, materiaal: staalsoort ,
gecoat, diameter doorlaat: DN 200, drukklasse: PN 10, Steekcirkel: 295
mm, Aantal en diameter boutgaten: 8 x 22 mm.</t>
  </si>
  <si>
    <t xml:space="preserve">Voorlasflens.
Materiaal staalsoort P250GH, volgens NEN EN 10027-1
Nominale druk: PN 16
Nominale diameter: DN 400
Afmeting: 406,4x6,3mm
Aantal en diameter bouten: 16x30mm, volgens NEN EN 1092-1,afgeschuind.
Markering: charge,staalsoort en leverancier.
</t>
  </si>
  <si>
    <t xml:space="preserve">Blindflens, materiaal: staalsoort P250GH zijn  volgens NEN EN 10027-1,
nominale druk: PN 16 bar, nominale diameter: DN 250, uitwendige
diameter: 405 x 26 mm, aantal en diameter boutgaten: 12 x 26 mm, volgens
NEN EN 1092-1.
</t>
  </si>
  <si>
    <t>Blindflens, materiaal: staalsoort P250GH zijn volgens NEN EN 10027-1,
nominale druk: PN 16 bar, nominale diameter: DN 300, uitwendige
diameter: 460 x 28 mm, aantal en diameter boutgaten: 12 x 26 mm, volgens
NEN EN 1092-1.</t>
  </si>
  <si>
    <t xml:space="preserve">Blindflens, materiaal: staalsoort P250GH zijn volgens NEN EN 10027-1,
nominale druk: PN 10 bar, nominale diameter: DN 400, uitwendige
diameter: 556 x 26 mm, aantal en diameter boutgaten: 16 x 26 mm, volgens
NEN EN 1092-1.
</t>
  </si>
  <si>
    <t xml:space="preserve">Aftakzadel elektrolas PE100 SDR11 125x32mm, monoblock.
Diameter doorgaande leiding 125mm, aftakking 32mm spie-eind.
</t>
  </si>
  <si>
    <t xml:space="preserve">Aftakzadel elektrolas PE100 SDR11 125x63mm, monoblock.
Diameter doorgaande leiding 125mm, aftakking 63mm spie-eind.
</t>
  </si>
  <si>
    <t>Magnefix persvulset (inrichting)
bestaande uit:
Pomp &lt;(&gt;&amp;&lt;)&gt; Vuliinrichting.</t>
  </si>
  <si>
    <t>MAGNEFIX VULSLANG MET AFSLUITRING</t>
  </si>
  <si>
    <t xml:space="preserve">Tas VDE v vils gereedschap groot (ALL)
-
</t>
  </si>
  <si>
    <t xml:space="preserve">Handschoenentester VDE (ALL)
</t>
  </si>
  <si>
    <t xml:space="preserve">Beschermfolie VDE 1400x0,5mm transparant
Afdekdoek transparant VDE geïsoleerd DIN VDE 0680 Teil 1:1983-01 Vorst
en UV bestendig Afmeting: 10000 x1300 mm Dikte: 0.5
(10 meter = 1 rol)
</t>
  </si>
  <si>
    <t xml:space="preserve">Ladder VDE 8 sporten 2dlg kunststof (ALL)
Ladder VDE kunststof VDE gekeurd
Uitvoering: 2x8 sporten uitschuifbaar.
Lengte uitgeschoven: 4,17 m.
Lengte ingeschoven : 2,44 m
Werkhoogte: 5,25 m
</t>
  </si>
  <si>
    <t xml:space="preserve">Veiligheidsklem VDE met haak (ALL)
-
</t>
  </si>
  <si>
    <t xml:space="preserve">Brandblusser MP-6 ABC 6 kg poeder
Poederblusser onder permanente druk, met manometer. Brandklasse: ABC.
Inclusief wandbeugel en keuring.   Inhoud: 6 kg.
</t>
  </si>
  <si>
    <t xml:space="preserve">Blusdeken 180x180cm afsluitbare hoes/houder EN1871
Blusdekens zijn in algemene zin bedoeld om een brandend voorwerp af te
schermen of af te dekken om verdere ontwikkeling van de brand tegen te
gaan en voor een persoonlijke beveiliging. De deken is verpakt in een
rode wandhouder met duidelijke symbolen. Afmeting: 175x175 cm.
Gecertificeerd volgens EN1869.
</t>
  </si>
  <si>
    <t xml:space="preserve">Afbakeningsband Kelmaplast 371001 80mmx500m rood/ wit HDPE
Voor het afzetten van onveilige plekken.
Materiaal: HDPE.
Breedte: 80 mm.
Rollengte: 500 meter.
Kleur: rood/wit.
</t>
  </si>
  <si>
    <t xml:space="preserve">Afzetlintpen (ALL)
</t>
  </si>
  <si>
    <t xml:space="preserve">Zaklantaarn Energizer Atex 2D explosie vrij
Explosieveilige staaflamp met 3 nichia LED's, IP 67 stof- en waterdicht.
Weerstaat een van van 2,5m. ATEX, MSHA en UL goedgekeurd
</t>
  </si>
  <si>
    <t xml:space="preserve">Zwaailamp 06046 12V en 24V oranje magn.voet
Type: Zwaailamp 06046 12 Volt of 24 Volt, afhankelijk van de gemonteerde
H1 halogeenlamp, P14,5S. Met magneetvoet, spiraalkabel en
(sigarettenaansteker) steker. Polycarbonaat koepel. Compleet met
spiraalkabel en stekker, passend in sigarettenaansteker.
</t>
  </si>
  <si>
    <t xml:space="preserve">Spanband met ratel en haak B=25mm L=5m. Ladinggordel Technotex 25A/2
5mtrx25mm blauw met ratel en haak LC750daN
Type: 25A/2
Ladinggordel Technotex voorzien van ratel en gesloten spitshaken.
Maximale sjorkracht: LC750daN
Lengte: 5 mtr.
Breedte: 25 mm.
</t>
  </si>
  <si>
    <t xml:space="preserve">Ladinggordel 50B/2 9mtrx50mm oranje met ratel en haak LC2000daN
Met ratel en gesloten spitshaken.
- maximale sjorkracht volgens EN 12195-2: 2000daN
- lengte 9 m
- breedte 50 mm
</t>
  </si>
  <si>
    <t xml:space="preserve">Potkrik Omega 11085 8t 228-450mm
Hydraulische Potkrik 8 ton
Minimum hoogte 228 mm
Maximum hoogte 430 mm
</t>
  </si>
  <si>
    <t>2-delige messing koppeling voor gas,
aansluiting: wartel 1.1/4" x buitendraad 1",
vlakke dichting en geborgde neopreenring.
{Puntstuk volgens NEN2542 met conisch afdichtend {R} draad
volgens NEN3258;
Wartelmoer volgens NEN2544 met cilindrisch (G) draad
volgens NEN176}.</t>
  </si>
  <si>
    <t>Zijkniptang Knipex 7407200 200mm VDE verchroomd
Bij KNIPEX-Kracht-zijsnijtangen zijn het materiaal (Chroom-
vanadiumstaal), de overbrengingsverhouding en de snijhoek optimaal
afgestemd op het snijden van vooral harde draad.
De aangesmede scharnierpen gaat uiterst lang mee, zelfs onder zware
permanente belasting.
21% krachtbesparing.
Om met een Kracht-zijsnijtang van 160 mm een half-harde draad van Ø 2,0
mm door te knippen is slechts een kracht van 293 N (29,3 kp) nodig, in
vergelijking met 370 N (37,0 kp) wanneer men een normale zijsnijtang van
dezelfde lengte gebruikt.
Verchroomd, geïsoleerd met dompelisolatie.
VDE-getest vlgs IEC 60900DIN EN 60900ASTM F1505.
Met aangesmede scharnierpen voor zeer hoge en duurzame belasting.
Perfect geschikt voor alle draadsoorten, ook pianodraad.
Grote snijcapaciteit bij geringe krachtinspanning door optimale
afstemming van snijhoek, overbrengingsverhouding en ergonomische
greepvorm.
Precisie-snijkanten extra inductief gehard, hardheid van de snijkanten
ca. 64 HRC.
Chroom-vanadium-hoogwaardig staal, gesmeed, oliegehard.
Capaciteit in halfharde draad 4,2mm.
Capaciteit in harde draad 3mm.
Capaciteit in pianodraad 2,5mm.</t>
  </si>
  <si>
    <t xml:space="preserve">Ontmantelingsschaar VDE 175mm klein (ALL)
Perfect geschikt voor alle draadsoorten, ook pianodraad.
Grote snijcapaciteit bij geringe krachtinspanning door optimale
afstemming van snijhoek, overbrengingsverhouding en ergonomische
greepvorm.
Precisie-snijkanten extra inductief gehard, hardheid van de snijkanten
ca. 64 HRC.
Chroom-vanadium-hoogwaardig staal, gesmeed, oliegehard.
Capaciteit in halfharde draad 4,2mm.
Capaciteit in harde draad 3mm.
Capaciteit in pianodraad 2,5mm.
</t>
  </si>
  <si>
    <t>Kabelschilapparaat tbv stripbare Telconkabel. Geschikt voor maximaal 25
mm2. Niet geschikt voor afschilbare telconkabel.</t>
  </si>
  <si>
    <t xml:space="preserve">Kabelschaar 165mm VDE; Kabelschaar vervaardigd uit speciaal
gereedschapsstaal, in olie gehard en getemperd, voorzien van VDE isolati
e, ten behoeve van het knippen van Cu- en Al- kabels, enkel- en meerdradig. Niet geschikt voor staaldraad en hardgetrokken
koperdraad. Voorzien van geharde en nauwkeurig geslepen snijkanten,
knipt keurig glad af zonder te vervormen, gemakkelijke snede met
éénhandbediening, klembeveiliging en verstelbaar schroefscharnier,
zelfbeveiligend. Benen geïsoleerd met tweekleurige
meer-componentengrepen, VDE-getest, kop verchroomd.
</t>
  </si>
  <si>
    <t xml:space="preserve">Kabelsnijkop TC-085 hydraulisch (ALL)
Hydraulische kabelsnijkop TC-085 Fabrikaat Cembre Max. druk 700 bar Max.
knip bereik 85 mm Gewicht schaar 4,9 kg Incl. opbergkoffer VAL TC085,
afm: 465 X 155 X 65mm Gewicht koffer 2,4 kg
</t>
  </si>
  <si>
    <t xml:space="preserve">Ringsleutel gebogen 9mm.
Volgens norm NEN-EN-IEC 60900, (dompelisolatie) (VDE). Isolatie geheel
omsloten. Van Chroom-vanadium staal. Voor werkzaamheden aan s
panningvoerende delen tot 1000V AC en 1500V DC (KNIPEX)
</t>
  </si>
  <si>
    <t xml:space="preserve">Ringsleutel gebogen 11mm.
Volgens norm NEN-EN-IEC 60900, (dompelisolatie) (VDE). Isolatie geheel
omsloten. Van Chroom-vanadium staal. Voor werkzaamheden aan s
panningvoerende delen tot 1000V AC en 1500V DC.(KNIPEX)
</t>
  </si>
  <si>
    <t xml:space="preserve">Ringsleutel gebogen 13mm. Volgens norm NEN-EN-IEC 60900,
(dompelisolatie) (VDE). Isolatie geheel omsloten. Van Chroom-vanadium
staal. Voor werkzaamheden aan spanningvoerende delen tot 1000V AC en
1500V DC.(GEDORE)
</t>
  </si>
  <si>
    <t xml:space="preserve">Steeksleutel Lemp 151309 9mm enkel VDE
</t>
  </si>
  <si>
    <t xml:space="preserve">Steeksleutel 19mm, bek 15 graden gebogen. Volgens norm NEN-EN-IEC 60900,
(dompelisolatie) (VDE).Isolatie geheel omsloten. Van Chroom-vanadium
staal. Voor werkzaamheden aan spanningvoerende delen tot 1000V AC en
1500V DC. (KNIPEX)
</t>
  </si>
  <si>
    <t xml:space="preserve">Verlengstuk VDE 3/8" L=250mm tbv dopsleutels (ALL)
Verlengstuk
Maat: 3/8" X 250mm
Bescherming: VDE
</t>
  </si>
  <si>
    <t xml:space="preserve">Inbussleutel haaks 4mm. Volgens norm NEN-EN-IEC 60900, (dompelisolatie)
(VDE). Handvat voorzien van taai- elastisch slagvast kunststof. Schacht
van gehard vanadium staal. Handgreep. Voor werkzaamheden aan
spanningvoerende delen tot 1.000 V AC en 1500V DC. (lemp)
</t>
  </si>
  <si>
    <t xml:space="preserve">Inbussleutel stift T-model VDE  5x160mm; Inbussleutel zeskant 5mm,
lengte ca. 160mm in T-model, T-greep 90 á 100mm. Volgens norm NEN-EN-IEC
60900, (dompelisolatie) (VDE). Handgreep dient volledig gesloten te
zijn. Voor werkzaamheden aan spanningvoerende delen tot 1.000 V AC en
1500V DC (KS-Tools))
</t>
  </si>
  <si>
    <t xml:space="preserve">Inbussleutel T-model 10x250mm VDE.
Geïsoleerde T-Greep stiftsleutel voor binnenzeskant inbus schroeven.
Vervaardigd uit gebruineerd chroom vanadium staal. Voorzien van VDE
isolatie volgens IEC 60900. Type: 117.1689
Lengte: 250 mm.
Maat: 10 mm.
</t>
  </si>
  <si>
    <t>Moersleutel Lemp VDE6" verstelbaar verstelbaar VDE
Moersleutel BAHCO
Maat: 6"
Bescherming: VDE
Merk: LEMP</t>
  </si>
  <si>
    <t xml:space="preserve">Tordeerstuk VDE 3/8" 150mm AL passing 3/8" VDE (ALL)
Tordeerhulpstuk
Lengte: 150 MM
Matriaal: Aluminium
Aansluiting: 3/8"
Bescherming: VDE
</t>
  </si>
  <si>
    <t xml:space="preserve">Universeelmeter Fluke 87-5 0-1000V
-
</t>
  </si>
  <si>
    <t>Fasevergelijkapparaat Seher SPPC 10KV 1-Polig (ALL)
Eenpolige fasenvergelijker SPPC5 10 Kv bestaat uit de volgende
onderdelen: Meetadaptor voor capitool Sonde-elektrode Capitole adapter
Magnefix adapter  Kunststofkoffer zwart
Eenpolige fasevergelijker voor buitengebruik
uitvoering: type SPPC 10kV
Bestaande uit:
Fasevergelijker 10kV buitengebruik    (3 364 820 001)
Testhulpstuk voor trafoveld. Magnefix (3 363 291 291)
Testhulpstuk voor Capitole            (3 363 291 002)
Testhulpstuk voor open systeem        (3 620 425 001)
Testhulpstuk voor Magnefix MD/MF      (3 363 291 001)
het geheel in
Transportkoffer                       (3 900 073 001)(Batenburg)</t>
  </si>
  <si>
    <t>Aardingsgarnituur MS voor Magnefix type MD. Ook wel snelaarding genoemd.
Het aardingsgarnituur wordt geleverd zonder meetkappen en zonder
bedieningsstok. (Zowel de meetkappen als het bedieningsstokje heeft een
eigen artikelnummer)</t>
  </si>
  <si>
    <t>Aardingsgarnituur MS voor Magnefix type MF. Ook wel snelaarding genoemd.
Het aardingsgarnituur wordt geleverd zonder meetpennen en zonder
bedieningsstok. (Zowel de meetpennen als het bedieningsstokje heeft een
eigen artikelnummer).</t>
  </si>
  <si>
    <t xml:space="preserve">Dummie Siba VDE GR.00 tbv mespatroonhouder vpe=10st
Dummie voor mespatroonhouder GR. 00 VDE
</t>
  </si>
  <si>
    <t xml:space="preserve">Stroomonderbreker VDE 25A zwart dummy
LEM.18.9000005
</t>
  </si>
  <si>
    <t xml:space="preserve">Stroomonderbreker VDE 63A zwart dummy
LEM.18.9000010
</t>
  </si>
  <si>
    <t xml:space="preserve">Mespatroontrekker VDE met handschoen (ALL)
-
</t>
  </si>
  <si>
    <t xml:space="preserve">Isolatiekap VDE 10mm dia L=40mm (ALL)
Isolatiekap VDE
Diameter: 10mm
Lengte: 40mm
</t>
  </si>
  <si>
    <t xml:space="preserve">Isolatiekap VDE 20mm dia L=110mm (ALL)
Isolatiekap VDE
Diameter: 20mm
Lengte: 110mm
</t>
  </si>
  <si>
    <t xml:space="preserve">Trekveer 10mtr kunststof (ALL)
Trekveer kunststof  Geschikt voor het aanbrengen van installatiedraad in
installatiebuizen. Lengte: 10 meter
</t>
  </si>
  <si>
    <t xml:space="preserve">Bankhamer Endress 813.5320 300gr + steel hickory steel vonkvrij
Type: Hamer
Gewicht: 300gram
Uitvoering: met steel
vonkvrij.
</t>
  </si>
  <si>
    <t xml:space="preserve">Schroevendraaier zaagsn. klem 6x175[ Klemschroevendraaier sleuf met
softgrip vervaardigd uit chroom- vanadiumstaal, doorgehard en gezwart.
Voorzien van klemhuls en Ergonomische Wiha SoftFinish samengestelde
handgreep met wegrolbeveiliging. Voldoende geisoleerd. Geschikt voor het
aanbrengen en vastdraaien van schroeven op moeilijk bereikbare plaatsen.
(WIHA)
Lengte: 175 mm.
 Afmeting: 6 mm.
Type: 398
</t>
  </si>
  <si>
    <t xml:space="preserve">Slang HD 6mtr rood tbv kabelsnijkop TC085 (ALL)
Geïsoleerde hogedruk slang  Inclusief ceijn koppelingen. Lengte: 6 meter
Gewicht slang : 1,8kg
</t>
  </si>
  <si>
    <t>Stopbus pakking. Merk Permatight. Diameter spindel 26 mm.</t>
  </si>
  <si>
    <t>Stopbus pakking. Merk Permatight. Diameter spindel 24 mm.</t>
  </si>
  <si>
    <t>Stopbus pakking. Merk Permatight. Diameter spindel 20 mm.</t>
  </si>
  <si>
    <t xml:space="preserve">Stopbus pakking. Merk Permatight. Diameter spindel 28 mm.
</t>
  </si>
  <si>
    <t>Schaaldelen voor het samenstellen van een reparatieklem met een
aansluitrange van 219-669mm. Bestaat uit de schaaldelen A-B-C-D-E.
 Schaaldelen set compleet  in houten kist.</t>
  </si>
  <si>
    <t>Schaaldeel-type A is een onderdeel voor het samenstellen van een
reparatieklem met een variabele aansluitrange van 219-669mm.</t>
  </si>
  <si>
    <t>Schaaldeel-type B is een onderdeel voor het samenstellen van een
reparatieklem met een variabele aansluitrange van 219-669 mm.</t>
  </si>
  <si>
    <t xml:space="preserve">Schaaldeel-type C is een onderdeel voor het samenstellen van een
reparatieklem met een variabele aansluitrange van 219-669 mm.
</t>
  </si>
  <si>
    <t xml:space="preserve">Schaaldeel-type D is een onderdeel voor het samenstellen van een
reparatieklem met een variabele aansluitrange van 219-669 mm.
</t>
  </si>
  <si>
    <t xml:space="preserve">Schaaldeel-type E is een onderdeel voor het samenstellen van een
reparatieklem met een variabele aansluitrange van 219-669 mm.
</t>
  </si>
  <si>
    <t xml:space="preserve">Schuurpad groen; Schuurvel Scotch-Brite Clean &lt;(&gt;&amp;&lt;)&gt; Finish 158mm224mm
AVFN
</t>
  </si>
  <si>
    <t xml:space="preserve">Slotspray Griffon a150ml
Vetloos smeermiddel voor (cilinder)sloten.  Geschikt voor het smeren en
beschermen van (cilinder)sloten bij o.a. (garage)deuren, auto's,
hangsloten, hekken en poorten.   Voorkomt bevriezen en ontdooit direct
vastgevroren sloten.  Eigenschappen: waterverdringend; waterafstotend;
smeert; beschermt tegen corrosie en slijtage; in alle standen te
gebruiken.   Inhoud: 150 ml.
</t>
  </si>
  <si>
    <t>Reinigingsmiddel Andy voor Magnefix. Andy allesreiniger citroen fris.
Speciale professionele, geconcentreerde dagelijkse allesreiniger met een
heerlijke parfum. De vertrouwde krachtige Andy formule neemt vuil en vet
snel op en laat geen strepen achter. Fles a 2000ml.</t>
  </si>
  <si>
    <t xml:space="preserve">Schuurlinnen Flexovit KF271 50mmx25m K60 Alox
Aluminium oxide. Zeer flexibel weefsel. Industriële kwaliteit.
Uiterrmate geschikt voor de bewerking van geprofileerde oppervlakken.
Ideaal voor het gebruik in werkplaatsen en installatie bedrijven.
</t>
  </si>
  <si>
    <t xml:space="preserve">Schuurlinnen Flexovit KF271 50mmx25m K150 Alox
Aluminium oxide. Zeer flexibel weefsel. Industriële kwaliteit.
Uiterrmate geschikt voor de bewerking van geprofileerde oppervlakken.
Ideaal voor het gebruik in werkplaatsen en installatie bedrijven.
</t>
  </si>
  <si>
    <t xml:space="preserve">Schuurlinnen Flexovit KF271 230x280 K80 Alox
Aluminium oxide. Zeer flexibel weefsel. Industriële kwaliteit.
Uiterrmate geschikt voor de bewerking van geprofileerde oppervlakken.
Ideaal voor het gebruik in werkplaatsen en installatie bedrijven.
</t>
  </si>
  <si>
    <t xml:space="preserve">Schuurlinnen 3M 62887 50mmx25m P100 314D P100 E
Type: 314D 62887 Schuurlinnen 3M Afmeting: 50mmx25m Korrel:  P100 Nieuwe
type schuurpapier; flexibeler. Beter scheurbaar en voorzien van een
nieuwe coating voor verbeterde hechting van het schuurmateriaal. Dit
schuurpapier is daardoor zeer makkelijk in gebruik tijdens het reinigen
en opruwen van bijvoorbeeld remtrommels, remvoeringen en assen of delen
daarvan.
</t>
  </si>
  <si>
    <t xml:space="preserve">Schuurlinnen Flexovit KF271 230x280 K180 Alox
Aluminium oxide. Zeer flexibel weefsel. Industriële kwaliteit.
Uiterrmate geschikt voor de bewerking van geprofileerde oppervlakken.
Ideaal voor het gebruik in werkplaatsen en installatie bedrijven.
</t>
  </si>
  <si>
    <t xml:space="preserve">Fundatiekorrels voor verdeelkasten. EBG 060017.
</t>
  </si>
  <si>
    <t>Reinigings- en ontvettingsdoekje,
voor kabelmantel en
oppervlakken van metaal, kunststof en rubber.
maat: 140x200mm,
Cleaning tissue
Raychem, type: EPPA 004.
Tyco PN E74727-000</t>
  </si>
  <si>
    <t xml:space="preserve">Bindgaren klos gewaxt 1220/8 kleurloos (ALL)
Bindgaren, gewaxt Kleur: kleurloos (wit) Klos van 1220 meter Naalddikte
(matric) 8.
</t>
  </si>
  <si>
    <t xml:space="preserve">Merkkrijt Lyra 795 geel vpe=12st (ALL)
Lyra 795 Markeringskrijt Zeshoekig
Diameter: 11 mm
Lengte: 110 mm
Kleur: geel
</t>
  </si>
  <si>
    <t xml:space="preserve">Afvalzak 800x1200x0,1mm v. asbest (ALL)
Buitenzak tbv afval asbest.
Afm. 120 x 80 x 0,01 cm.
Met tekst: "ASBEST"
</t>
  </si>
  <si>
    <t>GOLFKARTON BR 100CM KWAL GBK 95T
ROL A 70M</t>
  </si>
  <si>
    <t xml:space="preserve">Tape NUO5500X 50mm, a 66mtr (ALL)
Type: Tape "ASBESTGEVAARLIJK"
Breedte: 50mm
Lengte:  66mtr
Verpakkingseenheid: 36 rol/ds
</t>
  </si>
  <si>
    <t xml:space="preserve"> VOUWDOOS 294 X 194 X 138 MM B-GOLF
Op pallets op 120cm hoog.</t>
  </si>
  <si>
    <t xml:space="preserve">Assortimentsdoos Tayg 46-26 378x290x61mm blauw PP 21 schotjes
Solide assortimentsdoos met 21 verdeelschotjes.
Transparant deksel.
</t>
  </si>
  <si>
    <t xml:space="preserve"> VOUWDOOS 392 X 292 X 184 MM B-GOLF</t>
  </si>
  <si>
    <t>Vacuumkoffie, snelfiltermaling,
pak a 250 gram.</t>
  </si>
  <si>
    <t xml:space="preserve">Theezakjes engels Pickwick 100x4gr pk a 400gr
Theezakjes Pickwick
Smaak: engels
Verpakkingseenheid: pak 100 stuks à 4gr.
</t>
  </si>
  <si>
    <t xml:space="preserve">Spindelkop voor ondergrondse afsluiter DN 50 bediening.
Materiaal: Nodulair Gietijzer,
Maat spindelgat voor opbouw spindel = 16 x 16mm.
</t>
  </si>
  <si>
    <t>SLEUTELKOP TBV SPINDEL-300 MM</t>
  </si>
  <si>
    <t>Spindelkop voor ondergrondse afsluiter DN 80/150 bediening.
Materiaal: Nodulair Gietijzer.
Maat spindelgat voor opbouw spindel = 16/20 mm.
F maat: 27 – 32 mm. (kop).
F1 maat: 16/20 mm. (inwendige spindelmaat).</t>
  </si>
  <si>
    <t>Spindelkap 25mm voor afsl DN200/DN400,
F1 maat: 25 mm (inwendige spindelmaat),
F maat: 27 – 32 mm (kop), spindelkop, kop voor spindel
Artikelnummer AVK: 044001700</t>
  </si>
  <si>
    <t xml:space="preserve">Kunststof afdichtingsdop, kleur geel, voor kunststofbuis met een
uitwendige maat van 32mm.
</t>
  </si>
  <si>
    <t xml:space="preserve">Kunststof afdichtingsdop, kleur geel, voor kunststofbuis met een
uitwendige maat van 50mm.
</t>
  </si>
  <si>
    <t>KABELVET TBV EINDSLUITING 3 X 240 MM
Blik kabelvet van 3,5 liter inc meegeleverd deksel voor,
het plaatsen van de pompset op het blik.</t>
  </si>
  <si>
    <t xml:space="preserve">Draadsnijolie Rems Spezial 600ml
Op basis van mineraalolie. Speciaal voor draadsnijden ontwikkeld. Daarom
bijzonder hoge smeer- en koelwerking. Zuivere draden, langere levensduur
van snijmessen, gereedschappen en machines.
</t>
  </si>
  <si>
    <t xml:space="preserve">Vaselinespray Griffon 300ml
Zuurvrij onderhoud- en beschermingsvet. Geschikt voor onderhoud en
bescherming van metalen tegen oxidatie en corrosie. Te gebruiken o.a.
voor (tuin)gereedschappen, bouten en moeren, scharnieren en accuklemmen.
Ook ter bescherming van handen en huid. Kan tevens worden gebruikt als
smeer- en glijmiddel voor toepassingen waar weinig krachten of
temperaturen op worden uitgeoefend zoals bij smering van laden en
schroefverbindingen. Ook ideaal als fixatievet voor hennep.
Eigenschappen: roest- en corrosiewerend; smaak- en reukloos; zuurvrij;
farmaceutische kwaliteit; waterbestendig; waterafstotend; hoog viskeus;
siliconenvrij; eenvoudig verwerkbaar; voor binnen en buiten.
</t>
  </si>
  <si>
    <t>Vaseline zuurvrij:
Griffon Lubricant</t>
  </si>
  <si>
    <t xml:space="preserve">Glijmiddel tbv gas (ALL)
Glijmiddel 2000 is een speciaal glijmiddel voor de
montage van rubberringverbindingen in (drink)
waterleidingsystemen.vToepasbaar op beton, asbestcement, gietijzer of
staal, PVC-U, PE of GVK.  Door de toegepaste grondstoffen versterkt het
niet de groei van typisch voorkomende bacteriën in het water, geeft geen
smaak of reuk aan drinkwater, bevat geen schadelijke stoffen, is visceus
en goed en egaal verwerkbaar.  Hierdoor voldoet het aan de hoogst
hygiënische eisen die aan het werken met (drink)waterleidingen worden
gesteld.  Het product is verpakt in handige spuitflacons van 750 ml.
(waardoor het werken met kwast of doek overbodig is).
</t>
  </si>
  <si>
    <t xml:space="preserve">Lagervet SKF LGMT 2 400g
Hoge kwaliteit universeel vet voor toepassing in de industrie- en
automobielsector. Speciaal geschikt voor lagers met asgat &gt;100mm. Heeft
een goede mechanische stabiliteit, corrosiewerende eigenschappen en een
zeer lange gebruiksduur.
</t>
  </si>
  <si>
    <t>Verf 0.5ltr blauw ral5010
Type: Uni Primer
Een sneldrogende, corrosiewerende en universeel toepasbare primer voor
buiten op basis van epoxy-ester. Biedt een goede hechting op metaal en
kunststof, een prima vloei en (kanten)dekking en droogt snel. Daarnaast
is Uni Primer gemakkelijk verwerkbaar, universeel overschilderbaar en
verdunbaar met terpentine.
Kleur: RAL5010 (mat blauw).
Inhoud: 500 ml.</t>
  </si>
  <si>
    <t>Verf 0.5ltr geel ral1018
Type: Uni Primer
Een sneldrogende, corrosiewerende en universeel toepasbare primer voor
buiten op basis van epoxy-ester. Biedt een goede hechting op metaal en
kunststof, een prima vloei en (kanten)dekking en droogt snel. Daarnaast
is Uni Primer gemakkelijk verwerkbaar, universeel overschilderbaar en
verdunbaar met terpentine.
Kleur: RAL1018 (mat geel).
Inhoud: 500 ml.</t>
  </si>
  <si>
    <t xml:space="preserve">Verf 0.5ltr rood ral3002
Type: Uni Primer
Een sneldrogende, corrosiewerende en universeel toepasbare primer voor
buiten op basis van epoxy-ester. Biedt een goede hechting op metaal en
kunststof, een prima vloei en (kanten)dekking en droogt snel. Daarnaast
is Uni Primer gemakkelijk verwerkbaar, universeel overschilderbaar en
verdunbaar met terpentine.
Kleur: RAL3002 (mat rood).
Inhoud: 500 ml.
</t>
  </si>
  <si>
    <t xml:space="preserve">Primer HT voor het verkrijgen van een goede hechting van
DENSOLEEN-wikkelband op het te bekleden oppervlak.
</t>
  </si>
  <si>
    <t>KOGELBOUT 25MM BINNENDRAAD M12 OUD STATION</t>
  </si>
  <si>
    <t xml:space="preserve"> Rubberen afdichtingsplug, materiaal: NOFIRNO type: Slipseal, 68 x 44-46
mm voor mantelbuis 75 mm.</t>
  </si>
  <si>
    <t xml:space="preserve">Metselmortel Beamix 320 25kg zonder kalk
Metselmortel 320 voegdikte 10 tot 12mm  Beamix Metselmortel 320 is een
fabrieksmatig vervaardigde droge mortel, op basis van EN 998-2.
Metselmortel in de sterkte klasse M5 en metselmortel type A volgens NEN
6790: 2005 (TGB steen).   Toepassing:  het vermetselen van bakstenen met
een zuigend vermogen.  het vermetselen van porisostenen.  het
vermetselen van kalkzandstenen van Nederlandse herkomst voor dragend en
niet-dragend werk binnen.  Voor voegen &gt; 10mm.
Inhoud: 25kg
</t>
  </si>
  <si>
    <t xml:space="preserve">Constructiebeton Beamix 100 25kg
Beamix Constructie Beton 100 Sterker beton voor gewapende en ongewapende
betonconstructies, sterkteklasse C28/35, 12 mm korrel.   Beamix
Constructie Beton 100 is een fabrieksmatig vervaardigde droge mortel, op
basis van EN 206-1:NEN 8005.   Toepassing:  voor zwaardere en / of
dynamische belasting gewapende en ongewapende betonconstructies het
storten van vloeren, zowel binnen als buiten het storten van funderingen
Inhoud: 25kg
</t>
  </si>
  <si>
    <t xml:space="preserve">Cement snel hardend 6kg,
is geschikt voor montage- en reparatiewerkzaamheden waarbij een snelle
belasting gewenst is. Het product is krimparm en chloridevrij.
Het heeft een hoge sterkte (35 N / mm²) en een snelle afbinding; na 5
minuten begint de binding, na ca. 8 minuten is het product belastbaar.
Toepassing:
Voor binnen en buiten, Voor wanden en vloeren, zorgt voor een goede
hechting op PVC.
Type Cebarox 5
Inhoud: 6kg
</t>
  </si>
  <si>
    <t xml:space="preserve">Meterplank WBP plaat 18x1245x600 mm Okoume
</t>
  </si>
  <si>
    <t xml:space="preserve">Piket 60cm vurenhout a 25st
Piketten gemaakt van vurenhout Verpakt in bundels van 25 stuks Afmeting
2x3 centimeter Lengte: 60cm
</t>
  </si>
  <si>
    <t xml:space="preserve">Paal 4KT 5,3x5,3x185cm zwart kunststof (ALL)
Uitvoering: Vierkant
Afmeting:  5,3 x 5,3 x 185 cm
Matriaal: Kunststof
Kleur: Zwart
</t>
  </si>
  <si>
    <t>KB meetpaal RVS, lengte 1200 mm kleur grijs, inclusief aansluitklem,
tweepoot als verankering, met slot, boven plaatje geel.</t>
  </si>
  <si>
    <t xml:space="preserve">Stempelpaal kort kunststof, afmetingen 800 x 70 x 70 mm. 4-zijdig taps
naar punt.
</t>
  </si>
  <si>
    <t xml:space="preserve">Straatpot zonder inlegplaatje. Afmetingen pot volgens DIN 4055.
Afmetingen deksel 190 x 190 mm. Materiaal pot Pubra neutraal. Materiaal
deksel GGG. Materiaal bout RVS.
</t>
  </si>
  <si>
    <t xml:space="preserve">Betonkrans. Buitenmaat 45 cmx 45 cm x 6cm. Binnenmaat gat voor straatpot
20 cm x 20 cm. Kleur geel.
</t>
  </si>
  <si>
    <t xml:space="preserve">Betontriplex plaat 4x1245x100 mm hout
</t>
  </si>
  <si>
    <t xml:space="preserve">VLOERPLAAT 60X150CM 18MM HW BPX AS
Anti slip Vloerplaat 600x1500x18mm Betonplex-antislip.
Gaat per stuk naar de klant.
Deze worden gezaagd uit een plaat van 2030 x 1530.
</t>
  </si>
  <si>
    <t>Meterplank plaat 18x300x2440 mm HW MPX (multiplex).</t>
  </si>
  <si>
    <t xml:space="preserve">Soldeerdraad 3mm 1000gr 50% tin 50% lood met kern
Met kern, voor zacht solderen, op spoel.
</t>
  </si>
  <si>
    <t xml:space="preserve">Soldeerpaste S65; Zuurvrije soldeervloeistof met KIWA-keur. Geschikt
voor het zachtsolderen van koperen (drink)water- CV-, en gasleidingen in
combinatie met koperen of messing fittingen met diameters t/m 22 mm.
Niet geschikt voor koperen(drinkwater)leidingen met een diameter van &gt;
22 mm. Gebruik hiervoor S-39 Koper Vertinnningspasta.
 Eigenschappen:
- corrosieveilig
- 100% waterafspoelbaar
- wateroplosbaar
- maximaal temperatuurbereik 300°C
- goed bevochtigend vermogen
- met kwast
- loodvrij
- transparant
 Keuren/Normeringen:
 KIWA: Vloeimiddelen en vertinningspasta's voor zachtsolderen van
capillaire verbindingen. Certificaat K6077 op basis van BRL K624.EN
29454-1/ 2.1.2.A: Vloeimiddelen voor zachtsolderen.
 Flacon a 80 ml.
</t>
  </si>
  <si>
    <t xml:space="preserve">PeCu prefab gasdienstleiding met  PE 40 SDR17,6 mantelbuis -Zachtkoper
Cu 28mmx1,2mm. Lengte 2,50meter. -Aansluiting op PE40 mm SDR 17,6.
Pipelife overgangskoppeling PE-koper -Leiding zonder steunbus enkel
geschikt voor persfitting Met QA-keur. Toepassingsgebied klasse 0 tot 2.
Fabrikaat: OCI
Of
Peko dienstleiding PE 40 SDR17,6 mantelbuis met Cu 28 mm. Lengte 2,50
meter. Geschikt voor aansluiting op dienstleiding PE 40. Met PE-
koppeling. QA-keur Trekvast. ** buigzame PEKO met Pipelife-koppeling
**Toepassingsgebied klasse 0 tot 0A
Fabrikaat: HSF
</t>
  </si>
  <si>
    <t>PeCu prefab gasdienstleiding met  PE 40 SDR17,6 mantelbuis -Zachtkoper
Cu 28mmx1,2mm. Lengte 3,75 meter. -Aansluiting op PE40 mm SDR 17,6.
Pipelife overgangskoppeling PE-koper -Leiding zonder steunbus enkel
geschikt voor persfitting Met QA-keur. Toepassingsgebied klasse 0 tot 2.
Fabrikaat: HSF.
Of
Peko dienstleiding PE 40 SDR17,6 mantelbuis met Cu 28 mm. Lengte 3,75
meter. Geschikt voor aansluiting op dienstleiding PE 40. Met PE-
koppeling. QA-keur Trekvast. ** buigzame PEKO met Pipelife-koppeling
**Toepassingsgebied klasse 0 tot 2.
Fabrikaat: OCI.</t>
  </si>
  <si>
    <t>PeCu prefab gasdienstleiding met  PE 40 SDR17,6 mantelbuis -Zachtkoper
Cu 28mmx1,2mm. Lengte 6,25 meter. -Aansluiting op PE40 mm SDR 17,6.
Pipelife overgangskoppeling PE-koper -Leiding zonder steunbus enkel
geschikt voor persfitting Met QA-keur. Toepassingsgebied klasse 0 tot 2.
Fabrikaat: OCI
Of
Peko dienstleiding PE 40 SDR17,6 mantelbuis met Cu 28 mm. Lengte 6,25
meter. Geschikt voor aansluiting op dienstleiding PE 40. Met PE-
koppeling. QA-keur Trekvast. ** buigzame PEKO met Pipelife-koppeling
**Toepassingsgebied klasse 0 tot 2
Fabrikaat: HSF</t>
  </si>
  <si>
    <t xml:space="preserve">Hangslot KAGL FK 0706 85/40 M 2 combi (ALL)
ABUS 85/40, messing, met geharde verchroomde beugel. Dubbele
automatische vergrendeling. Ontgrendeling door 2 meegeleverde sleutels.
Kastbreedte: 40 mm. Verschillend sluitend
</t>
  </si>
  <si>
    <t>Ontgrendelmechanisme,
(ontsluitingmechanisme links van slot)
naar beneden drukkend, draairichting 3,
Te leveren zonder paniekstang.
Te leveren met twee sets bout+moer+borgpen tbv paniekstang
Fabr: Lips; type: 5063K.</t>
  </si>
  <si>
    <t xml:space="preserve">Sleuteletui HOZ 62LS XXL 18cm zwart leer tbv LS/HS sleutel.
</t>
  </si>
  <si>
    <t>SLEUTELKLUISJE, VOOR MONTAGE OP HEK,
VOLGENS TEKENING: ST - 019,
UITVOERING: THERMISCH VERZINKT</t>
  </si>
  <si>
    <t>Kunststof zegelkap met kliksluiting, 1-delig, geel tbv gas, Fabr: KZ;
Type: EP-MIC Dinwendig = 76; d1 = 58 mm; d2 = 41 mm; tbv: mete
rinvoerconstructie (MIC) 63 + 25PE, 32PE ; Meterinvoerconstructie(MIC) 63 + 32 PE.</t>
  </si>
  <si>
    <t xml:space="preserve"> Aanboorzadel toepasbaar als aftakzadel of blaasgatzadel 168-188mmx2"
Polsafe materiaal: RVS met NBR rubber.
</t>
  </si>
  <si>
    <t xml:space="preserve">Aanboorzadel toepasbaar als aftakzadel 230-250mmx2" Polsafe materiaal:
RVS met NBR rubber.
</t>
  </si>
  <si>
    <t xml:space="preserve">Lasaanboorstuk 2" Mueller T zachte afdichting. Geschikt tot 8 bar.
</t>
  </si>
  <si>
    <t xml:space="preserve">Lasbocht,
materiaal naadloze staal (St 35.8), volgens DIN 2605,
afmetingen: 114,3 x 3,6 mm, 45 graden, 5S,
klasse 1 volgens DIN 17175,
afgeschuind.
</t>
  </si>
  <si>
    <t>Enkelzijdige cilinder Europrofiel 17mm,
standaard uitvoering,
Lengte: 30,5 mm (buitenzijde) + 9,5 mm (binnenzijde),
Cataloguslengte = 30 mm,
Code 1.2 (HS),
Fabr. Lips, Type Trivium S8461.</t>
  </si>
  <si>
    <t>Enkelzijdige cilinder Europrofiel 17mm,
verlengde uitvoering,
Lengte: 55,5 mm (buitenzijde) + 9,5 mm (binnenzijde),
Cataloguslengte = 55 mm,
Code 1.2 (HS),
Fabr. Lips, Type Trivium S8461.</t>
  </si>
  <si>
    <t>Dubbelzijdige cilinder Europrofiel 17mm,
standaard uitvoering,
Lengte: 30,5 mm (buitenzijde) + 30,5 mm (binnenzijde),
Cataloguslengte = 60 mm,
Code 1.2 (HS),
Fabr. Lips, Type Trivium S8462.</t>
  </si>
  <si>
    <t>Enkelzijdige cilinder Europrofiel 17mm,
standaard uitvoering,
Lengte: 30,5 mm (buitenzijde) + 9,5 mm (binnenzijde),
Cataloguslengte = 30 mm,
Code 1.3 (LS)
Fabr. Lips, Type Trivium S8461.</t>
  </si>
  <si>
    <t>Enkelzijdige cilinder Europrofiel 17mm,
verlengde uitvoering,
Lengte: 55,5 mm (buitenzijde) + 9,5 mm (binnenzijde),
Cataloguslengte = 55 mm,
Code 1.3 (LS),
Fabr. Lips, Type Trivium S8461.</t>
  </si>
  <si>
    <t>Hangslot (NUON), beugel in RVS,
Beugelhoogte = 30mm,
Code 1.3 (LS)
Fabr: Lips, Type: Trivium S4051.</t>
  </si>
  <si>
    <t>Dubbelzijdige cilinder Europrofiel 17mm,
standaard uitvoering,
Lengte: 30,5 mm (buitenzijde) + 30,5 mm (binnenzijde),
Cataloguslengte = 60 mm,
Code 1.4 (E-terrein),
Fabr. Lips, Type Trivium S8462.</t>
  </si>
  <si>
    <t>Hangslot, beugel in RVS,
Beugelhoogte = 30mm,
Code 1.4 (E-terrein)
Fabr: Lips, Type: Trivium S4051.</t>
  </si>
  <si>
    <t>2-delige messing koppeling voor gas,
aansluiting: wartel 2.1/2" x buitendraad 2",
vlakke dichting en geborgde neopreenring.
{Puntstuk volgens NEN2542 met conisch afdichtend {R} draad
volgens NEN3258;
Wartelmoer volgens NEN2544 met cilindrisch (G) draad
volgens NEN176}.</t>
  </si>
  <si>
    <t>Malleable fitting, knie 90˚. Binnendraad-binnendraad 1½"x1¼". nr90.</t>
  </si>
  <si>
    <t xml:space="preserve">Verloopring;
materiaal: messing;
aansluiting 1: conisch afdichtende buitendraad,
     R 1", volgens NEN 3258.
aansluiting 2: cilindrisch afdichtende binnendraad,
     Rp 3/4", volgens NEN 3258.
</t>
  </si>
  <si>
    <t>Verloopring;
materiaal: messing;
aansluiting 1: conisch afdichtende buitendraad,
     R 1.1/2", volgens NEN 3258.
aansluiting 2: cilindrisch afdichtende binnendraad,
     Rp 1", volgens NEN 3258.</t>
  </si>
  <si>
    <t>Verloopring;
materiaal: messing;
aansluiting 1: conisch afdichtende buitendraad,
     R 1.1/2", volgens NEN 3258.
aansluiting 2: cilindrisch afdichtende binnendraad,
     Rp 1.1/4", volgens NEN 3258.</t>
  </si>
  <si>
    <t>Verloopring;
materiaal: messing;
aansluiting 1: conisch afdichtende buitendraad,
     R 2", volgens NEN 3258.
aansluiting 2: cilindrisch afdichtende binnendraad,
     Rp 1", volgens NEN 3258.</t>
  </si>
  <si>
    <t>Verloopring;
materiaal: messing;
aansluiting 1: conisch afdichtende buitendraad,
     R 2", volgens NEN 3258.
aansluiting 2: cilindrisch afdichtende binnendraad,
     Rp 1.1/4", volgens NEN 3258.</t>
  </si>
  <si>
    <t>Verloopring;
materiaal: messing;
aansluiting 1: conisch afdichtende buitendraad,
     R 2", volgens NEN 3258.
aansluiting 2: cilindrisch afdichtende binnendraad,
     Rp 1.1/2", volgens NEN 3258.</t>
  </si>
  <si>
    <t xml:space="preserve">Mof verloop PE elektrolas, 10 bar gas, PE100 SDR11, 110 mm x 90 mm.
</t>
  </si>
  <si>
    <t>Krimpmanchet voor aanboor T-stuk 2" Mueller T, HTTE 2500 IPCO.</t>
  </si>
  <si>
    <t xml:space="preserve">Rubberen manchet afdichting. Waterdichte afdichting tussen mantelbuis en
gasvoerende buis. Uitwendige maat mantelbuis range 231-200mm. Uitwendige
maat gasvoerende buis 138-104mm.
</t>
  </si>
  <si>
    <t xml:space="preserve">Rubberen manchet afdichting. Waterdichte afdichting tussen mantelbuis en
gasvoerende buis. Uitwendige maat mantelbuis range 180-160mm. Uitwendige
maat gasvoerende buis range 80-60mm.
</t>
  </si>
  <si>
    <t xml:space="preserve">Rubberen manchet afdichting. Waterdichte afdichting tussen mantelbuis en
gasvoerende buis. Uitwendige maat mantelbuis range 325-302mm. Uitwendige
maat gasvoerende buis range 165-130mm.
</t>
  </si>
  <si>
    <t xml:space="preserve">Rubberen manchet afdichting. Waterdichte afdichting tussen mantelbuis en
gasvoerende buis. Uitwendige maat mantelbuis range 325-302mm. Uitwendige
maat gasvoerende buis range 231-200mm.
</t>
  </si>
  <si>
    <t xml:space="preserve">Afdichtring / Dichtring / Pakkingring, hard, materiaal: IBENULIT
afmetingen: 70,0 x 60,0 x 2,0 mm. KLINGERSIL C-4400
</t>
  </si>
  <si>
    <t xml:space="preserve">Slangklem ABA Nova 11-17mm staal elvz b=9 nr.004 vpe=50
Een flexibele slangklem die binnen een groot spanbereik tot de kleinste
afmetingen zijn rondheid en afdichting bewaart.Staal elektrolytisch
verzinkt.
</t>
  </si>
  <si>
    <t xml:space="preserve">Slangklem ABA Original 15-24mm RVS-A2 b=12 nr.008 vpe=50
Stabiele slangklem die geschikt is voor zwaar gebruik onder moeilijke en
corrosieve omstandigheden. De band heeft omgebogen bandranden zodat de
slang niet wordt beschadigd en het risico op corrosie in de naden
minimaal is. Materiaal: roestvaststaal A2.
</t>
  </si>
  <si>
    <t xml:space="preserve">Slangklem ABA Original 22-32mm RVS-A2 b=12 nr.012 vpe=50
Stabiele slangklem die geschikt is voor zwaar gebruik onder moeilijke en
corrosieve omstandigheden. De band heeft omgebogen bandranden zodat de
slang niet wordt beschadigd en het risico op corrosie in de naden
minimaal is. Materiaal: roestvaststaal A2.
</t>
  </si>
  <si>
    <t xml:space="preserve">Slangklem ABA Original 32-44mm RVS-A2 b=12 nr.020 vpe=50
Stabiele slangklem die geschikt is voor zwaar gebruik onder moeilijke en
corrosieve omstandigheden. De band heeft omgebogen bandranden zodat de
slang niet wordt beschadigd en het risico op corrosie in de naden
minimaal is. Materiaal: roestvaststaal A2.
</t>
  </si>
  <si>
    <t xml:space="preserve">Slangklem ABA Original 58-75mm staal elvz b=12 nr.040 vpe=50
ABA Original 2 wordt standaard geleverd met banden van Aluzink, dat een
langere en betere roestbestendigheid heeft dan traditioneel
gegalvaniseerde banden. Het breukmoment is hoog, dankzij de strenge
kwaliteitscontrole op elk onderdeel voor assemblage en het uit 1 stuk
geperste wormhuis. Staal elektrolytisch verzinkt.
</t>
  </si>
  <si>
    <t xml:space="preserve">Slangklem ABA Original 68-85mm RVS-A2 b=12 nr.044 vpe=25
Stabiele slangklem die geschikt is voor zwaar gebruik onder moeilijke en
corrosieve omstandigheden. De band heeft omgebogen bandranden zodat de
slang niet wordt beschadigd en het risico op corrosie in de naden
minimaal is. Materiaal: roestvaststaal A2.
</t>
  </si>
  <si>
    <t xml:space="preserve">Pete's testplug, voorzien van BSP 1/4'draad met neopreen afdichting.
Werkdruk maximaal 34Bar.
</t>
  </si>
  <si>
    <t>Schuifafsluiter,
materiaal: Nodulair gietijzer (GGG50),
uitwendig voorzien van Polyurethaan coating,
PE100 lasuiteinden SDR11,
drukklasse PN10,
Schuif: NBR gevulkaniseerd,
Aansluiting 63 mm (DN 50)
Lengte: 1232; hoogte: 241; spindelmaat: 14.</t>
  </si>
  <si>
    <t>Schuifafsluiter,
materiaal: Nodulair gietijzer (GGG50),
uitwendig voorzien van Polyurethaan coating,
PE100 lasuiteinden SDR11,
drukklasse PN10,
Schuif: NBR gevulkaniseerd,
Aansluiting 110 mm (DN 100)
Lengte: 1300; hoogte: 297; spindelmaat: 19.</t>
  </si>
  <si>
    <t>Kop v Spindel. Bestemd voor Hawle, type 9051 en 9053. Materiaal:
Gietijzer. Kleur: Geel.</t>
  </si>
  <si>
    <t>Kogelkraan, kogelafsluiter recht voor gas met vleugelknopbediening;
materiaal: vernikkeld messing; werkdruk max: PN 16;
aansluitingen: cilindrisch afdichtend binnendraad Rp 1/2" x Rp 1/2"
Doorlaat: DN 15.
DVGW-keur, EN-331.</t>
  </si>
  <si>
    <t xml:space="preserve">Waarschuwingsbord "niet schakelen" 20cm
m. koord+haak (ALL)
</t>
  </si>
  <si>
    <t>WAARSCHUWINGSBORD ROOD MET TEKST "NIET INSCHAKELEN"
AFMETING: 190X350MM
MATERIAAL: RESOPAL 1,5MM
KLEUR: ROOD OP WIT
VOORZIEN VAN 2 BOORGATEN 4MM</t>
  </si>
  <si>
    <t xml:space="preserve">Overzichtsbord Alliander LS station vervaardigd van Vikureeen wit
mat/mat 5 mm dik. Voorzien van zwarte lijnen. (synoniem: Naambord voor
richtingen)
Afmeting: 246 x 600 mm.
</t>
  </si>
  <si>
    <t xml:space="preserve">Afstandsbus 6,3x15x7,5mm nylon (ALL)
</t>
  </si>
  <si>
    <t>Magneetschakelaar ABB AF-16-40-00-13 30A 4 polig 250V</t>
  </si>
  <si>
    <t>Magneetschakelaar ABB AF09 4polig 4KW 100-250ACDC
Type: AF09 40 00 13
ABB AF09 Magneetschakelaar, AC-schakelend.
Nominale spoelspanning Us bij AC 50HZ (V): 100 – 250.
Nominale spoelspanning Us bij AC 60HZ (V): 100 – 250.
Nominale spoelspanning Us bij DC (V): 100 – 250.
Type spanning voor bekrachtiging: AC/DC.
Nominaal vermogen bij AC3/400V (kW): 4.
Nominale bedrijfsstroom Ie bij AC-1, 400 V (A): 25.
Nominale bedrijfsstroom Ie bij AC-3, 400 V (A): 9.
Modulaire uitvoering: Nee.
Aantal hulpcontacten als maakcontact: 0.
Aantal hulpcontacten als verbreekcontact: 0.
Aansluitwijze hoofdstroomcircuit: Schroefaansluiting.
Aantal hoofdcontacten als verbreekcontact: 0.
Aantal hoofdcontacten als maakcontact: 4
Handbediening: Nee.</t>
  </si>
  <si>
    <t xml:space="preserve">Gasdrukregelaar, merk: Elster Jeavons. Type: J48. Uitvoering: recht.
Toegestane werkdruk: inlaatzijdig maximaal 350mbar, uitlaatzijdig
maximaal 160mbar. Voorzien aan in en uitlaatzijde van 1.1/4" gas
binnendraad. Geschikt voor een omgevings temperatuur van -20°C tot
+70°C. Ingeregeld op een uitlaatdruk van +/- 30mbar.
</t>
  </si>
  <si>
    <t>MEET &amp; BESTURINGSINR. (MITB1)</t>
  </si>
  <si>
    <t xml:space="preserve">GE (voorheen)
naam: Meterbord MB255/145        (50st)
type: 602654
ABB (huidig)
naam: Meterbord 145x255mm 602654
type: HAM145x255/44
</t>
  </si>
  <si>
    <t>Soepel montagesnoer (VDS) 2,5 mm2 CU geel/groen</t>
  </si>
  <si>
    <t>Soepele verbinding,
1 laag litze plat 50 mm2,
Lengte totaal = 390 mm (inclusief aansluitplaten)
Aansluitplaat 1: gaten 9, 7 resp 14 mm.
Aansluitplaat 2: gat 14 mm.
Tekening: FB965A.</t>
  </si>
  <si>
    <t>Soepele verbinding,
1 laag litze plat 50 mm2,
Lengte totaal = 390 mm (inclusief aansluitplaten)
Aansluitplaat 1: gaten 9, 7 resp 14 mm.
Aansluitplaat 2: gat 21 mm.
Tekening: FB966A.</t>
  </si>
  <si>
    <t>DRAAD SOEPEL H07V-K 16MM2 BLAUW</t>
  </si>
  <si>
    <t>NEN: VD 450/750
H07V-R ECA
Fabrikaat: Nexans.
Rol a 100 meter.</t>
  </si>
  <si>
    <t xml:space="preserve">DRAAD  1MM  MASSIEF VERTIND (ROL A 30M)
</t>
  </si>
  <si>
    <t>Perskabelschoen geschikt voor 16mm2 Cu, boutgat 9mm (M8). Volgens DIN
46235.</t>
  </si>
  <si>
    <t>Perskabelschoen geschikt voor 16mm2 Cu, boutgat 11mm (M10). Volgens DIN
46235.</t>
  </si>
  <si>
    <t>Perskabelschoen geschikt voor 25mm2 Cu, boutgat 9mm (M8). Volgens DIN
46235.</t>
  </si>
  <si>
    <t>Perskabelschoen geschikt voor 6,7-10,5mm2 Cu, boutgat 7mm (M6). Volgens
DIN 46235.</t>
  </si>
  <si>
    <t xml:space="preserve">Perskabelschoen Klauke 2R8, vertind koper, geschikt voor massieve en
samengeslagen aders.
</t>
  </si>
  <si>
    <t>Perskabelschoen geschikt voor 35mm2 Cu, boutgat 11mm (M10). Volgens DIN
46235.</t>
  </si>
  <si>
    <t>Perskabelschoen geschikt voor 50mm2 Cu, boutgat=11mm (M10). Volgens DIN
46235.</t>
  </si>
  <si>
    <t>Perskabelschoen geschikt voor 50mm2 Cu, boutgat=13mm (M12). Volgens DIN
46235.</t>
  </si>
  <si>
    <t>perskabelschoen geschikt voor 300nm2 kabel, boutgat M12. Volgens DIN
46235.</t>
  </si>
  <si>
    <t>Perskabelschoen geschikt voor 300nm2 kabel, boutgat M20. Volgens DIN
46235.</t>
  </si>
  <si>
    <t>Perskabelschoen geschikt voor 300nm2 kabel, boutgat M16. Volgens DIN
46235.</t>
  </si>
  <si>
    <t>AANSLUITPEN MAGNEFIX MF VOOR KABEL 16MM2 CU</t>
  </si>
  <si>
    <t>AANSLUITBUS MAGNEFIX MD4 VOOR KABEL 16MM2 CU</t>
  </si>
  <si>
    <t>AANSLUITKLEM 4X10, AP 1/062 V ISOCOUPE 25A</t>
  </si>
  <si>
    <t>ADEREINDHULS 16MM2 BLAUW</t>
  </si>
  <si>
    <t>Ringklem geschikt voor hoofdkabel GPL 3x50+1x35Cu met aftak 4x6Cu-4x50Al
- type Pfisterer SCK 332069070</t>
  </si>
  <si>
    <t>KABELINLEGKLEM 50-150MM2 AL MET STIFT M10</t>
  </si>
  <si>
    <t>AARDKLEM GEISOLEERD V STRIP 10MM AFTAK 25MM2</t>
  </si>
  <si>
    <t>Aansluitklem Magnefix,
voor max. 95 mm2 samengeslagen koperdraad (GPLK-kabels).
(voor kunststof kabel max. 70 mm2 (niet Alliander)).
Zakje bevat:
- 3 aansluitklemmen
- 3 wormschroeven
- 3 plastic draadjes
Eaton, 682251.</t>
  </si>
  <si>
    <t>Warmte krimp eindsluiting binnenopstelling voor GPLK 10kV 3x35-70mm2,
exclusief  schroefkabelschoenen of Magnefixaansluitklemmen.</t>
  </si>
  <si>
    <t>Warmte krimp eindsluiting binnenopstelling voor GPLK 10kV 3x95-240mm2,
exclusief  schroefkabelschoenen of Magnefix aansluitklemmen.</t>
  </si>
  <si>
    <t>Afschermset v XLPE-eindsluiting onder schakelinstallatie
Magnefix, fabrikaat: Holec, nummer: 3685.153.</t>
  </si>
  <si>
    <t>Warmtekrimp einddop, krimpbereik  21,5 – 7 mm, lengte 60 mm.</t>
  </si>
  <si>
    <t>Warmtekrimp einddop, krimpbereik  40 - 15 mm, lengte 100 mm.</t>
  </si>
  <si>
    <t>Warmtekrimp einddop, krimpbereik  55 - 25 mm, lengte 140 mm.</t>
  </si>
  <si>
    <t>Warmtekrimp einddop, krimpbereik  75 - 32 mm, lengte 165 mm.</t>
  </si>
  <si>
    <t>Warmtekrimp einddop, krimpbereik  100 - 45 mm, lengte 145 mm.</t>
  </si>
  <si>
    <t>ADEREINDDOP   1,5MM2</t>
  </si>
  <si>
    <t>ADEREINDDOP   2,5MM2</t>
  </si>
  <si>
    <t>ADEREINDDOP   4-6MM2</t>
  </si>
  <si>
    <t>ADEREINDDOP  10MM2</t>
  </si>
  <si>
    <t>ADEREINDDOP  16MM2</t>
  </si>
  <si>
    <t>ADEREINDDOP  50MM2</t>
  </si>
  <si>
    <t>ADEREINDDOP  95MM2</t>
  </si>
  <si>
    <t>ADEREINDDOP 150MM2</t>
  </si>
  <si>
    <t>PVC-tape transparant 3,8 cm x 20 m voor wikkelmof.</t>
  </si>
  <si>
    <t>INSPUITVENTIEL V WIKKELMOF</t>
  </si>
  <si>
    <t>SPUITNIPPEL V WIKKELMOF</t>
  </si>
  <si>
    <t>NEKAFDICHTING V WIKKELMOF</t>
  </si>
  <si>
    <t>GIETHARS POLYURETHAAN INHOUD 355CC</t>
  </si>
  <si>
    <t>Krimpbuis 19-6mm lang 1,2m zwart.</t>
  </si>
  <si>
    <t>Krimpkous  6-2mm lang 1,2m zwart.</t>
  </si>
  <si>
    <t>STEUNYZER V KABELBEVEST BEUGEL POS 774
L=14 cm
Br=8 cm
H=4 cm
gaten 12 mm</t>
  </si>
  <si>
    <t>Rolbandveer RF 0,5 met bereik 9-14mm. Met opschrift RF 0,5, 9-14mm.
Voorzien van opstaand lipje. Geschikt voor GPL LS-kabel 3x2,5 - 6 mm2.</t>
  </si>
  <si>
    <t>Rolbandveer RF 0 met bereik 6-10mm. Met opschrift RF 0, 6-10mm.
Voorzien van opstaand lipje.</t>
  </si>
  <si>
    <t>Aansluitklem 25 mm2 Cu v aardelectrode
12,5 mm en 12,7 mm</t>
  </si>
  <si>
    <t xml:space="preserve">AARDBOUT KOGELKOP 20MM BINNENDRAAD M12
</t>
  </si>
  <si>
    <t>AARDING V TRAFOBOX 1000KVA</t>
  </si>
  <si>
    <t>Soepele verbinding, ronde kabel.
lang = 500 mm
litze rond vertind 25 mm2
Uiteinden kabelschoen met gat 8 mm.
Tekening: FB2125.</t>
  </si>
  <si>
    <t>Kruiskop v aardelectrode
geschikt voor aardelectrodes van 12,5 &lt;(&gt;&amp;&lt;)&gt; 12,7 mm.</t>
  </si>
  <si>
    <t>Lamp fluorescentie, buis, vermogen: 36 W, Tk 3000 K,
Ra &gt; 80, lampvoet: G13,
ILCOS-code: FD-36/30-1B-E-G13</t>
  </si>
  <si>
    <t>Lamp, fluorescentie, buis, 58W, Tk 4000 K, Ra &gt; 80,
lampvoet G13,
ILCOS-code FD-58/40-1B-E-G13.</t>
  </si>
  <si>
    <t xml:space="preserve">Bulleye verlichtingsarmatuur: kunststof IP44, geschikt voor gloeilamp
t/m 60 W (lamp is exclusief), E27, met gelakte- / verzinkte korf, kleur
lichtgrijs.
</t>
  </si>
  <si>
    <t>PATROON-HS-FULLRAN-12KV/ 63A-PP321B-SLAGSTIF</t>
  </si>
  <si>
    <t>PATROON-HS-FULLRAN-12KV/ 40A-PP321A-M.SLAGST</t>
  </si>
  <si>
    <t xml:space="preserve">Waarschuwingslint rood met opschrift  "ELEKTRICITEITSKABEL".
Breedte 40 mm, lengte 250 meter op rol
</t>
  </si>
  <si>
    <t xml:space="preserve">GE (voorheen)
naam: Ged.kabelinv. KGGI 1-40 bl (50st)
type: 602646
ABB (huidig)
naam: Enkele gedeelde kabelinvoer 602645
type: HAK-KI/40
</t>
  </si>
  <si>
    <t xml:space="preserve">GE (voorheen)
naam: Hulpstuk type 372/23 (invoerstuk met gaatjes bovenop het meterbord
type: 10106280
ABB (huidig)
naam: Inzetstuk meterbord met 5 gaten
type: INZETSTUK METERBORD MET 4 GATEN
</t>
  </si>
  <si>
    <t>METERBORDBOUTJES (ZAKJE van 3)
Bestaat uit:
- 3 boutjes M5 met vierkante kop met een stukje schuim er bovenop,
- 3 moeren M5
- 3 sluitringen M5</t>
  </si>
  <si>
    <t>Tweeling-adereindhuls voor 2x 6,0mm2, kleur geel met kunststof huls,
totale lengte is 14mm.</t>
  </si>
  <si>
    <t>Groepenkast m 2 schroefpratroonhouders K2
en schakelaar 2-P.</t>
  </si>
  <si>
    <t>SCHAKELAAR-MAGNEET-220V/30KW-K&amp;M-DIL2AM</t>
  </si>
  <si>
    <t>Schakelaar/wcd m randaarde waterdicht.</t>
  </si>
  <si>
    <t>KONTAKTSTOP RUBBER 2-POLIG M RA</t>
  </si>
  <si>
    <t>COMBI SCHAKELAAR+WC.DOOS MET RA.KUNSTSTOF</t>
  </si>
  <si>
    <t>BEUGEL ST-VZ 16MM GALV.</t>
  </si>
  <si>
    <t>Kabelbeugel, kabelzadel,
22 mm,
galvanisch verzinkt.</t>
  </si>
  <si>
    <t>Kabelbeugel, kabelzadel,
38 mm,
galvanisch verzinkt.</t>
  </si>
  <si>
    <t>Kabelbeugel, kabelzadel,
48 mm,
galvanisch verzinkt.</t>
  </si>
  <si>
    <t>PIPE POLFX KLMBLK 16GR</t>
  </si>
  <si>
    <t xml:space="preserve">PIPE POLFX KLMBLK  19GR
</t>
  </si>
  <si>
    <t>KABELZADEL 1"   POLFIX</t>
  </si>
  <si>
    <t>KABELBEVESTIGINGSBLOK V 4 KABELS</t>
  </si>
  <si>
    <t>KABELBEVESTIGINGSBLOK UITBREIDINGSSET 4 KAB</t>
  </si>
  <si>
    <t>BEUGEL V C-PROFIEL V VLOERBEVESTIGING</t>
  </si>
  <si>
    <t>Kunststof kabeldoos 95x95x60 mm.,
grijs, met 3 x wartel M20 1 x M</t>
  </si>
  <si>
    <t xml:space="preserve">Wartel M25, bereik 9 – 17 mm, IP68, kunststof, kleur RAL 7035 (licht
grijs), inbouw gat 25mm, schroefdraad metrisch, bestel ook de
 wartelmoer M25 voor bevestigen wartel in behuizing. Levering per stuk.
Wiska (ESKV25).
</t>
  </si>
  <si>
    <t>BUISPATROON 12KV 25A Z SLAGSTIFT 12FDLNJ25</t>
  </si>
  <si>
    <t>BUISPATROON 12KV 10A Z SLAGSTIFT FULLRANGE</t>
  </si>
  <si>
    <t>BUISPATROON 12KV 16A Z SLAGSTIFT FULLRANGE</t>
  </si>
  <si>
    <t>BUISPATROON 12KV 20A Z SLAGSTIFT FULLRANGE</t>
  </si>
  <si>
    <t>BUISPATROON 12KV 31,5A Z SLAGSTIFT FULLRANGE</t>
  </si>
  <si>
    <t>BUISPATROON 12KV 50A Z SLAGSTIFT FULLRANGE</t>
  </si>
  <si>
    <t>BUISPATROON 12KV  6,3A M SLAGSTIFT FULLRANGE</t>
  </si>
  <si>
    <t>BUISPATROON 12KV 10A M SLAGSTIFT FULLRANGE</t>
  </si>
  <si>
    <t>BUISPATROON 12KV 16A M SLAGSTIFT FULLRANGE</t>
  </si>
  <si>
    <t>BUISPATROON 12KV 20A M SLAGSTIFT FULLRANGE</t>
  </si>
  <si>
    <t>BUISPATROON 12KV 31,5A M SLAGSTIFT FULLRANGE</t>
  </si>
  <si>
    <t>BUISPATROON 12KV 50A M SLAGSTIFT FULLRANGE</t>
  </si>
  <si>
    <t>BUISPATROON  3KV 40A VOOR MAGNEFIX MG</t>
  </si>
  <si>
    <t xml:space="preserve">Mespatroon  16A DIN 000
met combimelder,
karakteristiek gG,
type LNH0016M
</t>
  </si>
  <si>
    <t xml:space="preserve">Mespatroon  25A DIN 000
met combimelder,
karakteristiek gG,
type LNH0025M
</t>
  </si>
  <si>
    <t xml:space="preserve">Mespatroon  50A DIN 000
met combimelder,
karakteristiek gG,
type LNH0050M
</t>
  </si>
  <si>
    <t xml:space="preserve">Mespatroon  63A DIN 000
met combimelder,
karakteristiek gG,
type LNH0063M
</t>
  </si>
  <si>
    <t xml:space="preserve">Mespatroon  80A DIN 000
met combimelder,
karakteristiek gG,
type LNH0080M
</t>
  </si>
  <si>
    <t xml:space="preserve">Mespatroon 125A DIN 00
met combimelder,
karakteristiek gG,
type LNH0125M
</t>
  </si>
  <si>
    <t xml:space="preserve">Mespatroon 160A DIN 00
met combimelder,
karakteristiek gG,
type LNH0160M
</t>
  </si>
  <si>
    <t xml:space="preserve">Mespatroon 315A DIN 3
met combimelder,
karakteristiek gG,
type LNH3315M
</t>
  </si>
  <si>
    <t xml:space="preserve">Mespatroon 160A DIN 2
met combimelder,
karakteristiek gG,
type LNH2160M
</t>
  </si>
  <si>
    <t>Mespatroon 224A DIN 2
met combimelder,
karakteristiek gG,
type LNH2224M</t>
  </si>
  <si>
    <t xml:space="preserve">Mespatroon 630A DIN 3
met combimelder,
karakteristiek gR,
type NH3GS69V500PV
voor windmolen
</t>
  </si>
  <si>
    <t xml:space="preserve">Mespatroon 630A DIN 3
met combimelder,
karakteristiek gR,
type NH3GS69V630PV
voor windmolen
</t>
  </si>
  <si>
    <t>SCHROEFPATROON  6A TRAAG D-01 V OV ARNHEM</t>
  </si>
  <si>
    <t xml:space="preserve">GE (voorheen)
naam: Instal aut G10000 B 16A/1p
type: 672331
ABB (huidig)
naam: Installatieautomaat, 1-polig, B karakteristiek 16A
type: S 201M B16
</t>
  </si>
  <si>
    <t>MESPATROONHOUDER V OPST.MESPATR. DIN00 100A</t>
  </si>
  <si>
    <t xml:space="preserve">Schroefpatroonhouder Wohner 31441 D2 25A 3polig 500V E27 v railmontage
Type: 31441
Patroonhouder 3-polig 25A E27
60MM systeem.
Aantal polen: 3
DIN-grootte: DII
Materiaal: Kunststof
Uitvoering: Houder
Uitvoering met afdekking: Nee
Montagewijze: Railsysteem
Nominale (meet)spanning: 500 V
Nominale (meet)stroom: 25 A
Reduceerring K111-K11: Nee
</t>
  </si>
  <si>
    <t>Schroefpatroonhouder Wohner 31442 D3 63A 3polig 690V E33 v railmontage
Type: 31442
Patroonhouder 3-polig 63A E33
60MM systeem.
Aantal polen: 3
DIN-grootte: DIII
Materiaal: Kunststof
Uitvoering: Houder
Uitvoering met afdekking: Nee
Montagewijze: Railsysteem
Nominale (meet)spanning: 690 V
Nominale (meet)stroom: 63 A
Reduceerring K111-K11: Nee</t>
  </si>
  <si>
    <t>DOORVERBINDINGSMES  160A DIN 00</t>
  </si>
  <si>
    <t>DOORVERBINDINGSMES 1250A DIN 3</t>
  </si>
  <si>
    <t>DOORVERBINDINGSMES 1000A DIN 4</t>
  </si>
  <si>
    <t>Schroefpatroonhouder D-3 max. 63A
Geschikt voor montage op grondplaat.</t>
  </si>
  <si>
    <t xml:space="preserve">GE (voorheen)
naam: EP100 automaat 10kA 1P B 6A
type: 672327
ABB (huidig)
naam: Installatieautomaat, 1-polig, B karakteristiek 6A
type: S 201M B 6
</t>
  </si>
  <si>
    <t xml:space="preserve">Ophoogstuk geschikt voor automaten van 25A, 40A, 50A, 63A en 80A.
Artikelkleur is grijs.
Geeft een verhoging van 20mm en is 27mm breed.
GE (voorheen)
naam: OPHOOGSTUK 80A              (350 ST)
type: 40200181
ABB (huidig)
naam: Verhogingsstuk HAK 80A
type: HAK-VS 80A
</t>
  </si>
  <si>
    <t>AFSCHERMKAP KUNSTSTOF V 10KV-ZIJDE TRAFO</t>
  </si>
  <si>
    <t>NAAMPLAAT WIT 200X40MM V RICHTINGEN</t>
  </si>
  <si>
    <t>RAILPROFIEL V BEVESTIGING FRAMES IN A305</t>
  </si>
  <si>
    <t>AANSLUITSTRIP V LASTSCHEIDER</t>
  </si>
  <si>
    <t>U-PROFIEL V OPSTELLING TRAFO LNG 1000MM</t>
  </si>
  <si>
    <t>STRIP CU V AANSL &amp; AARD PATRH OVERSTEEK CX &amp;</t>
  </si>
  <si>
    <t>U-PROFIEL V OPSTELLING TRAFO LNG 1200MM</t>
  </si>
  <si>
    <t>VERLICHTINGSGROEP V MSR
Lengte is 2 meter
Met bully zonder lamp E27</t>
  </si>
  <si>
    <t>BEUGEL ST-TZ V PVC-BUIS ONDER VLOER MSR</t>
  </si>
  <si>
    <t>VERLOOPNIPPEL M10 NAAR M12 V BEV. KOGELBOUT</t>
  </si>
  <si>
    <t xml:space="preserve">Aansluitkast voor woonboot.
voor gas/electra.
Reewoud type UCHSD/2+SKS2.
Wanddikte: 4 mm.
Afmetingen:
1115 x 795 x  320 mm.
Breed x hoog x diep.
Inclusief fundatie.
</t>
  </si>
  <si>
    <t>Aansluitkast (walkast) voor woonschip,
materiaal: kunststof,
afmetingen: B=530; H=1185 (bovengronds); Dkt=267; Hondergronds=560mm;
voorzien van:
- montageplaat,
- gemonteerd halfprofiel eurocilinderslot
 (verschillend sluitend)
Reewoud; type: HEASD53.</t>
  </si>
  <si>
    <t>BEUGEL V BEVESTIGING LS KABELS OP TRAFO</t>
  </si>
  <si>
    <t>STRIP V VLOERBEV. V FRAME MAGNEFIX MD4/MF</t>
  </si>
  <si>
    <t>AFDEKKAP K-VELD MAGNEFIX MD4</t>
  </si>
  <si>
    <t>AFDEKKAP K-VELD MAGNEFIX MF</t>
  </si>
  <si>
    <t>SCHAKELKAP MAGN MF  M AUTORESET VERKL 450A</t>
  </si>
  <si>
    <t>SCHAKELKAP MAGN MF  M AUTORESET VERKL 250A</t>
  </si>
  <si>
    <t>SCHAKELKAP MAGN MF  Z VERKLIKKER</t>
  </si>
  <si>
    <t>SCHAKELKAP MAGN MD4 M AUTORESET VERKL 250A</t>
  </si>
  <si>
    <t>SCHAKELKAP MAGN MD4 M AUTORESET VERKL 450A</t>
  </si>
  <si>
    <t>SCHAKELKAP MAGN MD4 M AUTORESET VERKL 600A</t>
  </si>
  <si>
    <t>SCHAKELKAP MAGN MD4 Z VERKLIKKER</t>
  </si>
  <si>
    <t>AFBRANDKONTAKT MAGNEFIX MD4</t>
  </si>
  <si>
    <t>BLUSKAMER MAGNEFIX MD4</t>
  </si>
  <si>
    <t>RAILS  97MM RAILZIJDE MAGNEFIX MD4</t>
  </si>
  <si>
    <t>RAILS 139MM KABELZIJDE (BOVEN)  MAGNEFIX MD4</t>
  </si>
  <si>
    <t>RAILS  85MM KABELZIJDE (MIDDEN) MAGNEFIX MD4</t>
  </si>
  <si>
    <t>RAILS  31MM KABELZIJDE (ONDER)  MAGNEFIX MD4</t>
  </si>
  <si>
    <t>MAGNEFIX-PROFIEL C 550MM</t>
  </si>
  <si>
    <t>HOOFDKONTAKT MAGNEFIX MD4</t>
  </si>
  <si>
    <t>OPHANGREK V SCHAKELKAPPEN MAGNEFIX MD4</t>
  </si>
  <si>
    <t>Krat compleet met deksel, kunststof, grijs,
LxBxH = 400 x 300 x 235 mm.
zijwand en bodem gesloten, handgrepen dicht.
Deksel 400 x 300 mm.
Type LGB 104, grijs, deksel type 77001 grijs.</t>
  </si>
  <si>
    <t>LS-REK R8 RECHTS V 8 GROEPEN M 4 GROEP 400A
rail 50 x 10 mm, 1000 A
630 kVA / 1000 A.</t>
  </si>
  <si>
    <t>LS-REK R8 LINKS V 8 GROEPEN M 4 GROEP 400A rail 50 x 10 mm, 1000 A 630
kVA / 1000 A.</t>
  </si>
  <si>
    <t>LS-REK 1000A V 8 GROEPEN             V ALFEN</t>
  </si>
  <si>
    <t>LS-REK 1000A V 8 GROEPEN                O&amp;K</t>
  </si>
  <si>
    <t>LS-rek, R12,
Voedende groep aan linkerzijde,
geschikt voor 12 groepen,
Voorzien van 4 afgaande groepen 400 A.
rail 50 x 10 mm, rail 1000 A.
Let op voedende groep en stroomtrafo 630 A</t>
  </si>
  <si>
    <t>Laagspanningsstrook.
Afgaande groep,
400 A
voor LS-rek R7 en R11 (oud PGEM)      TB
Incl 3 zekeringhouders Din 2
Incl 4 D1 patronen 10 Amp
Incl. beschermkap en bevestigingsmateriaal.</t>
  </si>
  <si>
    <t>Laagspanningsstrook, afgaande groep,
400 A, 1-P schakelbaar
Beschermkap onder
(over de kabelaansluiting onderzijde afgaande stroken).
JM
inclusief:
- zakje bevestigingsmateriaal (3 bouten, 3 sluitringen)</t>
  </si>
  <si>
    <t xml:space="preserve">Laagspanningstrook, afgaande groep.
400 A , 1-polig schakelbaar
met automaat.
Beschermkap onder
(over de kabelaansluiting onderzijde afgaande stroken).
Jean Muller
Inclusief:
- Zakje bevestigingsmateriaal (3 bouten en 3 sluitringen)
</t>
  </si>
  <si>
    <t>ADAPTOR V AFG GROEP 160A                JM</t>
  </si>
  <si>
    <t>AFSCHERMSTROOK LS-REK 10CM BREED</t>
  </si>
  <si>
    <t>Laagspanningsstrook.
Afgaande groep.
160 A, 1-polig, schakelbaar
Beschermkap onder
(over de kabelaansluiting onderzijde afgaande stroken).
Jean Muller
Inclusief:
- Beschermkap.
- Zakje met 6 bouten en sluitringen en 3 bevestigingsstukken</t>
  </si>
  <si>
    <t>Afgaande groep,
400 A, 1-polig
met 2 x inlegklem 50-150 mm2.
Beschermkap onder
(over de kabelaansluiting onderzijde afgaande stroken).
Inclusief:
- Zakje bevestigingsmateriaal (3 bouten en 3 sluitringen)</t>
  </si>
  <si>
    <t xml:space="preserve">PeCu prefab gasdienstleiding met  PE 40 SDR17,6 mantelbuis -Zachtkoper
Cu 28mmx1,2mm. Lengte 5,00 meter. -Aansluiting op PE40 mm SDR 17,6.
Pipelife overgangskoppeling PE-koper -Leiding zonder steunbus enkel
geschikt voor persfitting Met QA-keur. Toepassingsgebied klasse 0 tot 2.
Fabrikaat: OCI
Of
Peko dienstleiding PE 40 SDR17,6 mantelbuis met Cu 28 mm. Lengte 5,00
meter. Geschikt voor aansluiting op dienstleiding PE 40. Met PE-
koppeling. QA-keur Trekvast. ** buigzame PEKO met Pipelife-koppeling
**Toepassingsgebied klasse 0 tot 2.
Fabrikaat: HSF
</t>
  </si>
  <si>
    <t>PeCu prefab gasdienstleiding met  PE 40 SDR17,6 mantelbuis -Zachtkoper
Cu 28mmx1,2mm. Lengte 7,50 meter. -Aansluiting op PE40 mm SDR 17,6.
Pipelife overgangskoppeling PE-koper -Leiding zonder steunbus enkel
geschikt voor persfitting Met QA-keur. Toepassingsgebied klasse 0 tot 2.
Fabrikaat: OCI
Of
Peko dienstleiding PE 40 SDR17,6 mantelbuis met Cu 28 mm. Lengte 7,50
meter. Geschikt voor aansluiting op dienstleiding PE 40. Met PE-
koppeling. QA-keur Trekvast. ** buigzame PEKO met Pipelife-koppeling
**Toepassingsgebied klasse 0 tot 2.
Fabrikaat: HSF</t>
  </si>
  <si>
    <t xml:space="preserve">Rubberen manchet afdichting. Waterdichte afdichting tussen mantelbuis en
gasvoerende buis. Uitwendige maat mantelbuis range 180-155mm. Uitwendige
maat gasvoerende buis range 138-104mm.
</t>
  </si>
  <si>
    <t xml:space="preserve">Rubberen manchet afdichting. Waterdichte afdichting tussen mantelbuis en
gasvoerende buis. Uitwendige maat mantelbuis range 231-200mm. Uitwendige
maat gasvoerende buis 180-155mm.
</t>
  </si>
  <si>
    <t xml:space="preserve">Rubberen manchet afdichting. Waterdichte afdichting tussen mantelbuis en
gasvoerende buis. Uitwendige maat mantelbuis range 180-155mm. Uitwendige
maat gasvoerende buis range 85-68mm.
</t>
  </si>
  <si>
    <t xml:space="preserve">Rubberen manchet afdichting. Waterdichte afdichting tussen mantelbuis en
gasvoerende buis. Uitwendige maat mantelbuis range 282-251mm. Uitwendige
maat gasvoerende buis range 231-200mm.
</t>
  </si>
  <si>
    <t xml:space="preserve">Rubberen manchet afdichting. Waterdichte afdichting tussen mantelbuis en
gasvoerende buis. Uitwendige maat mantelbuis range 360-300mm. Uitwendige
maat gasvoerende buis range 282-250mm.
</t>
  </si>
  <si>
    <t xml:space="preserve">Gasmeterkoppeling: Materiaal: messing. UItvoering: S-koppeling/
zwanehals . Aansluitingen: 1: Gasmeterwartelmoer GM 3/4" 2: buitendraad
R 3/4" (ISO 7-1). Met NBR-pakking.
</t>
  </si>
  <si>
    <t>INSTEEKNIPPEL 26 SFAW 21 MXX</t>
  </si>
  <si>
    <t>NIPPEL-INST MS 26 SFIW 13 MXX</t>
  </si>
  <si>
    <t xml:space="preserve"> Rubberen afdichtingsplug, materiaal: EPDM 57 x 40 mm voor mantelbuis 63
mm.</t>
  </si>
  <si>
    <t xml:space="preserve">POLVALIT-Z KOPPELING  75mm U2 VERLENGD
Insteekmof, verlengd,
Materiaal: PVC-slagvast (CPE / PVC-A), klasse 33,
kleur: geel,
afmetingen: 75 mm.
Gastec QA-merk.
</t>
  </si>
  <si>
    <t>Insteekmof, verlengd,
Materiaal: PVC-slagvast (CPE / PVC-A), klasse 33,
kleur: geel,
afmetingen: 110 mm.
Gastec QA-merk.</t>
  </si>
  <si>
    <t>Insteekmof, verlengd,
Materiaal: PVC-slagvast (CPE / PVC-A), klasse 33,
kleur: geel,
afmetingen: 160 mm.
Gastec QA-merk.</t>
  </si>
  <si>
    <t>T-stuk (MMB),
Materiaal: PVC-slagvast (CPE / PVC-A), klasse 33,
kleur: geel,
afmetingen: 200 mm x 160 mm x 200 mm
Gastec QA-merk.</t>
  </si>
  <si>
    <t>Eindkap m steekmof,
Materiaal: PVC-slagvast (CPE / PVC-A), klasse 33,
kleur: geel,
afmetingen: 90 mm,
Gastec Qa-merk.</t>
  </si>
  <si>
    <t xml:space="preserve">Afsluitplug voor POLSAFE aansluitopzetstuk 1½".  Materiaal: PVC-slagvast
(CPE/PVC-A ).
</t>
  </si>
  <si>
    <t xml:space="preserve">Afsluitplug voor POLSAFE aansluitopzetstuk 1¼" met kr-koppeling.
 Materiaal: PVC-slagvast (CPE/PVC-A ).
</t>
  </si>
  <si>
    <t xml:space="preserve">Afsluitplug voor  Polva zadel. Voorzien van gasdraad 1¼".
</t>
  </si>
  <si>
    <t xml:space="preserve">Insulatorsegment mf-mini - 21 mm.
</t>
  </si>
  <si>
    <t xml:space="preserve">Insulatorsegment mf-mini - 28 mm.
</t>
  </si>
  <si>
    <t xml:space="preserve">Insulatorsegment mf-midi - 21 mm.
</t>
  </si>
  <si>
    <t xml:space="preserve">Insulatorsegment mf-midi - 28 mm.
</t>
  </si>
  <si>
    <t xml:space="preserve">Lasbocht, materiaal staalsoort P265GH, volgens NEN EN 10027-1,
afmetingen: 323,9x5,6mm, 90 graden, 3D, volgens NEN EN 10253-2, afges
chuind, markering: charge,staalsoort en leverancier.
</t>
  </si>
  <si>
    <t xml:space="preserve">Las-T-stuk, materiaal staalsoort P235GH, volgens NEN EN 10027-1,
nominaledruk PN16, afmetingen: 406,4x 6,3* 406,4 x 6,3mm, volgens NEN EN
10253-2, afgeschuind, markering: charge,staalsoort en leverancier.
</t>
  </si>
  <si>
    <t xml:space="preserve">Laszadel,
materiaal: staal (Weldolet),
afmeting : 273,0 x 114,3 mm (10" x 4")
kan ook als 323,9 x 114,3 mm (12" x 4") worden toegepast.
</t>
  </si>
  <si>
    <t xml:space="preserve">MMB GY 250x110mm.
Materiaal: Nodulair gietijzer - DIN1693 - ontwerp volgens NEN-EN 128422
- voorzien van gele epoxy coating tbv GAS.
</t>
  </si>
  <si>
    <t xml:space="preserve">MMB GY 250x160mm.
Materiaal: Nodulair gietijzer - DIN1693 - ontwerp volgens NEN-EN 128422
- voorzien van gele epoxy coating tbv GAS.
</t>
  </si>
  <si>
    <t xml:space="preserve">MMB GY 315x315mm.
Materiaal: Nodulair gietijzer - DIN1693 - ontwerp volgens NEN-EN 128422
- voorzien van gele epoxy coating tbv GAS.
</t>
  </si>
  <si>
    <t>MMB GY 250x250mm.
Materiaal: Nodulair gietijzer - DIN1693 - ontwerp volgens NEN-EN 128422
- voorzien van gele epoxy coating tbv GAS.</t>
  </si>
  <si>
    <t>Buisklem RVS,
aansluitmaat: 57 - 63 mm,
Breedte klem: 200 mm.
Incl. beleidssticker.</t>
  </si>
  <si>
    <t>RVS buis reparatieklem, merk: HUWA, materiaal RVS AISI 304,
aansluitrange 70-77mm, breedte klem 200mm, voorzien van beleidssticker e
n montage instructie.</t>
  </si>
  <si>
    <t>Buisklem RVS,
aansluitmaat: 130 - 150 mm,
breedte klem: 300 mm.
Incl. beleidssticker.</t>
  </si>
  <si>
    <t>Buisklem RVS,
aansluitmaat: 140 - 160 mm,
breedte klem: 300 mm.
Incl. beleidssticker.</t>
  </si>
  <si>
    <t>Buisklem RVS,
aanluitklem: 159 - 182 mm,
breedte klem: 300 mm.
Incl. beleidssticker.</t>
  </si>
  <si>
    <t>Buisklem RVS,
aansluitmaat: 168 - 189 mm,
breedte klem: 300 mm.
Incl. beleidssticker.</t>
  </si>
  <si>
    <t>Buisklem RVS,
aansluitklem 108 - 128 mm,
breedte klem: 300 mm.
Incl. beleidssticker.</t>
  </si>
  <si>
    <t>Buisklem RVS,
aansluitmaat: 216 - 238 mm,
breedte klem: 300 mm.
Incl. beleidssticker.</t>
  </si>
  <si>
    <t xml:space="preserve">Blindflens, materiaal: staalsoort P250GH zijn volgens NEN EN 10027-1,
nominale druk: PN 10 bar, nominale diameter: DN 50, uitwendige diameter:
340 x 24 mm, aantal en diameter boutgaten: 8 x 22mm, volgens NEN EN
1092-1.
</t>
  </si>
  <si>
    <t>Blindflens, materiaal: staalsoort P250GH zijn  volgens NEN EN 10027-1,
nominale druk: PN 10 bar, nominale diameter: DN250, uitwendige diameter:
395 x 26 mm, aantal en diameter boutgaten: 12 x 22 mm, volgens NEN EN
1092-1.</t>
  </si>
  <si>
    <t xml:space="preserve">Blindflens, materiaal: staalsoort P250GH zijn volgens NEN EN 10027-1,
nominale druk: PN 10 bar, nominale diameter: DN 300, uitwendige
diameter: 445 x 26 mm, aantal en diameter boutgaten: 12 x 22 mm, volgens
NEN EN 1092-1.
</t>
  </si>
  <si>
    <t xml:space="preserve">Muurbeugel met rubberen inlage.
Voor buis 29-33 mm.
Aansluiting voor M8-bout.
Type: BSA.
Muurbeugel Flamco BSA 29-33mm x M8 ELVZ+EPDM-inlage vpe=10st
Flamco BSA M8 universele beugels voor montage van alle soorten buis aan
de muur of plafond.
</t>
  </si>
  <si>
    <t xml:space="preserve">Muurbeugel met rubberen inlage.
Voor buis 33-37 mm (1").
Aansluiting voor M8-bout.
Type: BSA.
Muurbeugel Flamco BSA 33-37mm x M8 ELVZ+EPDM-inlage vpe=10st
Flamco BSA M8 universele beugels voor montage van alle soorten buis aan
de muur of plafond.
</t>
  </si>
  <si>
    <t xml:space="preserve">Gasmeteraansluiting, flexibel, diameter: 1.1/4", aansluitingen:
binnendraad Rp1.1/4" / buitendraad R1.1/4", Lengte: 385mm, Koppeling: St
37. Schroefdraad volgens ISO7-1. QA-keur.
</t>
  </si>
  <si>
    <t xml:space="preserve">Gasmeteraansluiting, flexibel, met meetnippel, diameter: 1",
aansluitingen: KraanKoppeling / buitendraad, Lengte: 350mm, Koppelingen:
St 37. Flex voor kraankoppel G1.1/4"; G1"wm x R1"; Kraankoppeling
volgens NEN2542; Schroefdraad volgens ISO7-1; Isolatiestuk volgens
NEN7205.
</t>
  </si>
  <si>
    <t xml:space="preserve">Gasmeteraansluiting, met meetnippel, flexibel, diameter: 2",
aansluitingen: KraanKoppeling / buitendraad, Lengte: 520mm, Koppelingen:
St 37. Flex voor kraankoppel G2.1/2"; G2.1/2"wm x R2"; Kraankoppeling
volgens NEN2542; Schroefdraad volgens ISO7-1; Isolatiestuk volgens
NEN7205.
</t>
  </si>
  <si>
    <t xml:space="preserve">Gasmeteraansluiting, flexibel, diameter: 1", aansluitingen: binnendraad
Rp1" / buitendraad R1", Lengte: 350mm, Koppeling: St 37. Schroefdraad
volgens ISO7-1. QA-keur.
</t>
  </si>
  <si>
    <t xml:space="preserve">Gasmeteraansluiting, flexibel, diameter: 3/4"
Aansluitingen: binnendraad Rp3/4" / buitendraad R3/4"
Lengte: 300mm
Koppeling: St 37.
Schroefdraad volgens ISO7-1. QA-keur.
</t>
  </si>
  <si>
    <t xml:space="preserve">Gasmeteraansluiting, flexibel, diameter: 1", aansluitingen:
KraanKoppeling / buitendraad, Lengte: 350mm, Koppelingen: St 37.
Flex voor kraankoppel G1.1/4"; G1"wm x R1"; Kraankoppeling volgens
NEN2542; Schroefdraad volgens ISO7-1; Isolatiestuk volgens NEN7205.
</t>
  </si>
  <si>
    <t xml:space="preserve">Schaaldeel DN 150,
Lengte = 1 meter,
rood
Inwendig 165 mm.
</t>
  </si>
  <si>
    <t>Snijring 12mm, DIN2353. Materiaal Staal-verzinkt.</t>
  </si>
  <si>
    <t>Snijring koppeling knie, 12mm x BSP1/4 buitendraad, DIN2353,  materiaal
staal-verzinkt.</t>
  </si>
  <si>
    <t>Schuifafsluiter, lange bouwlengte
Materiaal: GGG-50
Aansluitingen: flens 50 mm / flens 50 mm / 4-boutgaten 18 mm
Drukklasse: PN16
Bekleding: Epoxy/PUR
Materiaalschuif: NBR (rubber)
Bouwlengte : 250 mm - spindelkop 14 mm.</t>
  </si>
  <si>
    <t>Schuifafsluiter, lange bouwlengte
Materiaal: GGG-50
Aansluitingen: flens 80 mm / flens 80 mm / 8 boutgaten 18 mm
Drukklasse: PN16
Bekleding: Epoxy/PUR
Materiaalschuif: NBR (rubber)
Bouwlengte: 280 mm.
Spindelmaat: 17 mm.</t>
  </si>
  <si>
    <t>Schuifafsluiter, lange bouwlengte
Materiaal: GGG-50
Aansluitingen: flens 100 mm / flens 100 mm / 8 boutgaten 18 mm
Drukklasse: PN16
Bekleding: Epoxy/PUR
Materiaalschuif: NBR (rubber)
Bouwlengte: 300mm
Spindelmaat: 19 mm.</t>
  </si>
  <si>
    <t>Schuifafsluiter, lange bouwlengte
Materiaal: GGG-50
Aansluitingen: flens 150 mm / flens 150 mm / 8 boutgaten 22 mm
Drukklasse: PN16
Bekleding: Epoxy/PUR
Materiaalschuif: NBR (rubber)
Bouwlengte: 350 mm,
Spindelmaat: 19 mm.</t>
  </si>
  <si>
    <t>Spindelkop gietijzer water (KZ) 14mm.</t>
  </si>
  <si>
    <t>Kogelkraan, afsluiter recht voor gas met vleugelknopbediening;
materiaal: messing; MOP 5;
aansluiting: cilindrisch afdichtend binnendraad Rp 1.1/4" x
wartelbuitendraad G 1.1/2".
Doorlaat: DN 32.
DVGW-keur, EN-331.</t>
  </si>
  <si>
    <t>Rechte kogelkraan voor gas met handelbediening ;
materiaal: messing; MOP 5;
aansluiting 1: cilindrisch afdichtend binnendraad Rp 1.1/2" aansluiting
2: wartelbuitendraad G 2".
Doorlaat: DN 40.
DVGW-keur, EN-331.</t>
  </si>
  <si>
    <t xml:space="preserve">Kogelkraan, ND16, NW50, GGG 40; PN16B.
Type afsluiter: kogel
Merk: Flowserve
Diameter: DN50
Draairichting: rechts
Aantal slagen: 1/4 slag
Nominale drukklasse: PN 16
Verbindingstechniek 1: flens
Verbindingstechniek 2: flens
Afsluiter bekleed: nee
Inbouwmaat: 150 mm
Afsluiter bediening: handsteel
Materiaal: GGG
Spindelmaat: -
</t>
  </si>
  <si>
    <t xml:space="preserve">Zinkspray Rust-Oleum 2185 500ml grijs glv zinc
Type: 2185 Een sneldrogend, zinkrijke grondlaag gebaseerd op een epoxy
ester.  Bevat puur zink en biedt kathodische bescherming.  Wordt
gebruikt op nieuw, blank of gestraald staal of verzinkte
metaaloppervlakken. Bedoeld voor kleine onderhoudswerkzaamheden en
reparaties.  Is overschilderbaar met onverzeepbare coatings. Wordt
gebruikt als grondlaag of één-laag systeem bij lichte industriële
belasting en in een corrosieve/vochtige omgeving. Inhoud: Spuitbus 500ml
Kleur: Grijs.
</t>
  </si>
  <si>
    <t xml:space="preserve">Waarschuwingslint "GAS". Kleur geel. Opschrift "GAS". Breed 40mm,
rollengte = 250m.
</t>
  </si>
  <si>
    <t xml:space="preserve">Anodezak 10 kg.
</t>
  </si>
  <si>
    <t xml:space="preserve">Lasbocht,
materiaal naadloze staal (St 35.8), volgens DIN 2605,
afmetingen: 60,3 x 2,9 mm, 90 graden, 5S,
klasse 1 volgens DIN 17175,
afgeschuind.
</t>
  </si>
  <si>
    <t>Lasbocht,
materiaal naadloze staal (St 35.8), volgens DIN 2605,
afmetingen: 88,9 x 3,2 mm, 90 graden, 5S,
klasse 1 volgens DIN 17175,
afgeschuind.</t>
  </si>
  <si>
    <t>Vlakke lasflens,
materiaal : staal (RSt 37.2),
nominale druk: PN 16,
nominale diameter: DN 80,
voor pijp: 88,9 mm,
aantal en diameter bouten: 8 x 18 mm,
volgens DIN 2576-B.</t>
  </si>
  <si>
    <t>Spie, verlopend,
Materiaal: PVC-slagvast (CPE / PVC-A),
kleur: geel,
afmetingen: 160 mm x 125 mm.
Gastec QA-merk.</t>
  </si>
  <si>
    <t xml:space="preserve">Rubberen manchet afdichting. Waterdichte afdichting tussen mantelbuis en
gasvoerende buis. Uitwendige maat mantelbuis range 138-104mm. uitwendige
maat gasvoerende buis range 65-50mm.
</t>
  </si>
  <si>
    <t xml:space="preserve">Rubberen manchet afdichting. Waterdichte afdichting tussen mantelbuis en
gasvoerende buis. Uitwendige maat mantelbuis 273mm. Uitwendige maat
gasvoerende buis 160mm.
</t>
  </si>
  <si>
    <t>Onderplaat v straatpot. Maat 200 mm x 200 mm. Materiaal HDPE. Kleur
zwart.</t>
  </si>
  <si>
    <t>Onderplaat v straatpot. Maat 344 mm x 244 mm. Materiaal HDPE. Kleur
zwart.</t>
  </si>
  <si>
    <t xml:space="preserve">Aanboorzadel toepasbaar als aftakzadel of blaasgatzadel 125mmx1 ½"
Polsafe materiaal: PVC/SV. Gastec QA-merk.
</t>
  </si>
  <si>
    <t>Beproevingskap voor opzetstuk BG Polsafe,
Materiaal: PVC-slagvast (CPE / PVC-A),
kleur: geel,
afmetingen: 2".</t>
  </si>
  <si>
    <t>Beproevingsplug voor opzetstuk, Polsafe,
Materiaal: PVC-slagvast (CPE / PVC-A),
kleur: geel,
afmetingen: 1.1/2".</t>
  </si>
  <si>
    <t>Rechte gasmeterkoppeling (2-delig),
met drukmeetnippel,
materiaal: messing,
Aansluitingen:
- wartel binendraad GM3/4"
- puntstuk met buitendraad R 3/4".
Toepassing: G4</t>
  </si>
  <si>
    <t xml:space="preserve">Gasmeterkoppeling met drukmeetnippel.
Materiaal: messing.
UItvoering: S-koppeling / zwanehals.
 Aansluitingen:
1: Gasmeterwartelmoer 3/4"    wartelmoer met gasmeterdraad 3/4" volgens
NEN 3084.
2: buitendraad Rp 3/4" (ISO 7-1)    conisch afdichtend buitendraad R
3/4" volgens NEN 3258.
</t>
  </si>
  <si>
    <t xml:space="preserve">Afdichtring / nitrilring / dichtring materiaal: nitril, hardheid: shore
80, afmetingen: 36,5 x 28,5 x 2.
</t>
  </si>
  <si>
    <t xml:space="preserve">Afdichtring / pakkingring/ dichtring, materiaal: nitril, hardheid: shore
80, afmetingen: 42,5 x 35 x 2.
</t>
  </si>
  <si>
    <t xml:space="preserve">Filterelement voor gas.
Afmetingen: Bu = 215 x Bi = 110 x L = 283 mm.
Filteroppervlakte = 0,95m2.
Metaaldelen: Geëpoxeerd staal
Filtermedium: Polyesternaaldvilt 3um / 570gr.  op gegalvaniseerd
staalgaas genaaid.
Verlijming: polyethaanhars
Afdichting: Vilt (4mm dik). Gastec-code: G-2,5. Merk, Golden Super
(GSF), type GS-5007.
</t>
  </si>
  <si>
    <t xml:space="preserve">Filterelement voor gas.
Afmetingen: Bu = 123 x Bi =  69 x L = 420 mm.
Filteroppervlakte = 0,50m2.
Metaaldelen: Geëpoxeerd staal
Filtermedium: Polyesternaaldvilt 3um / 570gr.  op gegalvaniseerd
staalgaas genaaid.
Verlijming: polyethaanhars Afdichting: Vilt (4mm dik). Gastec-code:
G-15. Merk, Golden Super (GSF), type GS-5026.
</t>
  </si>
  <si>
    <t xml:space="preserve">Filterelement voor gas.
Afmetingen: Bu = 180 x Bi =  80 x L = 228 mm.
Filteroppervlakte = 0,60m2.
Metaaldelen: Geëpoxeerd staal
Filtermedium: Polyesternaaldvilt 3um / 570gr.  op gegalvaniseerd
staalgaas genaaid.
Verlijming: polyethaanhars
Afdichting: Vilt (4mm dik). Gastec-code: G- 0,5. Merk, Golden Super
(GSF), type GS-5204.
</t>
  </si>
  <si>
    <t xml:space="preserve">Filterelement voor gas.
Afmetingen: Bu = 308 x Bi = 186 x L = 410 mm.
Filteroppervlakte = 1,70m2.
Metaaldelen: Geëpoxeerd staal
Filtermedium: Polyesternaaldvilt 3um / 570gr.  op gegalvaniseerd
staalgaas genaaid.
Verlijming: polyethaanhars
Afdichting: Vilt (4mm dik). Gastec-code: G-4,0. Merk, Golden Super
(GSF), type GS-5011.
</t>
  </si>
  <si>
    <t xml:space="preserve">Filterelement v gas.
Afmetingen: Bu = 200 x Bi = 150 x L = 200 mm.
Metaaldelen: Geëpoxeerd staal
Filtermedium: Polyesternaaldvilt 3um / 570gr.  op gegalvaniseerd
staalgaas genaaid.
Verlijming: polyethaanhars
Afdichting: Vilt (4mm dik). Golden Super (GSF), type GS-5403.
</t>
  </si>
  <si>
    <t xml:space="preserve">Drukregelaar met gasgebrekklep.
Aansluiting 1: Verlijmde nippel gasmeterdraad buitendraad ¾".
Aansluiting 2: wartelmoer 3/4" (onderzijde)
Capaciteit (aardgas) = 10 m3/h
Pi max = 200 mbar
Pafslag = 15 mbar
Puit nom = 28 mbar.
Type WMRG-10. (20187). Met inwendig filter. Haakse huisdrukregelaar met
B-klep, combinatieregelaar, combiklep. Gele dop. Merk gAvilar.
</t>
  </si>
  <si>
    <t>Gasdrukregelaar met veiligheidafslagklep, merk IGA.
Type 1843-B2-L.
Aansluiting binnendraad BSP 1". Spuitstuk 1/8"x3/16".
Inbouwlengte 100mm. Inlaatdruk maximaal 8Bar.
Ingeregeld voor een uitlaatdruk van 30mbar.</t>
  </si>
  <si>
    <t xml:space="preserve">Gasdrukregelaar, merk: Elster Jeavons. Type: J48. Uitvoering: haaks.
Toegestane werkdruk: inlaatzijdig maximaal 350mbar, uitlaatzijdig
maximaal 160mbar. Voorzien aan in en uitlaatzijde van 1" gas
binnendraad. Geschikt voor een omgevings temperatuur van -20°C tot +
70°C. Ingeregeld op een uitlaatdruk van +/- 30mbar.
</t>
  </si>
  <si>
    <t xml:space="preserve">Gasdrukregelaar, merk: Sperryn. Type: G1000. Uitvoering: haaks.
Toegestane werkdruk: inlaatzijdig maximaal 200mbar, uitlaatzijdig ma
ximaal 150mbar. Voorzien aan in en uitlaatzijde van 2" gas binnendraad. Geschikt voor een omgevings temperatuur van -20°C tot
+60°C. Ingeregeld op een uitlaatdruk van +/- 30mbar. Capaciteit bij een
inlaatdruk van 100mbar en een uitlaatdruk van 30mbar is 278m3/h
</t>
  </si>
  <si>
    <t xml:space="preserve">Lasbocht, materiaal staalsoort P235GH, volgens NEN EN 10027-1,
afmetingen: 273,0x5,0mm, 90 graden, 5D, volgens NEN EN 10253-2, afges
chuind, markering: charge,staalsoort en leverancier.
</t>
  </si>
  <si>
    <t xml:space="preserve">Aanboorzadel toepasbaar als blaasgatzadel 250mmx2 ½" Polsafe materiaal:
PVC/SV. Gastec QA-merk.
</t>
  </si>
  <si>
    <t xml:space="preserve">Aanboorzadel toepasbaar als blaasgatzadel 315mmx2 ½" Polsafe materiaal:
PVC/SV. Gastec QA-merk.
</t>
  </si>
  <si>
    <t xml:space="preserve">Mof PE elektrolas, 10 bar gas, PE100 SDR11, 200 mm.
</t>
  </si>
  <si>
    <t xml:space="preserve">Knie PE elektrolas, 10 bar gas, PE100 SDR11, 63 mm, 45 graden.
</t>
  </si>
  <si>
    <t>Knie PE elektrolas, 10 bar gas, PE100 SDR11, 63 mm, 90 graden.</t>
  </si>
  <si>
    <t>Knie PE100 SDR11, 110 mm, 45 graden, 10 bar gas.</t>
  </si>
  <si>
    <t>Knie PE100 SDR11, 110 mm, 90 graden, 10 bar gas.</t>
  </si>
  <si>
    <t>Knie PE100 SDR11, 160 mm, 45 graden, 10 bar gas.</t>
  </si>
  <si>
    <t>Knie PE100 SDR11, 160 mm, 90 graden, 10 bar gas.</t>
  </si>
  <si>
    <t>Knie elektrolas PE100 SDR11, 200 mm, 45 graden, 10 bar gas.</t>
  </si>
  <si>
    <t>Knie elektrolas PE100 SDR11, 200 mm, 90 graden, 10 bar gas.</t>
  </si>
  <si>
    <t xml:space="preserve">Eindkap PE elektrolas, 10 bar gas, PE100 SDR11, diameter 110 mm.
</t>
  </si>
  <si>
    <t xml:space="preserve">Eindkap PE elektrolas, 10 bar gas, PE100 SDR11, diameter 160 mm.
</t>
  </si>
  <si>
    <t xml:space="preserve">Eindkap PE elektrolas, 10 bar gas, PE100 SDR11, diameter 200 mm.
</t>
  </si>
  <si>
    <t>Mof verloop elektrolas, PE100 SDR11, 110 mm x 63 mm, 10 bar gas.</t>
  </si>
  <si>
    <t>Mof verloop elektrolas, PE100 SDR11, 160 mm x 110 mm, 10 bar gas.</t>
  </si>
  <si>
    <t xml:space="preserve">Mof verloop elektrolas PE100 SDR11, 10 bar gas.
Set bestaande uit:
- elektrolasmof 200 mm
- spie-verloopstuk 200 naar 160 mm
- elektrolasmof 160 mm.
</t>
  </si>
  <si>
    <t xml:space="preserve">Aftakzadel elektrolas PE100 SDR11 110x32mm, monoblock.
Diameter doorgaande leiding 110mm, aftakking 32mm spie-eind.
</t>
  </si>
  <si>
    <t xml:space="preserve">Aftakzadel elektrolas PE100 SDR11 160x32mm, monoblock.
Diameter doorgaande leiding 160mm, aftakking 32mm spie-eind.
</t>
  </si>
  <si>
    <t xml:space="preserve">Aftakzadel elektrolas PE100 SDR11 160x63mm, monoblock.
Diameter doorgaande leiding 160mm, aftakking 63mm spie-eind.
</t>
  </si>
  <si>
    <t xml:space="preserve">Aftakzadel elektrolas PE100 SDR11 200x32mm, monoblock.
Diameter doorgaande leiding 200mm, aftakking 32mm spie-eind.
</t>
  </si>
  <si>
    <t xml:space="preserve">Aftakzadel elektrolas PE100 SDR11 200x63mm, monoblock.
Diameter doorgaande leiding 200mm, aftakking 63mm spie-eind.
</t>
  </si>
  <si>
    <t>Sleeve HB5 v Axial Flow DN50 #73404P008
SLEEVES H5 73404 P 008 tbv DN50 regelaar.</t>
  </si>
  <si>
    <t>Gasdrukregelaar met gasgebrekbeveiliging voor aardgas.
Pi max = 200 mbar; B nom = 8 m3 st/h,
nominale diameter: DN 20,
aansluiting : 3/4" buitendraad x GM-koppeling 3/4",
Fabrikant: Actaris, type: SERus.</t>
  </si>
  <si>
    <t xml:space="preserve">Kabelschoen 10mm2, kabel PE/PVC 1x10mm2.
</t>
  </si>
  <si>
    <t xml:space="preserve">Krimpmof met lijmlaag, in lengtes van 150 mm, afmeting 12/4.
</t>
  </si>
  <si>
    <t xml:space="preserve"> Rubberen afdichtingsplug, materiaal: EPDM, type: CSD, 57 x 28 mm voor
mantelbuis 63 mm. tbv boven- en ondergrondse afdichtingen.</t>
  </si>
  <si>
    <t>Spie, verlopend,
Materiaal: PVC-slagvast (CPE / PVC-A),
kleur: geel,
afmetingen: 110 mm x 63 mm.
Gastec QA-merk.</t>
  </si>
  <si>
    <t>Spie, verlopend,
Materiaal: PVC-slagvast (CPE / PVC-A),
kleur: geel,
afmetingen: 110 mm x 75 mm.
Gastec QA-merk.</t>
  </si>
  <si>
    <t>Spie, verlopend,
Materiaal: PVC-slagvast (CPE / PVC-A),
kleur: geel,
afmetingen: 160 mm x 110 mm.
Gastec QA-merk.</t>
  </si>
  <si>
    <t>Spie, verlopend,
Materiaal: PVC-slagvast (CPE / PVC-A),
kleur: geel,
afmetingen: 315 mm x 250 mm.
Gastec QA-merk.</t>
  </si>
  <si>
    <t xml:space="preserve">Lasbocht, materiaal staalsoort P265GH, volgens NEN EN 10027-1,
afmetingen: 406,4x6,3mm, 90 graden, 3D, volgens NEN EN 10253-2, afges
chuind, markering: charge,staalsoort en leverancier.
</t>
  </si>
  <si>
    <t xml:space="preserve">Lasverloopstuk, materiaal staalsoort P235GH, volgens NEN EN 10027-1,
nominaledruk PN16, afmetingen: 168,3x 4,0* 159,0x 4,5 mm, volgens NEN EN
10253-2, afgeschuind, markering: charge,staalsoort en leverancier.
</t>
  </si>
  <si>
    <t xml:space="preserve">Lasverloopstuk, materiaal staalsoort P235GH, volgens NEN EN 10027-1,
nominaledruk PN16, afmetingen: 219,1x 4,5* 114,3x 3,6mm, volgens NEN EN
10253-2, afgeschuind, markering: charge,staalsoort en leverancier.
</t>
  </si>
  <si>
    <t xml:space="preserve">Lasverloopstuk, materiaal staalsoort P235GH, volgens NEN EN 10027-1,
nominaledruk PN16, afmetingen: 273,0x 5,0* 114,3x 3,6mm, volgens NEN EN
10253-2, afgeschuind, markering: charge,staalsoort en leverancier.
</t>
  </si>
  <si>
    <t>Buisklem RVS,
aansluitrange: 20- 23 mm,
breedte klem: 100 mm.
Incl. beleidssticker.</t>
  </si>
  <si>
    <t>Buisklem RVS,
aansluitmaten: 24 - 27 mm,
breedte klem: 100 mm.
Incl. beleidssticker.</t>
  </si>
  <si>
    <t>Buisklem RVS,
aansluitmaat: 30 - 35 mm,
breedte klem: 100 mm.
Incl. beleidssticker.</t>
  </si>
  <si>
    <t>Buisklem RVS,
aansluitmaten: 39 - 43 mm,
breedte klem: 100 mm.
Incl. beleidssticker.</t>
  </si>
  <si>
    <t>Buisklem RVS,
aansluitmaat: 48 - 52 mm,
breedte klem: 100 mm.
Incl. beleidssticker.</t>
  </si>
  <si>
    <t>Buisklem RVS,
aansluitmaat: 190 - 210 mm,
breedte klem: 300 mm.
Incl. beleidssticker.</t>
  </si>
  <si>
    <t>Schuifafsluiter, lange bouwlengte
Materiaal: GGG-50
Aansluitingen: flens 200 mm / flens 200 mm / 12 boutgaten 22 mm
Drukklasse: PN16
Bekleding: Epoxy/PUR
Materiaalschuif: NBR (rubber)
Bouwlengte: 400 mm
Spindelmaat: 24 mm.</t>
  </si>
  <si>
    <t xml:space="preserve">Schuifafsluiter, lange bouwlengte 45,5cm
Materiaal: GGG-50
Aansluitingen: flens 250 mm / flens 250 mm /12 boutgaten 26 mm
Drukklasse: PN16 - 12 gaats
Bekleding: Epoxy/PUR
Materiaal schuif: NBR (rubber)
Bouwlengte: 450 mm,
Spindelmaat: 27 mm.
</t>
  </si>
  <si>
    <t>Schuifafsluiter, lange bouwlengte
Materiaal: GGG-50
Aansluitingen: flens 300 mm / flens 300 mm / 12 boutgaten 26 mm
Drukklasse: PN16
Bekleding: Epoxy/PUR
Materiaalschuif: NBR (rubber)
Bouwlengte: 500 mm,
Spindelmaat: 27 mm.</t>
  </si>
  <si>
    <t xml:space="preserve">Flenspakking,
Materiaal: Aramidevezel met NBR,
geschikt voor gas,
DN  65, PN 10-40, 127 x 77 x 2 mm.
KLINGERSIL C-4400
</t>
  </si>
  <si>
    <t xml:space="preserve">Flenspakking,
Materiaal: Aramidevezel met NBR,
geschikt voor gas,
DN 125, PN 10-16, 192 x 141 x 2 mm.
KLINGERSIL C-4400
</t>
  </si>
  <si>
    <t xml:space="preserve">Flenspakking,
Materiaal: Aramidevezel met NBR,
geschikt voor gas,
DN 300, PN 10, 378 x 325 x 2 mm.
KLINGERSIL C-4400
</t>
  </si>
  <si>
    <t xml:space="preserve">Flenspakking,
Materiaal: Aramidevezel met NBR,
geschikt voor gas,
DN 350, PN 10, 438 x 356 x 2 mm.
KLINGERSIL C-4400
</t>
  </si>
  <si>
    <t xml:space="preserve">Flenspakking,
Materiaal: Aramidevezel met NBR,
geschikt voor gas,
DN 400, PN 16, 497 x 420 x 2 mm.
KLINGERSIL C-4400
</t>
  </si>
  <si>
    <t xml:space="preserve">Flenspakking,
Materiaal: Aramidevezel met NBR,
geschikt voor gas,
DN 500, PN 10, 595 x 520 x 2 mm.
KLINGERSIL C-4400
</t>
  </si>
  <si>
    <t xml:space="preserve">Flenspakking DN 50 PN10-16 #PERMATIGHT
DN 50 PN10-16 maat 61x107x3
</t>
  </si>
  <si>
    <t xml:space="preserve">Flenspakking DN 65 PN10-16 #PERMATIGHT
DN 65 PN10-16 maat 77x127x3
</t>
  </si>
  <si>
    <t xml:space="preserve">Flenspakking DN 80 PN10-16 #PERMATIGHT
DN 80 PN10-16 maat 89x142x3
</t>
  </si>
  <si>
    <t xml:space="preserve">Flenspakking DN 100 PN10-16 #PERMATIGHT
DN 100 PN10-16 maat 115x162x3
</t>
  </si>
  <si>
    <t xml:space="preserve">Flenspakking DN 125 PN10-16 #PERMATIGHT
DN 125 PN10-16 maat 141x192x3
</t>
  </si>
  <si>
    <t xml:space="preserve">Flenspakking DN 150 PN10-16 #PERMATIGHT
DN 150 PN10-16 maat 169x218x3
</t>
  </si>
  <si>
    <t xml:space="preserve">Flenspakking DN 200 PN10-16 #PERMATIGHT
DN 200 PN10-16 maat 220x273x3
</t>
  </si>
  <si>
    <t xml:space="preserve">Flenspakking DN 250 PN10-16 #PERMATIGHT
DN 250 PN10-16 maat 273x329x3
</t>
  </si>
  <si>
    <t xml:space="preserve">Flenspakking DN300 PN-10 #PERMATIGHT
Pakking NW 300,
Permatight 325 x 378 x 3 mm,
Geschikt voor PN 10.
</t>
  </si>
  <si>
    <t xml:space="preserve">Flenspakking DN 400 PN10 #PERMATIGHT
DN 400 PN10 maat 420x490x3
</t>
  </si>
  <si>
    <t xml:space="preserve">Flenspakking DN 500 PN10 #PERMATIGHT
DN 500 PN10 maat 520x595x3
</t>
  </si>
  <si>
    <t xml:space="preserve">Afdichtring / pakkingring / dichtring 30 x 20 x 2 mm, NEN2545/2448
Nitril 80 shore - 63836.
</t>
  </si>
  <si>
    <t>Stopbus pakking. Merk Permatight. Diameter spindel 16 mm.</t>
  </si>
  <si>
    <t>AFDICHTINGSKIT WYMAPLAST ROL 100GRAM</t>
  </si>
  <si>
    <t>Kwelscherm. 1000 x 1000 mm, buisdiameter 32 mm.
Kwelscherm geschikt voor het afdichten van doorvoeringen door damwanden.</t>
  </si>
  <si>
    <t xml:space="preserve"> Afdichtingspasta
Fabr: Stopaq, type FN 2100 L.
kleine uitvoering, bevat 310 ml.
Kabel- en leidingdoorvoeringen onder het maaiveldniveau,
waterdicht en gas belemmerend afdichten volgens NEN 2768.
Stopaq artikelnummer: 2000
Geschikt voor standaard (verzwaard) kitpistool
20034558.</t>
  </si>
  <si>
    <t>Wikkelfolie PVC 21A 50mm geel, Imbema-folie, Nitto tape. Rol a 20 meter.</t>
  </si>
  <si>
    <t xml:space="preserve">Afdichtingsband (teflonband). Merk Performance Plastics Products,
lintvormig, breedte 12 mm, dikte 0,1 mm, drukklasse 0,2 bar.
</t>
  </si>
  <si>
    <t xml:space="preserve">Wikkelband Densoleen AS40 plus 30 mm voor de bescherming van stalen
leidingen en hulpstukken en voldoet aan de eisen volgens EN12068 en
DIN30672 .Samenstelling , bestaande uit een drager van gestabiliseerde
polyethyleen, die aan beide zijden is bedekt met een laag plastische
butylrubber geel/zwart.
</t>
  </si>
  <si>
    <t>Wikkelband Densoleen AS40 plus 50 mm voor de bescherming van stalen
leidingen en hulpstukken en voldoet aan de eisen volgens EN12068 en
DIN30672 .Samenstelling , bestaande uit een drager van gestabiliseerde
polyethyleen, die aan beide zijden is bedekt met een laag plastische
butylrubber geel/zwart.</t>
  </si>
  <si>
    <t>Wikkelband Densoleen AS40 plus 100 mm voor de bescherming van stalen
leidingen en hulpstukken en voldoet aan de eisen volgens EN12068 en
DIN30672 .Samenstelling , bestaande uit een drager van gestabiliseerde
polyethyleen, die aan beide zijden is bedekt met een laag plastische
butylrubber geel/zwart.</t>
  </si>
  <si>
    <t>PVC isolatietape 19mm x 20m, kleur groen, per stuk verpakt in een
kunststof box. Type Hellermann-Tyton HelaTape Flex 1000+. VDE goed
gekeurd volgens IEC 60454-3-1-7/F-PVCP/90. Primair isoleren tot 1 kV. All-weather, geschikt voor binnen en buitentoepassing.</t>
  </si>
  <si>
    <t>PVC isolatietape 19mm x 20m, kleur grijs, per stuk verpakt in een
kunststof box. Type Hellermann-Tyton HelaTape Flex 1000+. VDE goed
gekeurd volgens IEC 60454-3-1-7/F-PVCP/90. Primair isoleren tot 1 kV. All-weather, geschikt voor binnen en buitentoepassing.</t>
  </si>
  <si>
    <t>PVC isolatietape 19mm x 20m, kleur bruin, per stuk verpakt in een
kunststof box. Type Hellermann-Tyton HelaTape Flex 1000+. VDE goed
gekeurd volgens IEC 60454-3-1-7/F-PVCP/90. Primair isoleren tot 1 kV. All-weather, geschikt voor binnen en buitentoepassing.</t>
  </si>
  <si>
    <t>PVC isolatietape 19mm x 20m, kleur wit, per stuk verpakt in een
kunststof box. Type Hellermann-Tyton HelaTape Flex 1000+. VDE goedge
keurd volgens IEC 60454-3-1-7/F-PVCP/90. Primair isoleren tot 1 kV. All-weather, geschikt voor binnen en buitentoepassing.</t>
  </si>
  <si>
    <t xml:space="preserve">Kleefband 2-zydig,
breed 25 mm, lengte 50 mtr,
Tesafix, type 4970.
</t>
  </si>
  <si>
    <t>VERLOOPBUS ST-PZ LNG 40MM M16 BU DR X M12 BI</t>
  </si>
  <si>
    <t xml:space="preserve">Metselzand 25kg (ALL)
Spec. vanaf leverancier :     0-3
</t>
  </si>
  <si>
    <t xml:space="preserve">Betongrind 8-16mm grof a 25kg (ALL)
</t>
  </si>
  <si>
    <t>AFSTANDHOUDER-LANG-TBV MD4 INSTALLATIE</t>
  </si>
  <si>
    <t>AFSTANDHOUDER-KORT-TBV MD4 INSTALLATIE</t>
  </si>
  <si>
    <t xml:space="preserve">Schamppaal, materiaal, beton, afmetingen: lengte 100cm, van beneden
(doorsnede 30cm) naar boven (doorsnede 20cm) taps lopend.
</t>
  </si>
  <si>
    <t xml:space="preserve">Schuurlinnen,
korrel 50,
rol a 25 meter, breedte =38 mm.
Schuurlinnen 3M 62871 38mmx25m P50 314D P50 E
Type: 314D 62871 Schuurlinnen 3M Afmeting: 38mmx25m Korrel:  P50 Nieuwe
type schuurpapier; flexibeler. Beter scheurbaar en voorzien van een
nieuwe coating voor verbeterde hechting van het schuurmateriaal. Dit
schuurpapier is daardoor zeer makkelijk in gebruik tijdens het reinigen
en opruwen van bijvoorbeeld remtrommels, remvoeringen en assen of delen
daarvan.
</t>
  </si>
  <si>
    <t>Schuurlinnen 3M 62873 38mmx25m P80 314D P80 E
Type: 314D 62873
Schuurlinnen 3M
Afmeting: 38mmx25m
Korrel:  P80
Nieuwe type schuurpapier; flexibeler.
Beter scheurbaar en voorzien van een nieuwe coating voor verbeterde
hechting van het schuurmateriaal. Dit schuurpapier is daardoor zeer
makkelijk in gebruik tijdens het reinigen en opruwen van bijvoorbeeld
remtrommels, remvoeringen en assen of delen daarvan.</t>
  </si>
  <si>
    <t xml:space="preserve">Schuurlinnen,
korrel 120,
rol a 25 meter, breedte = 50 mm.
Schuurlinnen 3M 62888 50mmx25m P120 314D P120 E
Type: 314D 62888 Schuurlinnen 3M Afmeting: 50mmx25m Korrel:  P120 Nieuwe
type schuurpapier; flexibeler. Beter scheurbaar en voorzien van een
nieuwe coating voor verbeterde hechting van het schuurmateriaal. Dit
schuurpapier is daardoor zeer makkelijk in gebruik tijdens het reinigen
en opruwen van bijvoorbeeld remtrommels, remvoeringen en assen of delen
daarvan.
</t>
  </si>
  <si>
    <t xml:space="preserve">Autolampset Neglin N50141 12V A-set H7 steekzek.
Neglin lampenset 12v h7
Neglin H7, 12 Volt 1 x H7
koplamp: 55 W
2 x rem-/achter-/signaallampen: 21 W 10 W
1 x signaallamp oranje: 21 W
1 x wedge base lamp: 2 W
5 x steekzekeringen: 7,5 A 10 A 15 A 20 A 25 A
</t>
  </si>
  <si>
    <t xml:space="preserve">Magneetblokje met dubbelz plakband (ALL)
</t>
  </si>
  <si>
    <t>Pakkingschaar Erdi D74-1 180mm rechte snede
Type: 74.
Uitvoering: gesmeed, gehard, gepolijst.
Nastelbaar scharnier.
Lengte: 180 mm.</t>
  </si>
  <si>
    <t xml:space="preserve">Hangslot ABUS 85/50-2747cilinder (ALL)
Type: 85/50 Hangslot Abus Zwaar model. Automatisch sluitende beugel.
Messing kast uit een geheel. Messing stiftcilinder met bronzen veren.
Gehard vernikkelde stalen beugel. Compleet met 2 sleutels. Kastbreedte
50 mm
</t>
  </si>
  <si>
    <t xml:space="preserve">Buisfolie tbv asbest 60cm rol=200mtr (ALL)
Buisfolie Folie tbv asbest.
Breedte = 60 cm.
Op rol met 200 meter buisfolie.
Bedrukt met de letter 'A'.
Opmerking:
De folie zit op rol en moet op lengte worden afgesneden. De zo ontstane
zak moet aan beide zijden worden afgesloten.
</t>
  </si>
  <si>
    <t xml:space="preserve">Schuimprop IPCO P23H 130 dia x 200mm cilinder (ALL)
Type: P23H Schuimprop IPCO
Afmeting: 130 dia x 200 mm
</t>
  </si>
  <si>
    <t xml:space="preserve">Schuimprop Kleiss 190 rond 300mm (ALL)
</t>
  </si>
  <si>
    <t xml:space="preserve">Schuimprop IPCO P23H 250 dia x 360mm cilinder (ALL)
Type: P23H Schuimprop IPCO
Afmeting: 250 dia x 360 mm
</t>
  </si>
  <si>
    <t xml:space="preserve">Schuimprop IPCO H0370 370 dia x 520mm PIG (ALL)
Type: H0370 Schuimprop IPCO
Afmeting: 370 dia x 520 mm
</t>
  </si>
  <si>
    <t>STROOIZOUT -GLADWEG-ZAK A 25 KG</t>
  </si>
  <si>
    <t xml:space="preserve">Terpentine 1 liter
Voor het verdunnen van verf, beits en lakken op basis van alkydharsen.
Tevens geschikt voor het reinigen van kwasten, verfrollen etcetera.
Inhoud: 1 liter.
</t>
  </si>
  <si>
    <t xml:space="preserve">Multispray WD40 450ml verwijdert roest, het voorkomt corrosie, smeert en
reinigt onderdelen en is inzetbaar als contactspray. Uitgerust met het
SmartStraw systeem, waardoor het niet meer nodig is om het rietje in de
sproeikop te steken, waardoor één hand vrij gehouden kan worden.
Inhoud: spuitbus à 450 ml.
</t>
  </si>
  <si>
    <t>Ruitensproeier antivries RALTEC -60 1ltr citrusgeur concentraat
Ruitenreiniger met antivries tot -60°C (onverdund), methanolvrij en
millieuvriendelijk.
Onschadelijk voor: autolak, ruitenwissers, raamrubber en
ruitensproeierpomp.
Bij mengverhouding 1:2 vorstbestendig tot -15°C.
Bij mengverhouding 1:1 vorstbestendig tot -25°C.
Inhoud: 1 liter.</t>
  </si>
  <si>
    <t xml:space="preserve">Olie Proforte/Raltec 33827 15W40 5ltr
Moderne minerale multigrade motorolie. Geschikt voor (turbo) benzine,
LPG- of dieselmotoren (ook direkt ingespoten) van personen- en
bestelauto's, met en zonder katalysator.
</t>
  </si>
  <si>
    <t xml:space="preserve">Petroleum 1L (ALL)
Voorzien van veiligheidsstickers.
Inhoud fles a 1 ltr
</t>
  </si>
  <si>
    <t>CONDITIONERINGSVLOEISTOF FLES A 0,6 LITER</t>
  </si>
  <si>
    <t xml:space="preserve">Schuimprop IPCO P30H 4inch harde achterkant PIG (ALL)
Type: P30H 4 inch  Foam pigs zijn gemaakt van polyether schuim en zijn
voorzien van een afgeschuinde neus en een dichte, flexibele polyurethaan
achterkant. Foam pigs worden gebruikt voor licht schraapwerk, het
leegdrukken van leidingen na een hydrostatische test en het drogen van
leidingen.
</t>
  </si>
  <si>
    <t>Gasdrukregelaar, veerbelast,
Nominale diameter: DN 50,
Flens-aansluitingen PN16, 4-gats 18mm, STC 125,
Maximale ingangsdruk: 4,5 bar,
Orifice: ---- mm,
Veer: lichtgroen (824): 18-35 mbar, (set 30 mbar),
Inbouwlengte: 254 mm
Fabrikant: Donkin, Figuur 280.</t>
  </si>
  <si>
    <t xml:space="preserve">Aanboorzadel RVS T-klem, RVS 304, DN250 (263-283mm) x Flens DN100,
L=500mm, Afdichting NBR rubber, toepassing tot 8 bar, Flens volgens
NEN1092-1.
</t>
  </si>
  <si>
    <t xml:space="preserve">Mof verloop elektrolas PE100 SDR11, 10 bar gas.
Set bestaande uit:
- elektrolasmof 160 mm
- spie-verloopstuk 160 naar 125 mm
- elektrolasmof 125 mm.
</t>
  </si>
  <si>
    <t xml:space="preserve">Lasverloopstuk, materiaal staalsoort P235GH, volgens NEN EN 10027-1,
nominaledruk PN16, afmetingen: 419,0x 6,3* 406,4x 6,3mm, volgens NEN EN
10253-2, afgeschuind, markering: charge,staalsoort en leverancier.
</t>
  </si>
  <si>
    <t xml:space="preserve">Lasverloopstuk, materiaal staalsoort P235GH, volgens NEN EN 10027-1,
nominaledruk PN16, afmetingen: 273,0x 5,0* 267,0x 6,3mm, volgens NEN EN
10253-2, afgeschuind, markering: charge,staalsoort en leverancier.
</t>
  </si>
  <si>
    <t xml:space="preserve">Mespatroon 250A DIN 2
met middenmelder,
karakteristiek GFF,
type LNH2S250MGFF
</t>
  </si>
  <si>
    <t xml:space="preserve">Mespatroon 200A DIN 2
met middenmelder,
karakteristiek GFF,
type LNH2S200MGFF
</t>
  </si>
  <si>
    <t xml:space="preserve">Mespatroon 160A DIN 2
met middenmelder,
karakteristiek GFF,
type LNH2S160MGFF
</t>
  </si>
  <si>
    <t xml:space="preserve">Aanboorzadel toepasbaar als aftakzadel of blaasgatzadel 110mm x 1½"
Polsafe, materiaal:GY, zadel 110mm, rubber inlage NBR, serie 10, kleur
geel, bouten/moeren RVS, toepassing PVC en PE.
</t>
  </si>
  <si>
    <t xml:space="preserve">Aanboorzadel toepasbaar als aftakzadel  160mm x 1½" polsafe,
materiaal:GY, zadel 160mm, rubber inlage NBR, serie 10, kleur geel, bou
ten/moeren RVS, toepassing PVC en PE.
</t>
  </si>
  <si>
    <t xml:space="preserve">Aanboorzadel toepasbaar als aftakzadel  200mm x 1½" polsafe,
materiaal:GY, zadel 200mm, rubber inlage NBR, serie 10, kleur geel, bou
ten/moeren RVS, toepassing PVC en PE.
</t>
  </si>
  <si>
    <t xml:space="preserve">Rubberen manchet afdichting. Waterdichte afdichting tussen mantelbuis en
gasvoerende buis. Uitwendige maat mantelbuis 530mm. Uitwendige maat
gasvoerende buis 412mm.
</t>
  </si>
  <si>
    <t>Schuifafsluiter, lange bouwlengte
Materiaal: GGG-50
Aansluitingen: flens 400 mm / flens 400 mm / 16 boutgaten 30 mm
Drukklasse: PN16
Bekleding: Epoxy/PUR
Materiaalschuif: NBR (rubber)
Bouwlengte: 600 mm,
Spindelmaat: 32 mm.</t>
  </si>
  <si>
    <t>Inlegplaatje v straatpot 190x190mm. Tekst "GAS HD". Materiaal kunststof
HDPE. Kleur geel.</t>
  </si>
  <si>
    <t xml:space="preserve">Druk manometer, meettype buisveer, schaalbereik 0-6Bar, klasse 1.0,
onderaansluiting 1/2", materiaal RVS, kast doorsnede 100mm.
</t>
  </si>
  <si>
    <t xml:space="preserve">Manometer gasafdichtingsring, voor manometer met een 1/2" aansluiting,
maatvoering uitwendig 17,5mm, inwendig 6,2mm, dikte 2,5mm, materiaal
uitgegloeid koper.
</t>
  </si>
  <si>
    <t xml:space="preserve">Lasbocht, materiaal staalsoort P235GH, volgens NEN EN 10027-1,
afmetingen: 168,3 x 4,0 mm, 22,5graden, 5D, volgens NEN EN 10253-2, a
fgeschuind, markering: charge,staalsoort en leverancier.
</t>
  </si>
  <si>
    <t xml:space="preserve">Lasbocht, materiaal staalsoort P235GH, volgens NEN EN 10027-1,
afmetingen: 219,1x4,5mm, 22,5graden, 5D, volgens NEN EN 10253-2, afge
schuind, markering: charge,staalsoort en leverancier.
</t>
  </si>
  <si>
    <t xml:space="preserve">Lasbocht, materiaal staalsoort P235GH, volgens NEN EN 10027-1,
afmetingen: 406x6,3 mm, 22,5graden, 5D, volgens NEN EN 10253-2, afges
chuind, markering: charge,staalsoort en leverancier.
</t>
  </si>
  <si>
    <t xml:space="preserve">Nippel dubb verl Ms R3/4" x Gm 3/4"
materiaal: messing,
aansluiting 1: conisch afdichtende draad R 3/4"
volgens NEN 3258.
aansluiting 2: gasmeterschroefdraad GM 3/4"
volgens NEN 3084.
Beide draden zijn de gladde uitvoering.
</t>
  </si>
  <si>
    <t>Groepenkast met 6 LS-stroken DIN 00
voor uitbreiding flataansluitkast.</t>
  </si>
  <si>
    <t xml:space="preserve">VMS32 kast voorzien van klemmenstrook op DIN profiel met 3
schroefpatroonhouders 25A.
Wordt geleverd incl. 3 schroefpatronen 10A, Sticker "aansluitzijde
netbeheerder".
De 220 zijden van de kast zijn voorzien van wartelplaten.
De 320 zijden van de kast zijn voorzien van blindplaten.
Doorzichtig deksel.
</t>
  </si>
  <si>
    <t xml:space="preserve">STICKERS V AANDUIDING BEVEIL. OP NAAMPL.
</t>
  </si>
  <si>
    <t>LS-rek R8 Uitvoering Friesland Voeding Links
met 2 groepen 160A en 7 groepen 400A.
met afschermkap.</t>
  </si>
  <si>
    <t>LS rek R8 Uitvoering Friesland Voeding Rechts
met 2 groepen 160A en 7 groepen 400A.
met afschermkap.</t>
  </si>
  <si>
    <t>Kabel YMeKrvaslqwd 6/10 kV 3 x 95 Alrm + as 35 rPE volgens HD620 S2:2016
S2:2016 pages 10-J-38 and 10-J-40. Brandklasse Fca. Haspels van 250m</t>
  </si>
  <si>
    <t xml:space="preserve">Eindkap, verbindingstechniek: elektrolas, 10 bar gas, materiaal: PE 100,
SDR11, afmetingen: 75 mm.
</t>
  </si>
  <si>
    <t xml:space="preserve">Aftakzadel elektrolas, PE100 SDR11 75x40mm, monoblock.
Diameter doorgaande leiding 75mm, aftakking 40mm spie-eind.
</t>
  </si>
  <si>
    <t>Kabel YMeKrvaslqwd of P1MeKrvaslqwd 12/20 kV 3 x 240 Alrm + as 35
volgens HD620 S2:2016 S2:2016 pages 10-J-38 and 10-J-40. Brandklasse
Fca. Haspels van 500m.</t>
  </si>
  <si>
    <t>Kabel YMeKrvaslqwd of P1MeKrvaslqwd 12/20 kV 1 x 630 Alrm + as 35
volgens HD620 S2:2016 S2:2016 pages 10-J-38 and 10-J-40. Brandklasse
Fca. Haspels van 1.000 m.</t>
  </si>
  <si>
    <t xml:space="preserve">Straatpot zonder inlegplaatje. Afmetingen pot volgens DIN 4055.
Afmetingen deksel 344 x 244 mm. Materiaal pot Pubra neutraal. Materiaal
deksel GGG. Materiaal bout RVS.
</t>
  </si>
  <si>
    <t xml:space="preserve">Veiligheidafslagklep, merk: Elster. Type: Opso. 1" BSP binnendraad.
Veerrange 100 t/m 210 mbar.
</t>
  </si>
  <si>
    <t>Bocht,
Materiaal: PVC-slagvast (CPE / PVC-A), klasse 33,
kleur: geel,
afmetingen: 30 graden 63 mm.
Gastec QA-merk.</t>
  </si>
  <si>
    <t>Bocht,
Materiaal: PVC-slagvast (CPE / PVC-A), klasse 33,
kleur: geel,
afmetingen: 11 graden 315 mm.
Gastec QA-merk.</t>
  </si>
  <si>
    <t xml:space="preserve"> Rubberen afdichtingsplug, materiaal: EPDM, type: CSD, 152 x 110 mm voor
mantelbuis 160 mm.</t>
  </si>
  <si>
    <t>Inlegplaatje v straatpot 344 x 344mm. Tekst "GAS ". Materiaal kunststof
HDPE. Kleur geel.</t>
  </si>
  <si>
    <t xml:space="preserve">Insulatorsegment mf-mini - 16,5 mm.
</t>
  </si>
  <si>
    <t xml:space="preserve">Holfrees Kleiss ST/GY/NG 22,4mm tbv 1004HM (ALL)
Aanboorgereedschap: Holfrees voor staal, gietijzer, nodulair gietijzer
en nodulair gietijzer gecementeerd.
Kleiss type 1004 HM - 22,4 mm.
</t>
  </si>
  <si>
    <t xml:space="preserve">Holfrees Kleiss ST/GY/NG 29,5mm tbv 1004HM (ALL)
Aanboorgereedschap:
Aanboorgereedschap: Holfrees voor staal, gietijzer, nodulair gietijzer
en nodulair gietijzer gecementeerd DN 50-100. Kleiss type 1004 HM - 29,5
mm x 3/8".
tbv opzetstuk 1.1/2"
boortoestel LB 493 B.
</t>
  </si>
  <si>
    <t xml:space="preserve">Holfrees Kleiss ST/GY/NG 39mm tbv 1004HM (ALL)
Aanboorgereedschap: Holfrees voor staal, gietijzer, nodulair gietijzer
en nodulair gietijzer gecementeerd DN 125-200. Kleiss type 1004 HM -
39,0 mm x 3/8".
Tbv: opzetstuk 2"
boortoestel LB 493 B
</t>
  </si>
  <si>
    <t xml:space="preserve">Holfrees Kleiss ST/GY/NG 49mm tbv 1004HM (ALL)
Aanboorgereedschap: Holfrees voor staal, gietijzer, nodulair gietijzer
en nodulair gietijzer gecementeerd DN 250-300. Kleiss type 1004 HM -
49,0 mm x 3/8".
Tbv: opzetstuk 2.1/2"
Boortoestel LB 493 B.
</t>
  </si>
  <si>
    <t xml:space="preserve">Schilboor Kleiss 22,4mm tbv PVC (ALL)
Aanboorgereedschap:
Schilboor voor PVC
Kleiss, 22,4 mm.
</t>
  </si>
  <si>
    <t xml:space="preserve">Schilboor Kleiss 29,5mm tbv PVC (ALL)
Aanboorgereedschap:
Schilboor voor PVC DN 50-125
Kleiss, 29,5 mm x 3/8"
Tbv opzetstuk 1.1/2" boortoestel P900.
</t>
  </si>
  <si>
    <t xml:space="preserve">Schilboor Kleiss 39mm tbv PVC (ALL)
Aanboorgereedschap:
Schilboor voor PVC DN 150-200
Kleiss, 39,0 mm x 3/8".
Tbv: opzetstuk 2"
boortoestel P900.
</t>
  </si>
  <si>
    <t xml:space="preserve">Schilboor Kleiss 49mm tbv PVC (ALL)
Aanboorgereedschap:
Schilboor voor PVC DN 250-300
Kleiss, 49,0 mm x 3/8".
Tbv:
opzetstuk 2.1/2"
boortoestel P900.
</t>
  </si>
  <si>
    <t xml:space="preserve">Slangnippel vast Sievert 709180 (ALL)
Vaste slangnippel R 3/8".
</t>
  </si>
  <si>
    <t>Perskabelschoen geschikt voor 185mm2 kabel, boutgat M16. Volgens DIN
46235.</t>
  </si>
  <si>
    <t>Opzetstuk BG voor aanboorzadel, Polsafe,
Materiaal: PVC-slagvast (CPE / PVC-A),
kleur: geel,
afmetingen: 2.1/2"
Gastec Qa-merk.</t>
  </si>
  <si>
    <t xml:space="preserve">Fin Lube Interflon TF 500ml vpe = 12 Schoon industrieel droogsmeermiddel
met Teflon®  Zeer veelzijdig, extreem goed en langdurig werkend
industrieel droogsmeermiddel met Teflon®. Kruipt, reinigt, ontroest en
maakt vastzittende onderdelen los. Smeert vrijwel alle denkbare
(machine) delen, kabels etc. en beschermt deze tegen slijtage, vocht,
vuil en corrosievorming. Geschikt voor zowel binnen- als
buitentoepassingen. Verplicht toe te passen bij het plegen van onderhoud
aan fijn-mechaniek van MS-schakelinstallaties. Zeer geschikt voor het
smeren en conserveren van onderdelen die blootgesteld worden aan vuil,
zoet- of zout water, hoge drukbelasting, extreme lage- en hoge
temperaturen, zon, weer en wind. Een product - oneindig veel
toepassingen  Zeer effectief als ketting-, kabels- en wisselmeermiddel.
Tevens uitstekende roestoplosser, corrosiebeschermer, kruipolie en
vervanger voor droogsmeermiddel, siliconenspray, grafietspray,
contactspray, snij-olie etc. Leverbaar in grootverpakkingen (bulk) en
handige spuitbus.  Uniek, ongeëvenaarde eigenschappen  Dit bijzondere
product levert topprestaties en dankt haar grote populariteit aan een
unieke combinatie van belangrijke eigenschappen:   Smeert beter en
langer; is veel gladder dan olie Schoon: vlekt niet en druipt niet
 Reinigt ; stoot vocht en vervuiling af  Kruipt overal tussen en vormt
daar een smeerfilm  Ontroest,  maakt onderdelen los, voorkomt corrosie
 Werkt langdurig, voorkomt "stick- slip" opstartslijtage   Ideaal
""alles-in-een"" industrieel onderhoudssmeermiddel  Voor het reinigen en
smeren van kabels, kettingen, cilinders, spindels, assen, getande
riemen, sluitpennen, kleppen, wapens etc, maar ook b.v. bij draadtappen
en lagermontage. Wordt zelfs ingezet voor de smering van spoorwissels.
  Voor drukbelastingen boven 18 kg/mm² wordt Interflon Fin Lube EP
aanbevolen. Spuitbus a 500ml"
</t>
  </si>
  <si>
    <t xml:space="preserve">Multifunctionele reiniger en ontvetter met NSF H1-goedkeuring.
Verwijdert olie, vet enz. van oppervlakken. Verdampt snel zonder resten
achter te laten en heeft kruip- en tijdelijke smeereigenschappen
Biologisch afbreekbaar en geproduceerd uit hernieuwbare grondstoffen.
Door de NSF geregistreerd (onder nummer 156455) voor gebruik als
reiniger en ontvetter in de
voedingsmiddelenindustrie (NSF H1).
</t>
  </si>
  <si>
    <t xml:space="preserve">Reinigingsmiddel CRC Foamcleaner FPS a500ml
Reinigingsmiddel CRC Foamcleaner FPS
Krachtige, biologisch afbreekbare reiniger/ontvetter voor industriële
apparatuur. Een vernieuwend oplosmiddelmengsel zonder chloorhoudende
solventen en ozonaantastende bestanddelen. Speciaal ontwikkeld voor
gebruik op voedselverwerkende en verpakkingsapparatuur. Goedgekeurd voor
gebruik op plaatsen waar niet-eetbare producten worden verwerkt, waar
geen verwerking plaatsvindt en buiten. Lost vet, olie, smeermiddelen,
teer en kleefstoffen op. Dringt snel in en verwijdert vuil en vocht.
Reinigt en ontvet apparatuur, metalen onderdelen en machines. Neutraal
product, maakt geen vlekken. Bevat geen water. Niet-corrosief voor
metalen.
Inhoud: 500ml.
</t>
  </si>
  <si>
    <t xml:space="preserve">Paal 4KT diamantkop 10x10x120cmt zwart kunststof (ALL)
Kunststofpaal
Uitvoering: vierkant met diamantkop.
Afmeting:  100x100x1200mm.
Kleur: zwart.
</t>
  </si>
  <si>
    <t>KABELBEVESTIGINGSBLOK V 1KABEL 50-75MM</t>
  </si>
  <si>
    <t>STICKER, FORMAAT: 24X20 CM.
"SPANNING LEVENSGEVAARLIJK" (MET SCHICHT).</t>
  </si>
  <si>
    <t>STICKER, FORMAAT: 24X20 CM.
"HOGE SPANNING LEVENSGEVAARLIJK" (MET SCHICHT).</t>
  </si>
  <si>
    <t xml:space="preserve">Afdekkap voor trafo-aansluitklem,
LS-zijde 250/400/630 kVA.
</t>
  </si>
  <si>
    <t xml:space="preserve">Afdekkap voor trafo-aansluitklem,
LS-zijde 1000 kVA.
</t>
  </si>
  <si>
    <t xml:space="preserve">Lasbocht, materiaal staalsoort P235GH, volgens NEN EN 10027-1,
afmetingen: 168,3x4,0 mm, 45 graden, 5D, volgens NEN EN 10253-2, afge
schuind, markering: charge,staalsoort en leverancier.
</t>
  </si>
  <si>
    <t>Letterblokje, zwarte opdruk "F", achtergrond geel, afmetingen: 26 x 16
mm. Conform NEN 1184.</t>
  </si>
  <si>
    <t>Noppenfolie,
2-laags, breedte rol: 28,5 cm, lengte per rol: 50 m.</t>
  </si>
  <si>
    <t xml:space="preserve">Ringsleutel haaks 17mm. Volgens norm NEN-EN-IEC 60900, (dompelisolatie)
(VDE). Isolatie geheel omsloten. Van Chroom-vanadium staal. Voor
werkzaamheden aan spanningvoerende delen tot 1000V AC en 1500V DC.
(lemp)
</t>
  </si>
  <si>
    <t xml:space="preserve">Ringsleutel haaks 19mm. Volgens norm NEN-EN-IEC 60900, (dompelisolatie)
(VDE). Isolatie geheel omsloten. Van Chroom-vanadium staal. Voor
werkzaamheden aan spanningvoerende delen tot 1000V AC en 1500V DC.
(lemp)
</t>
  </si>
  <si>
    <t xml:space="preserve">Tapeinduitdraaier Gedore 8551-5 M14-M18 (9/16"-3/4") (ALL)
Type: 8551-5 Tapeind-uitdraaier Gedore Lengte: 80mm Diameter: 6.2-11.0mm
Schroefdraadmaat: M14-M18 (9/16"-3/4") Omschrijving:  Linkse tap.Boor
een centrisch gat in de afgebroken bout. Draai de tap er linksom in tot
hij pakt en de bout loskomt (evt. een roestoplosmiddel gebruiken!). Kies
altijd de grootst mogelijke tap.
</t>
  </si>
  <si>
    <t xml:space="preserve">Demontagewiggen 0101362017 2" 63mm set a 2st (ALL)
Demontagewiggen metaal 63 mm (set 2 stuks)
Geschikt voor: 2"
</t>
  </si>
  <si>
    <t xml:space="preserve">Demontagewiggen 0101362012 1/2" 20mm set a 2st (ALL)
Demontagewiggen metaal 20 mm (set 2 stuks)
Geschikt voor: 1/2"
</t>
  </si>
  <si>
    <t>Aaardingsstok voor COQ-installatie,
uitvoering ENW.
Volgens tekening ENW A1-70326 (d.d. 18-08-1997).</t>
  </si>
  <si>
    <t>INSTALLATIEBUIS 1" SLAGVAST L=4M</t>
  </si>
  <si>
    <t>Lengten a 4 meter Hostalit schuifbuis 1 1/4",
met KEMA-keur.Fabr.Wavin
.</t>
  </si>
  <si>
    <t>NEN: VD 450/750
H07V-U ECA
Doos a 100 meter.</t>
  </si>
  <si>
    <t xml:space="preserve">H07V-U ECA 6 GR/GE R100. Fabricaat: Nexans.
Doos a 100 meter.
</t>
  </si>
  <si>
    <t>VD-draad 10 mm2 Cu rond samengeslagen, kleur isolatie: bruin.
Brandklasse ECA. Wordt geleverd op rol van 100 m.
VD ECA BRUIN 10 S R100.</t>
  </si>
  <si>
    <t>VD-draad 10 mm2 Cu rond samengeslagen, kleur isolatie: zwart Brandklasse
ECA. Wordt geleverd op rol van 100 meter.</t>
  </si>
  <si>
    <t xml:space="preserve">Installatiedraad 6mm2 bluw massief.
H07V-U ECA 6 BL R100
Doos a 100 meter.
</t>
  </si>
  <si>
    <t>NEN: VD 450/750
H07V-R ECA
Rol a 100 meter.</t>
  </si>
  <si>
    <t xml:space="preserve">Install.draad VD 10mm2 blauw,
Fijndradig volgens IEC 60228 klasse 5
Temperatuurbereik tot 90 °C
VD 450/750V H07V-K Ring a 100 meter.
</t>
  </si>
  <si>
    <t>NEN: VDf 450/750
H07V-K
Ring a 100 meter.</t>
  </si>
  <si>
    <t>Inlegplaatje v straatpot 344x344mm. Tekst "GAS HD". Materiaal kunststof
HDPE. Kleur geel.</t>
  </si>
  <si>
    <t>2-delige messing koppeling gas,
1.1/2" wartelmoer x 1.1/4" buitendraad,
vlakke dichting en geborgde neopreenring.
{Puntstuk volgens NEN2542 met conisch afdichtend {R} draad
volgens NEN3258;
Wartelmoer volgens NEN2544 met cilindrisch (G) draad
volgens NEN176}.</t>
  </si>
  <si>
    <t xml:space="preserve">2-delige messing koppeling voor gas 1" wartelmoer x 3/4" buitendraad.
vlakke dichting en geborgde neopreenring. {Puntstuk volgens NEN2542 met
conisch afdichtend {R} draad volgens NEN3258; Wartelmoer volgens NEN2544
met cilindrisch (G) draad volgens NEN176}. Met NBR-pakking.
</t>
  </si>
  <si>
    <t>Steunbus PVC-SLAGVAST-buis
Materiaal: RVS
Lengte: 160 mm
Diameter: 200
Wanddikte: 4,9
Buisklasse: SDR 41</t>
  </si>
  <si>
    <t>Steunbus PVC-SLAGVAST-buis
Materiaal: RVS
Lengte: 160 mm
Diameter: 250
Wanddikte: 6,1
Buisklasse: SDR 41</t>
  </si>
  <si>
    <t xml:space="preserve">Kabel YMz1K 0.6/1kV 5 x 10 Cu volgens NEN3618.
Aderkleuren groen/geel, blauw, bruin, zwart en grijs.
Brandklasse B2-ca s1,d1,a1.
Haspels met 500m.
</t>
  </si>
  <si>
    <t>Flat aansluitkast
Voorzien van 6 LS-stroken
DIN 00</t>
  </si>
  <si>
    <t xml:space="preserve">GE (voorheen)
naam: Aansluitkast 370/7                   (45st)
type: 602671
ABB (huidig)
naam: Aansluitkast DIN00 t.b.v. flat
type: HAK602671
</t>
  </si>
  <si>
    <t>Kabel VO-YMvKas 0.6/1kV - 3 x 2,5 Cu + as2,5 volgens NEN3617.
Aderkleuren blauw, bruin en zwart.
Brandklasse Dca-s2,d2,a3.
Haspels met 500m.</t>
  </si>
  <si>
    <t xml:space="preserve">Kabel VO- of VG-YMvKas 0.6/1kV - 3 x 10 Cu rm + as10 volgens NEN3617.
Aderkleuren blauw, bruin en zwart.
Brandklasse Dca-s2,d2,a3.
Haspels met 500m.
</t>
  </si>
  <si>
    <t xml:space="preserve">Kabel VO-YMvKas 0.6/1kV - 3 x 6 Cu + as6 volgens NEN3617.
Aderkleuren blauw, bruin en zwart.
Brandklasse Dca-s2,d2,a3.
Haspels met 500m.
</t>
  </si>
  <si>
    <t xml:space="preserve">Amperetang 1000A !K; AC/DC stroomtang voorzien van logmogelijkheden,
wordt geleverd inclusief de iFlex? flexibele stroomtang en meet tot 1000
V en 1000 A, AC of DC.
De Fluke 376 FC is uitgerust met Fluke Connect.
- 1000 A AC- en DC stroommeting.
- 2500 A AC stroommeting met (optionele) flexibele stroomtang iFlex.
- 1000 V AC- en DC spanningsmeting.
- Frequentiemeting tot 500 Hz met zowel bek als iFlex.
- Weerstandsmeting tot tot 60 k? met doorbeltest.
- Min/Max/Average-registratie en inschakelstroommeting voor het
automatisch registreren van variaties.
- Meetbereik van 500 mV DC voor gebruik in combinatie met andere
accessoires.
- 1000?F-capaciteitsmeting.
- Registreer intermitterende storingen terwijl u andere taken uitvoert,
dankzij de logmogelijkheden.
- Geïntegreerd laagdoorlaatfilter voor frequentiegeregelde aandrijvingen
voor nauwkeurige metingen aan motoraandrijvingen.
- Veiligheidscategorie: CAT IV 600 V, CAT III 1000 V.
Wordt geleverd met:
- Fluke 376 FC TRMS AC/DC stroomtang met iFlex®.
- iFlex® flexibele stroomtang, 18 inch.
- TPAK magnetische ophangriem.
- Draagtas.
- TL75 meetsnoeren.
- Twee AA-alkalinebatterijen.
- Gelamineerde instructiekaart.
- Veiligheidsinformatieblad
</t>
  </si>
  <si>
    <t xml:space="preserve">Gasmeterkoppeling, verlopend Materiaal: messing. UItvoering: S-koppeling
/ zwanehals. Aansluitingen: 1: Gasmeterwartelmoer GM 3/4" (G4 - 220 mm)
2: buitendraad GM 1" (G6 - 250 mm). Met NBR-pakking.
</t>
  </si>
  <si>
    <t>Snijring koppeling knie, 12mm x BSP1/2 buitendraad, DIN2353,  materiaal
staal-verzinkt.</t>
  </si>
  <si>
    <t xml:space="preserve">Snijring koppeling recht, 12mm x BSP1/4 buitendraad, DIN2353. Materiaal
Staal-verzinkt.
</t>
  </si>
  <si>
    <t xml:space="preserve">Gasmeteraansluiting, met isolatiekoppeling, flexibel, diameter: 1.1/2",
aansluitingen: KraanKoppeling / buitendraad
Lengte: 470mm, Koppelingen: St 37.
Flex voor kraankoppel G2"; G2"wm x R1.1/2"; Kraankoppeling volgens
NEN2542; Schroefdraad volgens ISO7-1; Isolatiestuk volgens NEN7205.
</t>
  </si>
  <si>
    <t>Hangslot, beugel in RVS,
Beugelhoogte = 30mm,
Code 2.7.x (gas-grootverbruik),
inclusief 2 sleutels.
Fabr: Lips, Type: Trivium S4051.</t>
  </si>
  <si>
    <t>Enkelzijdige cilinder Europrofiel 17mm,
verlengde uitvoering,
Lengte: 40,5 mm (buitenzijde) + 9,5 mm (binnenzijde),
Cataloguslengte = 40 mm,
Code 2.7.x (gas-grootverbruikers),
Inclusief 2 sleutels,
Fabr. Lips, Type Trivium S8461.</t>
  </si>
  <si>
    <t>Hangslot, beugel in RVS,
Beugelhoogte = 30mm,
Code 2.1 (gas)
Fabr: Lips, Type: Trivium S4051.</t>
  </si>
  <si>
    <t>Enkelzijdige cilinder Europrofiel 17mm,
verlengde uitvoering,
Lengte: 40,5 mm (buitenzijde) + 9,5 mm (binnenzijde),
Cataloguslengte = 40 mm,
Code 2.1 (gas),
Fabr. Lips, Type Trivium S8461.</t>
  </si>
  <si>
    <t xml:space="preserve"> Vouwdoos Amerikaans enkele golf,
afmetingen: 675 * 395 * 300 mm</t>
  </si>
  <si>
    <t xml:space="preserve">Pasring voor ombouwset 1-pijps balgenmeter G65,
bestemd voor nominale diameter DN 80,
diam. 120 x diam. 80 x 17 mm,
inclusief tapbouten, moeren en pakking.
Losse opvulring-DN80-18mm
incl. aansluitmateriaal,
voor ombouw van DN80-360mm naar DN80-380mm.
</t>
  </si>
  <si>
    <t xml:space="preserve">Ombouwset voor gasmeter.
1-pijps balgenmeter (inbouwmaat 340 mm) type G40 naar een
rotormeter G40. Nominale diameter DN65 naar DN50.
</t>
  </si>
  <si>
    <t>Blindklinknagel MFX PLIA 1001 4x16 Al/st.
Aluminium,
platbolkop met elektrolytisch verzinkte stalen stift.
a500st</t>
  </si>
  <si>
    <t>Blindklinknagel MFX PLIA 1001 4x20 Al/st.
Aluminium,
platbolkop met elektrolytisch verzinkte stalen stift.
a500st</t>
  </si>
  <si>
    <t xml:space="preserve">Bout Halfeisen st.type 40/22 M10x30 a100st (ALL)
Bout-Halfeisen 40/22
Afmeting: 10x30mm
Verpakkingseenheid: doos a 100st
</t>
  </si>
  <si>
    <t xml:space="preserve">Carrosseriering M6 6,4x25x1 elvz a100st (ALL)
Carrosseriering Afmeting: M6 6,4x25x1 Opp. Bescherming: elvz
Verpakkingseenheid: doos a100st
</t>
  </si>
  <si>
    <t>Carrosseriering M8 8,4x30x1 elvz a100st
Carrosseriering
Afmeting: M8 8,4x30x1
Opp. Bescherming: elvz.</t>
  </si>
  <si>
    <t xml:space="preserve">Draadstang DIN975 M6 x 1mtr 8.8 elvz vpe=1
Draadeind metrisch.DIN 975.
Staal elektrolytisch verzinkt.
</t>
  </si>
  <si>
    <t xml:space="preserve">Draadstang DIN975 M8 x 1mtr 8.8 elvz vpe=1
Draadeind metrisch.DIN 975.
Staal elektrolytisch verzinkt.
</t>
  </si>
  <si>
    <t xml:space="preserve">Draadstang DIN975 M10 x 1mtr 8.8 elvz vpe=1
Draadeind metrisch.DIN 975.
Staal elektrolytisch verzinkt.
</t>
  </si>
  <si>
    <t xml:space="preserve">Draadstang DIN975 M12 x 1mtr 8.8 elvz vpe=1
Draadeind metrisch.DIN 975.
Staal elektrolytisch verzinkt.
</t>
  </si>
  <si>
    <t xml:space="preserve">Draadstang DIN975 M16 x 1mtr 8.8 elvz vpe=1
Draadeind metrisch.DIN 975.
Staal elektrolytisch verzinkt.
</t>
  </si>
  <si>
    <t xml:space="preserve">Draadstang DIN975 M20 x 1mtr 8.8 elvz vpe=1
Draadeind metrisch.DIN 975.
Staal elektrolytisch verzinkt.
</t>
  </si>
  <si>
    <t xml:space="preserve">Houtdraadbout DIN571 6x20mm 4.8 elvz a200st (ALL)
Houtdraadbout DIN571
Afmeting: 6x20mm
Klasse: 4.8
Opp. Bescherming: elvz
Verpakkingseenheid: doos a 200st
</t>
  </si>
  <si>
    <t xml:space="preserve">Houtdraadbout DIN571 6x25mm 4.8 elvz a200st (ALL)
Houtdraadbout DIN571
Afmeting:  6x25mm
Klasse:  4.8
Opp. Bescherming: elvz
Verpakkingseenheid: doos a 200st
</t>
  </si>
  <si>
    <t xml:space="preserve">Houtdraadbout DIN571 6x30mm 4.8 elvz a200st (ALL)
Houtdraadbout DIN571
Afmeting:  6x30mm
Klasse:  4.8
Opp. Bescherming: elvz
Verpakkingseenheid: doos a 200st
</t>
  </si>
  <si>
    <t xml:space="preserve">Houtdraadbout DIN571 6x35mm 4.8 elvz a200st (ALL)
Houtdraadbout DIN571
Afmeting:  6x35mm
Klasse:  4.8
Opp. Bescherming: elvz
Verpakkingseenheid: doos a 200st
</t>
  </si>
  <si>
    <t xml:space="preserve">Houtdraadbout DIN571 6x40mm 4.8 elvz a200st (ALL)
Houtdraadbout DIN571
Afmeting:  6x40mm
Klasse:  4.8 Opp.
Bescherming: elvz
Verpakkingseenheid: doos a 200st
</t>
  </si>
  <si>
    <t xml:space="preserve">Houtdraadbout DIN571 8x25mm 4.8 elvz a200st (ALL)
Houtdraadbout DIN571
Afmeting:  8x25mm
Klasse:  4.8
Opp. Bescherming: elvz
Verpakkingseenheid: doos a 200st
</t>
  </si>
  <si>
    <t xml:space="preserve">Houtdraadbout DIN571 8x30mm 4.8 elvz a200st (ALL)
Houtdraadbout DIN571
Afmeting:  8x30mm
Klasse:  4.8
Opp. Bescherming: elvz
Verpakkingseenheid: doos a 200st
</t>
  </si>
  <si>
    <t xml:space="preserve">Houtdraadbout DIN571 8x40mm 4.8 elvz a200st (ALL)
Houtdraadbout DIN571
Afmeting:  8x40mm
Klasse:  4.8
Opp. Bescherming: elvz
Verpakkingseenheid: doos a 200st
</t>
  </si>
  <si>
    <t xml:space="preserve">Houtdraadbout DIN571 8x50mm 4.8 elvz a200st (ALL)
Houtdraadbout DIN571
Afmeting: 8x50mm
Klasse: 4.8
Opp. Bescherming: elvz
Verpakkingseenheid: doos a 200st
</t>
  </si>
  <si>
    <t xml:space="preserve">Houtdraadbout DIN571 8x60mm 4.8 elvz a200st (ALL)
Houtdraadbout DIN571
Afmeting: 8x60mm
Klasse: 4.8
Opp. Bescherming: elvz
Verpakkingseenheid: doos a 200st
</t>
  </si>
  <si>
    <t xml:space="preserve">Keilbouthuls met ankerstang M8x50x10 elvz a50st (ALL)
Keilbout  Klasse: 8.8 Afmeting: M8x50x10  Opp. Bescherming: elvz
Verpakkingseenheid: doos a50st
</t>
  </si>
  <si>
    <t xml:space="preserve">Keilbouthuls met ankerstang M8x50x20 elvz a50st (ALL)
Keilbout  Klasse: 8.8 Afmeting: M8x50x20   Opp. Bescherming: elvz
Verpakkingseenheid: doos a50st
</t>
  </si>
  <si>
    <t>Keilbout PFG Sormat M10/20X94mm elvz  (vpe=25).</t>
  </si>
  <si>
    <t xml:space="preserve">Keilbouthuls met ankerstang M12x80x35 elvz (ALL)
Keilbout  Klasse: 8.8 Afmeting: M12x80x35   Opp. Bescherming: elvz
Verpakkingseenheid: doos a25st
</t>
  </si>
  <si>
    <t>Keilbouthuls+moer M10x60 elvz a50st
Keilbouthuls
Klasse: 8.8
Afmeting: M10x60
Oppervlakte bescherming: elektrolytisch verzinkt.</t>
  </si>
  <si>
    <t xml:space="preserve">Metaalschroef DIN7985H M4x16 4.8 elvz CK PH a200st (ALL)
Metaalschroef DIN7985H
Afmeting: M4x16
Klasse: 4.8
Opp. Bescherming: elvz
Uitvoering: CilinderKop
Aansluiting: PH
Verpakkingseenheid: doos a200st
</t>
  </si>
  <si>
    <t xml:space="preserve">Metaalschroef DIN7985H M4x20 elvz CK PH a200st (ALL)
Metaalschroef DIN7985H
Afmeting: M4x20
Klasse: 4.8
Opp. Bescherming: elvz
Uitvoering: CilinderKop
Aansluiting: PH
Verpakkingseenheid: doos a200st
</t>
  </si>
  <si>
    <t xml:space="preserve">Metaalschroef DIN7985H M4x25 elvz CK PH a200st (ALL)
Metaalschroef DIN7985H
Afmeting: M4x25
Klasse: 4.8
Opp. Bescherming: elvz
Uitvoering: CilinderKop
Aansluiting: PH
Verpakkingseenheid: doos a200st
</t>
  </si>
  <si>
    <t xml:space="preserve">Metaalschroef DIN7985H M4x30 4.8 elvz CK PH  a200st (ALL)
Metaalschroef DIN7985H
Afmeting: M4x30
Klasse: 4.8
Opp. Bescherming: elvz
Uitvoering: CilinderKop
Aansluiting: PH
Verpakkingseenheid: doos a200st
</t>
  </si>
  <si>
    <t xml:space="preserve">Metaalschroef DIN7985H M4x40 4.8 elvz CK PH  a200st (ALL)
Metaalschroef DIN7985H
Afmeting: M4x40
Klasse: 4.8
Opp. Bescherming: elvz
Uitvoering: CilinderKop
Aansluiting: PH
Verpakkingseenheid: doos a200st
</t>
  </si>
  <si>
    <t xml:space="preserve">Metaalschroef DIN7985H M5x16 4.8 elvz CK PH  a200st (ALL)
Metaalschroef DIN7985H
Afmeting: M5x16
Klasse: 4.8
Opp. Bescherming: elvz
Uitvoering: CilinderKop
Aansluiting: PH
Verpakkingseenheid: doos a200st
</t>
  </si>
  <si>
    <t xml:space="preserve">Metaalschroef DIN7985H M5x20 4.8 elvz CK PH  a200st (ALL)
Metaalschroef DIN7985H
Afmeting: M5x20
Klasse: 4.8
Opp. Bescherming: elvz
Uitvoering: CilinderKop
Aansluiting: PH
Verpakkingseenheid: doos a200st
</t>
  </si>
  <si>
    <t xml:space="preserve">Metaalschroef DIN7985H M5x25 4.8 elvz CK PH  a200st (ALL)
Metaalschroef DIN7985H
Afmeting: M5x25
Klasse: 4.8
Opp. Bescherming: elvz
Uitvoering: CilinderKop
Aansluiting: PH
Verpakkingseenheid: doos a200st
</t>
  </si>
  <si>
    <t xml:space="preserve">Metaalschroef DIN7985H M6x16 4.8 elvz CK PH  a200st (ALL)
Metaalschroef DIN7985H
Afmeting: M6x16
Klasse: 4.8
Opp. Bescherming: elvz
Uitvoering: CilinderKop
Aansluiting: PH
Verpakkingseenheid: doos a200st
</t>
  </si>
  <si>
    <t xml:space="preserve">Muurplug Fischer S 5mm PA 50105 ds a100st (ALL)
Type: Muurplug Fischer S
Afmeting: 5mm
Verpakkingseenheid: doos a100st
Nylon plug geschikt voor toepassing in alle soorten steen en beton.
</t>
  </si>
  <si>
    <t xml:space="preserve">Muurplug Fischer S 6mm PA 50106 ds a100st (ALL)
Type: Muurplug Fischer S
Afmeting: 6mm
Verpakkingseenheid: doos a100st
Nylon plug geschikt voor toepassing in alle soorten steen en beton.
</t>
  </si>
  <si>
    <t xml:space="preserve">Muurplug Fischer S 8mm PA 50108 ds a100st (ALL)
Type: Muurplug Fischer S
Afmeting: 8mm
Verpakkingseenheid: doos a100st
Nylon plug geschikt voor toepassing in alle soorten steen en beton.
</t>
  </si>
  <si>
    <t xml:space="preserve">Muurplug Fischer S 10mm PA 50110 ds a50st (ALL)
Type: Muurplug Fischer S
Afmeting: 10mm
Verpakkingseenheid: doos a50st
Nylon plug geschikt voor toepassing in alle soorten steen en beton.
</t>
  </si>
  <si>
    <t xml:space="preserve">Muurplug Fischer S 12mm PA 50112 ds a25st (ALL)
Type: Muurplug Fischer S
Afmeting: 12mm
Verpakkingseenheid: doos a25st
Nylon plug geschikt voor toepassing in alle soorten steen en beton.
</t>
  </si>
  <si>
    <t xml:space="preserve">Nagelplug Fischer N 6x60Z 50355 ds a50st (ALL)
Type: Nagelplug Fischer N Afmeting: 6x60Z 50355  Verpakkingseenheid:
doos a50st Nylon plug geschikt voor toepassing in alle soorten steen en
beton.
</t>
  </si>
  <si>
    <t xml:space="preserve">Plaatschroef DIN7981C 5,5x16 elvz CK PH a200st (ALL)
Plaatschroef DIN7981C Afmeting: 5,5x16  Opp. Bescherming: elvz
Uitvoering: CilinderKop Aansluiting: PH  Verpakkingseenheid: doos a200st
</t>
  </si>
  <si>
    <t xml:space="preserve">Inslaganker Fischer EA II M8x30 elvz 48284 ds a100st (ALL)
Type: Inslaganker Fischer EA II Afmeting:  M8x30 Opp. Bescherming:  elvz
Verpakkingseenheid: doos a100st
</t>
  </si>
  <si>
    <t>Sluitring DIN125A M4 4,3x9x0,8 elvz a250st (ALL)
Sluitring DIN125A  Afmeting: M4 4,3x9x0,8  Opp. Bescherming: elvz
Verpakkingseenheid: doos a250st</t>
  </si>
  <si>
    <t xml:space="preserve">Sluitring DIN125A M12 13x24x2,5 elvz a100st (ALL)
Sluitring DIN125A  Afmeting: M12 13x24x2,5  Opp. Bescherming: elvz
Verpakkingseenheid: doos a100st
</t>
  </si>
  <si>
    <t xml:space="preserve">Sluitring DIN125A M16 17x30x3M16 RVS-A2 (ALL)
Sluitring DIN125A  Afmeting: M16 17x30x3  Opp. Bescherming: RVS-A2
Verpakkingseenheid: doos a100st
</t>
  </si>
  <si>
    <t xml:space="preserve">Sluitring DIN125A M20 21x37x3 RVS-A2 a50st (ALL)
Sluitring DIN125A  Afmeting: M20 21x37x3  Opp. Bescherming: RVS-A2
Verpakkingseenheid: doos a50st
</t>
  </si>
  <si>
    <t>Sluitring DIN125A M24 25x44x4 RVS-A2 (ALL)
Sluitring DIN125A  Afmeting: M24 25x44x4  Opp. Bescherming: RVS-A2
Verpakkingseenheid: doos a50st</t>
  </si>
  <si>
    <t xml:space="preserve">Sluitring facet M30 Ms (ALL)
Vlakke sluitring met facet DIN 125-1B, ISO 7090, NEN 2269
Materiaalsoort: messing Afmeting: M30 Diameter ring: 56 mm Diameter gat:
31 mm
</t>
  </si>
  <si>
    <t xml:space="preserve">Spaanplaatschroef CK pzd-2 4x12mm elvz a200st (ALL)
Spaanplaatschroef Uitvoering: CilinderKop Aansluiting: pzd-2 Afmeting:
4x12mm Opp. Bescherming: elvz
Verpakkingseenheid: doos a200st
</t>
  </si>
  <si>
    <t xml:space="preserve">Spaanplaatschroef CK pzd-2 4x20mm elvz a200st (ALL)
Spaanplaatschroef  Uitvoering: CilinderKop Aansluiting:  pzd-2 Afmeting:
4x20mm Opp. Bescherming:  elvz
Verpakkingseenheid: doos a200st
</t>
  </si>
  <si>
    <t xml:space="preserve">Spaanplaatschroef CK pzd-2 4x25mm elvz a200st (ALL)
Spaanplaatschroef  Uitvoering: CilinderKop Aansluiting:  pzd-2 Afmeting:
4x25mm Opp. Bescherming:  elvz
Verpakkingseenheid: doos a200st
</t>
  </si>
  <si>
    <t xml:space="preserve">Spaanplaatschroef CK pzd-2 4x30mm elvz a200st (ALL)
Spaanplaatschroef  Uitvoering: CilinderKop Aansluiting:  pzd-2 Afmeting:
4x30mm Opp. Bescherming:  elvz
Verpakkingseenheid: doos a200st
</t>
  </si>
  <si>
    <t xml:space="preserve">Spaanplaatschroef CK pzd-2 4x35mm elvz a200st (ALL)
Spaanplaatschroef  Uitvoering: CilinderKop Aansluiting:  pzd-2 Afmeting:
4x35mm Opp. Bescherming:  elvz
Verpakkingseenheid: doos a200st
</t>
  </si>
  <si>
    <t xml:space="preserve">Spaanplaatschroef CK pzd-2 4x40mm elvz a200st (ALL)
Spaanplaatschroef  Uitvoering: CilinderKop Aansluiting:  pzd-2 Afmeting:
4x40mm Opp. Bescherming:  elvz
Verpakkingseenheid: doos a200st
</t>
  </si>
  <si>
    <t xml:space="preserve">Spaanplaatschroef CK pzd-2 4x45mm elvz a200st (ALL)
Spaanplaatschroef Uitvoering: CilinderKop Aansluiting: pzd-2 Afmeting:
4x45mm Opp. Bescherming: elvz
Verpakkingseenheid: doos a200st
</t>
  </si>
  <si>
    <t xml:space="preserve">Spaanplaatschroef CK pzd-2 4x50mm elvz a200st (ALL)
Spaanplaatschroef  Uitvoering: CilinderKop Aansluiting:  pzd-2 Afmeting:
4x50mm Opp. Bescherming:  elvz
Verpakkingseenheid: doos a200st
</t>
  </si>
  <si>
    <t xml:space="preserve">Spaanplaatschroef CK pzd-2 4x60mm elvz a200st (ALL)
Spaanplaatschroef Uitvoering: CilinderKop Aansluiting: pzd-2 Afmeting:
4x60mm Opp. Bescherming: elvz
Verpakkingseenheid: doos a200st
</t>
  </si>
  <si>
    <t xml:space="preserve">Spaanplaatschroef CK pzd-2 4,5x25mm elvz a200st (ALL)
Spaanplaatschroef Uitvoering: CilinderKop Aansluiting: pzd-2 Afmeting:
4,5x25mm Opp. Bescherming: elvz
Verpakkingseenheid: doos a200st
</t>
  </si>
  <si>
    <t xml:space="preserve">Spaanplaatschroef Heco CK pzd-2 4,5x30mm elvz ds a200st (ALL)
Type: Spaanplaatschroef Heco Uitvoering: CilinderKop Aansluiting:  pzd-2
Afmeting: 4,5x30mm Opp. Bescherming:  elvz
Verpakkingseenheid: doos a200st
</t>
  </si>
  <si>
    <t xml:space="preserve">Spaanplaatschroef Heco CK pzd-2 4,5x45mm elvz ds a200st (ALL)
Type: Spaanplaatschroef Heco Uitvoering: CilinderKop Aansluiting:  pzd-2
Afmeting: 4,5x45mm Opp. Bescherming:  elvz
Verpakkingseenheid: doos a200st
</t>
  </si>
  <si>
    <t xml:space="preserve">Spaanplaatschroef DynaPlus VK pzd2 4,5x50mm elvz a200(ALL)
Spaanplaatschroef DynaPlus Uitvoering: VerzonkenKop Aansluiting:  pzd-2
Afmeting: 4,5x50mm Opp. Bescherming:  elvz
Verpakkingseenheid: doos a200st
</t>
  </si>
  <si>
    <t xml:space="preserve">Spaanplaatschroef CK pzd-2 5x20mm elvz a200st (ALL)
Spaanplaatschroef  Uitvoering: CilinderKop Aansluiting:  pzd-2 Afmeting:
5x20mm Opp. Bescherming:  elvz
Verpakkingseenheid: doos a200st
</t>
  </si>
  <si>
    <t xml:space="preserve">Spaanplaatschroef CK pzd-2 5x25mm elvz a200st (ALL)
Spaanplaatschroef  Uitvoering: CilinderKop Aansluiting:  pzd-2 Afmeting:
5x25mm Opp. Bescherming:  elvz
Verpakkingseenheid: doos a200st
</t>
  </si>
  <si>
    <t xml:space="preserve">Spaanplaatschroef CK pzd-2 5x30mm elvz a200st (ALL)
Spaanplaatschroef  Uitvoering: CilinderKop Aansluiting:  pzd-2 Afmeting:
5x30mm Opp. Bescherming:  elvz
Verpakkingseenheid: doos a200st
</t>
  </si>
  <si>
    <t xml:space="preserve">Spaanplaatschroef CK pzd-2 5x35mm elvz a200st (ALL)
Spaanplaatschroef  Uitvoering: CilinderKop Aansluiting:  pzd-2 Afmeting:
5x35mm Opp. Bescherming:  elvz
Verpakkingseenheid: doos a200st
</t>
  </si>
  <si>
    <t xml:space="preserve">Spaanplaatschroef CK pzd-2 5x40mm elvz a200st (ALL)
Spaanplaatschroef  Uitvoering: CilinderKop Aansluiting:  pzd-2 Afmeting:
5x40mm Opp. Bescherming:  elvz
Verpakkingseenheid: doos a200st
</t>
  </si>
  <si>
    <t xml:space="preserve">Spaanplaatschroef CK pzd-2 5x45mm elvz a200st (ALL)
Spaanplaatschroef  Uitvoering: CilinderKop Aansluiting:  pzd-2 Afmeting:
5x45mm Opp. Bescherming:  elvz
Verpakkingseenheid: doos a200st
</t>
  </si>
  <si>
    <t xml:space="preserve">Spaanplaatschroef CK pzd-2 5x50mm elvz a200st (ALL)
Spaanplaatschroef  Uitvoering: CilinderKop Aansluiting:  pzd-2 Afmeting:
5x50mm Opp. Bescherming:  elvz
Verpakkingseenheid: doos a200st
</t>
  </si>
  <si>
    <t xml:space="preserve">Spaanplaatschroef CK pzd-2 5x60mm elvz a200st (ALL)
Spaanplaatschroef  Uitvoering: CilinderKop Aansluiting:  pzd-2 Afmeting:
5x60mm Opp. Bescherming:  elvz
Verpakkingseenheid: doos a200st
</t>
  </si>
  <si>
    <t xml:space="preserve">Spaanplaatschroef CK pzd-2 5x70mm elvz a200st (ALL)
Spaanplaatschroef  Uitvoering: CilinderKop Aansluiting:  pzd-2 Afmeting:
5x70mm Opp. Bescherming:  elvz
Verpakkingseenheid: doos a200st
</t>
  </si>
  <si>
    <t xml:space="preserve">Spaanplaatschroef CK pzd-2 5x80mm elvz a200st (ALL)
Spaanplaatschroef  Uitvoering: CilinderKop Aansluiting:  pzd-2 Afmeting:
5x80mm Opp. Bescherming:  elvz
Verpakkingseenheid: doos a200st
</t>
  </si>
  <si>
    <t xml:space="preserve">Muurplug Wako M8x30 messing a100st (ALL)
Muurplug Wako
Afmeting: M8x30  Opp. Bescherming: messing
Verpakkingseenheid: doos a100st
</t>
  </si>
  <si>
    <t xml:space="preserve">Muurplug Wako M10x34 messing a100st (ALL)
Muurplug Wako
Afmeting: M10x34
Opp. Bescherming: messing
Verpakkingseenheid: doos a100st
</t>
  </si>
  <si>
    <t xml:space="preserve">Houtdraadpen m8x70 elvz m.zeskant a100st (ALL)
Houtdraadpen met buitenzeskant
Afmeting: m8x70
Opp. Bescherming: elvz
Verpakkingseenheid: doos a100st
</t>
  </si>
  <si>
    <t xml:space="preserve">Houtdraadpen M8x120 elvz m. zeskant  a100st (ALL)
Houtdraadpen met buitenzeskant
Afmeting: m8x120
Opp. Bescherming: elvz
Verpakkingseenheid: doos a100st
</t>
  </si>
  <si>
    <t xml:space="preserve">Tapbout Kuprodur M8x20 ds a200st (ALL)
Tapbout Kuprodur
Afmeting: M8x20
Verpakkingseenheid: a200st
Zeskanttapbout,
Materiaalsoort: Kuprodur,
Kwaliteitsklasse: 60,
Draadsoort: M8 (volledig),
Steekcirkel: 13 mm,
Lengte steel: 70 mm,
DIN 933, ISO 4017
Doos a 200 stuks
</t>
  </si>
  <si>
    <t xml:space="preserve">Tapbout Kuprodur M8x25 ds a200st (ALL)
Tapbout Kuprodur
Afmeting: M8x25
Verpakkingseenheid: a 200st
Zeskanttapbout, Materiaalsoort: Kuprodur,
Kwaliteitsklasse: 60,
Draadsoort: M8 (volledig),
Steekcirkel: 13 mm,
Lengte steel: 25 mm,
DIN 933, ISO 4017
Doos a 200 stuks
</t>
  </si>
  <si>
    <t xml:space="preserve">Tapbout Kuprodur M12x30
Tapbout Kuprodur
Afmeting: M12x30
Zeskanttapbout, Materiaalsoort: Kuprodur,
Kwaliteitsklasse: 60,
Draadsoort: M12 (volledig),
Steekcirkel: 19 mm,
Lengte steel: 30 mm,
DIN 933, ISO 4017
</t>
  </si>
  <si>
    <t xml:space="preserve">Tapbout Kuprodur M12x60 (ALL)
Tapbout Kuprodur
Afmeting: M12x60
Zeskanttapbout, Materiaalsoort: Kuprodur,
Kwaliteitsklasse: 60,
Draadsoort: M12 (volledig),
Steekcirkel: 19 mm,
Lengte steel: 60 mm,
DIN 933, ISO 4017
</t>
  </si>
  <si>
    <t xml:space="preserve">Zeskanttapbout M6x40 8.8 thvz a200st (ALL)
Tapbout zeskant Klasse: 8.8  Afmeting: M6x40 Opp. Bescherming: THVZ
Verpakkingseenheid: doos a200st
Zeskanttapbout,
Materiaalsoort: staal,
Kwaliteitsklasse: 8.8,
Draadsoort: M6 (volledig),
Steekcirkel: 10 mm,
Lengte steel: 40 mm,
Oppervlaktebehandeling: thermisch verzinkt,
DIN 933, ISO 4017
Doos a 200 stuks
</t>
  </si>
  <si>
    <t xml:space="preserve">Zeskanttapbout M8x16 8.8 thvz a200st (ALL)
Tapbout zeskant Klasse: 8.8  Afmeting: M8x16 Opp. Bescherming: THVZ
Verpakkingseenheid: doos a200st
Zeskanttapbout,
Materiaalsoort: staal,
Kwaliteitsklasse: 8.8,
Draadsoort: M8 (volledig),
Steekcirkel: 13 mm,
Lengte steel: 16 mm,
Oppervlaktebehandeling: thermisch verzinkt,
DIN 933, ISO 4017
Doos a 200 stuks
</t>
  </si>
  <si>
    <t xml:space="preserve">Zeskanttapbout M8x20 8.8 thvz a200st (ALL)
Tapbout zeskant Klasse: 8.8  Afmeting: M8x20 Opp. Bescherming: THVZ
Verpakkingseenheid: doos a200st
Zeskanttapbout,
Materiaalsoort: staal,
Kwaliteitsklasse: 8.8,
Draadsoort: M8 (volledig),
Steekcirkel: 13 mm,
Lengte steel: 20 mm,
Oppervlaktebehandeling: thermisch verzinkt,
DIN 933, ISO 4017
Doos a 200 stuks
</t>
  </si>
  <si>
    <t xml:space="preserve">Zeskanttapbout M8x25 8.8 thvz a200st (ALL)
Tapbout zeskant Klasse: 8.8  Afmeting: M8x25 Opp. Bescherming: THVZ
Verpakkingseenheid: doos a200st
Zeskanttapbout,
Materiaalsoort: staal,
Kwaliteitsklasse: 8.8,
Draadsoort: M8 (volledig),
Steekcirkel: 13 mm,
Lengte steel: 25 mm,
Oppervlaktebehandeling: thermisch verzinkt,
DIN 933, ISO 4017
Doos a 200 stuks
</t>
  </si>
  <si>
    <t xml:space="preserve">Zeskanttapbout M8x30 8.8 thvz a200st (ALL)
Tapbout zeskant Klasse: 8.8  Afmeting: M8x30 Opp. Bescherming: THVZ
Verpakkingseenheid: doos a200st
Zeskanttapbout,
Materiaalsoort: staal,
Kwaliteitsklasse: 8.8,
Draadsoort: M8 (volledig),
Steekcirkel: 13 mm,
Lengte steel: 30 mm,
Oppervlaktebehandeling: thermisch verzinkt,
DIN 933, ISO 4017
Doos a 200 stuks
</t>
  </si>
  <si>
    <t xml:space="preserve">Zeskanttapbout M8x40 8.8 thvz a200st (ALL)
Tapbout zeskant Klasse: 8.8  Afmeting: M8x40 Opp. Bescherming: THVZ
Verpakkingseenheid: doos a200st
Zeskanttapbout,
Materiaalsoort: staal,
Kwaliteitsklasse: 8.8,
Draadsoort: M8 (volledig),
Steekcirkel: 13 mm,
Lengte steel: 40 mm,
Oppervlaktebehandeling: thermisch verzinkt,
DIN 933, ISO 4017
Doos a 200 stuks
</t>
  </si>
  <si>
    <t xml:space="preserve">Zeskanttapbout M8x50 8.8 thvz a200st (ALL)
Tapbout zeskant Klasse: 8.8  Afmeting: M8x50 Opp. Bescherming: THVZ
Verpakkingseenheid: doos a200st
Zeskanttapbout,
Materiaalsoort: staal,
Kwaliteitsklasse: 8.8,
Draadsoort: M8 (volledig),
Steekcirkel: 13 mm,
Lengte steel: 50 mm,
Oppervlaktebehandeling: thermisch verzinkt,
DIN 933, ISO 4017
Doos a 200 stuks
</t>
  </si>
  <si>
    <t xml:space="preserve">Zeskanttapbout M10x30 8.8 thvz a200st (ALL)
Tapbout zeskant Klasse: 8.8  Afmeting: M10x30 Opp. Bescherming: THVZ
Verpakkingseenheid: doos a200st
Zeskanttapbout,
Materiaalsoort: staal,
Kwaliteitsklasse: 8.8,
Draadsoort: M10 (volledig),
Steekcirkel: 17 mm,
Lengte steel: 30 mm,
Oppervlaktebehandeling: thermisch verzinkt,
DIN 933, ISO 4017
Doos a 200 stuks
</t>
  </si>
  <si>
    <t xml:space="preserve">Zeskanttapbout M10x40 8.8 thvz a100st
Tapbout zeskant  Klasse: 8.8   Afmeting: M10x40  Opp. Bescherming: THVZ
</t>
  </si>
  <si>
    <t xml:space="preserve">Zeskanttapbout M10x50 8.8 thvz a100st (ALL)
Tapbout zeskant Klasse: 8.8  Afmeting: M10x50 Opp. Bescherming: THVZ
Verpakkingseenheid: doos a100st
Zeskanttapbout,
Materiaalsoort: staal,
Kwaliteitsklasse: 8.8,
Draadsoort: M10 (volledig),
Steekcirkel: 17 mm,
Lengte steel: 50 mm,
Oppervlaktebehandeling: thermisch verzinkt,
DIN 933, ISO 4017
Doos a 100 stuks
</t>
  </si>
  <si>
    <t xml:space="preserve">Zeskanttapbout DIN933 M12x16 8.8 elvz
Zeskanttapbout DIN933
Afmeting:  M12x16
Klasse: 8.8
Opp. Bescherming: elvz
Zeskanttapbout,
Materiaalsoort: staal,
Kwaliteitsklasse: 8.8,
Draadsoort: M12 (volledig),
Steekcirkel: 19 mm,
Lengte steel: 16 mm,
Oppervlaktebehandeling: elektrolytisch verzinkt,
DIN 933, ISO 4017
</t>
  </si>
  <si>
    <t xml:space="preserve">Zeskanttapbout M12x20 8.8 thvz (ALL)
Tapbout zeskant  Klasse: 8.8
Afmeting: M12x20
Opp. Bescherming: THVZ
Zeskanttapbout,
Materiaalsoort: staal,
Kwaliteitsklasse: 8.8,
Draadsoort: M12 (volledig),
Steekcirkel: 19 mm,
Lengte steel: 20 mm,
Oppervlaktebehandeling: thermisch verzinkt,
DIN 933, ISO 4017
</t>
  </si>
  <si>
    <t xml:space="preserve">Zeskanttapbout M12x25 8.8 thvz (ALL)
Tapbout zeskant Klasse: 8.8
Afmeting: M12x25
Opp. Bescherming:  THVZ
Zeskanttapbout,
Materiaalsoort: staal,
Kwaliteitsklasse: 8.8,
Draadsoort: M12 (volledig),
Steekcirkel: 19 mm,
Lengte steel: 25 mm,
Oppervlaktebehandeling: thermisch verzinkt,
DIN 933, ISO 4017
</t>
  </si>
  <si>
    <t xml:space="preserve">Zeskanttapbout DIN933 M12x30 8.8 thvz ISO(ALL)
Zeskanttapbout ISO DIN933
Afmeting: M12x30
Klasse: 8.8
Opp. Bescherming: thvz
Zeskanttapbout,
Materiaalsoort: staal,
Kwaliteitsklasse: 8.8,
Draadsoort: M12 (volledig),
Steekcirkel: 19 mm,
Lengte steel: 30 mm,
Oppervlaktebehandeling: thermisch verzinkt,
DIN 933, ISO 4017
</t>
  </si>
  <si>
    <t xml:space="preserve">Zeskanttapbout DIN933 M12x40 8.8 thvz ISO (ALL)
Zeskanttapbout ISO DIN933
Afmeting: M12x40
Klasse: 8.8
Opp. Bescherming: thvz
Zeskanttapbout,
Materiaalsoort: staal,
Kwaliteitsklasse: 8.8,
Draadsoort: M12 (volledig),
Steekcirkel: 19 mm,
Lengte steel: 40 mm,
Oppervlaktebehandeling: thermisch verzinkt,
DIN 933, ISO 4017
</t>
  </si>
  <si>
    <t xml:space="preserve">Zeskanttapbout DIN933 M12x50 8.8 thvz ISO ds (ALL)
Zeskanttapbout ISO DIN933
Afmeting: M12x50
Klasse: 8.8
Opp. Bescherming: thvz
Zeskanttapbout,
Materiaalsoort: staal,
Kwaliteitsklasse: 8.8,
Draadsoort: M12 (volledig),
Steekcirkel: 19 mm,
Lengte steel: 50 mm,
Oppervlaktebehandeling: thermisch verzinkt,
DIN 933, ISO 4017
</t>
  </si>
  <si>
    <t xml:space="preserve">Zeskanttapbout DIN933 M16x40 RVS-A2 PTFEgecoat (ALL)
Zeskantbout PTFE gecoat
Afmeting: M16x40
Opp. Bescherming: RVS/A2 PFTE gecoat
Zeskanttapbout,
Materiaalsoort: Roestvaststaal A2,
Kwaliteitsklasse: 70,
Draadsoort: M16 (volledig),
Steekcirkel: 24 mm,
Lengte steel: 40 mm,
Oppervlaktebehandeling: PTFE gecoat,
DIN 933, ISO 4017
</t>
  </si>
  <si>
    <t xml:space="preserve">Veerring platst. DIN127B M4 4,1x7,6x0,9 elvz a250st (ALL)
Veerring  DIN127B Afmeting: M4 4,1x7,6x0,9 Opp. Bescherming: elvz
Verpakkingseenheid: doos a250st
</t>
  </si>
  <si>
    <t xml:space="preserve">Veerring platst. DIN127B M12 12,2X21,1X2,5 RVS-A2 100(ALL)
Veerring  DIN127B Afmeting: M12 12,2X21,1X2,5 Opp. Bescherming: RVS-A2
Verpakkingseenheid: doos a100st
</t>
  </si>
  <si>
    <t xml:space="preserve">Veerring platst. DIN127B M16 16,2x27,4x3,5 RVS-A2 100(ALL)
Veerring  DIN127B Afmeting: M16 16,2x27,4x3,5 Opp. Bescherming: RVS-A2
Verpakkingseenheid: doos a100st
</t>
  </si>
  <si>
    <t>Zeskantbout,
Materiaalsoort: Roestvaststaal A2,
Draadsoort: M16,
Steekcirkel: 24 mm,
Lengte steel: 120 mm (waarvan 38 mm met draad),
Oppervlaktebehandeling: PTFE gecoat,
DIN 931, ISO 4014
Lasaulec:
Zeskantbout DIN931 M16x12 0 RVS-A2 PTFE-gecoat
Zeskantbout PTFE gecoat
Afmeting: M16x120
Opp. Bescherming: RVS/A2 PFTE gecoat</t>
  </si>
  <si>
    <t>Zeskantmoer Kuprodur M8 ds a250st (ALL)
Zeskantmoer Kuprodur
Afmeting: M8
ds250</t>
  </si>
  <si>
    <t xml:space="preserve">Zeskantmoer,
Materiaalsoort: Kuprodur,
Kwaliteitsklasse: 60,
Draadsoort: M12,
Steekcirkel: 19 mm,
DIN 934, NEN 1560
Lasaulec:
Zeskantmoer Kuprodur M12
Zeskantmoer Kuprodur
Afmeting: M12
</t>
  </si>
  <si>
    <t>Zeskantmoer,
Materiaalsoort: staal,
Kwaliteitsklasse: 8.8,
Draadsoort: M4,
Steekcirkel: 7 mm,
Oppervlaktebehandeling: elektrolytisch verzinkt,
DIN 934, NEN 1560
Doos a 250 stuks
Lasaulec:
Zeskantmoer DIN934 M4 8.8 elvz a250st (ALL)
Zeskantmoer DIN934 Afmeting: M4 Klasse: 8.8 Opp. Bescherming: elvz
Verpakkingseenheid: doos a250st.</t>
  </si>
  <si>
    <t>Zeskantmoer,
Materiaalsoort: staal,
Kwaliteitsklasse: 8.8,
Draadsoort: M5,
Steekcirkel: 8 mm,
Oppervlaktebehandeling: elektrolytisch verzinkt,
DIN 934, NEN 1560
Doos a 250 stuks
Lasaulec:
Zeskantmoer DIN934 M5 8.8 elvz a250st (ALL)
Zeskantmoer DIN934 Afmeting: M5 Klasse: 8.8 Opp. Bescherming: elvz
Verpakkingseenheid: doos a250st.</t>
  </si>
  <si>
    <t>Zeskantmoer,
Materiaalsoort: staal,
Kwaliteitsklasse: 8.8,
Draadsoort: M6,
Steekcirkel: 10 mm,
Oppervlaktebehandeling: elektrolytisch verzinkt,
DIN 934, NEN 1560
Doos a 250 stuks
Lasaulec:
Zeskantmoer DIN934 M6 8.8 elvz a250st (ALL)
Zeskantmoer DIN934 Afmeting: M6 Klasse: 8.8 Opp. Bescherming: elvz
Verpakkingseenheid: doos a250st.</t>
  </si>
  <si>
    <t>Zeskantmoer,
Materiaalsoort: staal,
Kwaliteitsklasse: 8.8,
Draadsoort: M8,
Steekcirkel: 13 mm,
Oppervlaktebehandeling: elektrolytisch verzinkt,
DIN 934, NEN 1560
Doos a 250 stuks
Lasaulec:
Zeskantmoer DIN934 M8 8.8 elvz a250st (ALL)
Zeskantmoer DIN934 Afmeting: M8 Klasse: 8.8 Opp. Bescherming: elvz
Verpakkingseenheid: doos a250st.</t>
  </si>
  <si>
    <t>Zeskantmoer,
Materiaalsoort: staal,
Kwaliteitsklasse: 8.8,
Draadsoort: M10,
Steekcirkel: 17 mm,
Oppervlaktebehandeling: elektrolytisch verzinkt,
DIN 934, NEN 1560
Doos a 250 stuks
Lasaulec:
Zeskantmoer DIN934 M10 8.8 elvz a250st (ALL)
Zeskantmoer DIN934 Afmeting: M10 Klasse: 8.8 Opp. Bescherming: elvz
Verpakkingseenheid: doos a250st.</t>
  </si>
  <si>
    <t xml:space="preserve">Zeskantmoer,
Materiaalsoort: staal,
Kwaliteitsklasse: 8.8,
Draadsoort: M12,
Steekcirkel: 19 mm,
Oppervlaktebehandeling: elektrolytisch verzinkt,
DIN 934, NEN 1560
Lasaulec:
Zeskantmoer DIN934 M12 8.8 elvz
Zeskantmoer DIN934
Afmeting: M12
Klasse: 8.8
Opp. Bescherming: elvz
</t>
  </si>
  <si>
    <t>Zeskantmoer.
Materiaalsoort: staal, kwaliteitssklasse: 8.8, Draadsoort: M16,
Oppervlaktebehandeling: elektrolytisch verzinkt, DIN 934, NEN 1560.
Doos 100 stuks.</t>
  </si>
  <si>
    <t xml:space="preserve">Zeskantplaatbout 6,5x20 elvz + ring ds a200st (ALL)
Zeskantplaatbout 6,5x20 elvz + ring ds a200st (ALL)
</t>
  </si>
  <si>
    <t>Plaatbout 6,5/16x25 elvz/CR zeskant ds a500st (ALL)
Plaatbout
Afmeting: 6,5/16x25
Uitvoering: elvz/CR zeskant
Verpakkingseenheid: doos a500st
Zeskantplaatbout met ring,
Materiaalsoort: staal,
Kwaliteitsklasse: 8.8,
Diameter steel: 6,5,
Steekcirkel: -- mm,
Lengte steel: 25 mm (volledig draad)
Oppervlaktebehandeling: elektrolytisch verzinkt en
wit verzinkt (compleet).
Doos a 500 stuks.</t>
  </si>
  <si>
    <t xml:space="preserve">Sperkop 113 659 560 E27 zwart langdurige vergrend. (ALL)
Sperkop E27 Uitvoering: met zwarte kop, anti-lux.
</t>
  </si>
  <si>
    <t xml:space="preserve">Sperkop 113 659 570 E33 zwart langdurige vergrend. (ALL)
Sperkop E33 Uitvoering: met zwarte kop, anti-lux.
</t>
  </si>
  <si>
    <t xml:space="preserve">Sleutel v sperkop 113 659 580 E27+E33 zwart (ALL)
Sleutel voor sperkop E27 en E33 met zwarte kop anti-lux (voor langdurige
vergrendeling)
</t>
  </si>
  <si>
    <t>Veerring platst. DIN127B M12 12,2x21,1x2,5 elvz (ALL)
Veerring  DIN127B Afmeting: M12 12,2x21,1x2,5 Opp. Bescherming: elvz
Verpakkingseenheid: doos a100st</t>
  </si>
  <si>
    <t xml:space="preserve">Rilapparaat koperbuis 15-22mm (ALL)
</t>
  </si>
  <si>
    <t xml:space="preserve">Rilapparaat koperbuis 28-35mm (ALL)
</t>
  </si>
  <si>
    <t xml:space="preserve">Sleutel v lichtmastdeur 15,5mm (Kaalfixsleutel) (ALL)
Sleutel voor lichtmastdeur  15,5mm (Kaalfixsleutel) Geschikt voor
zogenoemde Kaalfix sluitingen.
</t>
  </si>
  <si>
    <t>PeCu prefab gasdienstleiding met  PE 40  mantelbuis -Zachtkoper Cu
35mmx1,5mm. Lengte 3,75 meter. -Aansluiting op PE40 mm SDR 17,6.
Pipelife overgangskoppeling PE-koper -Leiding zonder steunbus enkel
geschikt voor persfitting Met QA-keur. Toepassingsgebied klasse 0 tot 2.
Fabrikaat: OCI
Of
Peko dienstleiding PE 40 SDR17,6 mantelbuis met Cu 28 mm. Lengte 3,75
meter. Geschikt voor aansluiting op dienstleiding PE 40. Met PE-
koppeling. QA-keur Trekvast. ** buigzame PEKO met Pipelife-koppeling
**Toepassingsgebied klasse 0 tot 2
Fabricaat: HSF</t>
  </si>
  <si>
    <t xml:space="preserve">PeCu prefab gasdienstleiding met  PE 40 mantelbuis -Zachtkoper Cu
35mmx1,5mm. Lengte 5,00 meter. -Aansluiting op PE40 mm SDR 17,6.
Pipelife overgangskoppeling PE-koper -Leiding zonder steunbus enkel
geschikt voor persfitting Met QA-keur. Toepassingsgebied klasse 0.
Fabrikaat: OCI
Of
Peko dienstleiding PE 40 SDR17,6 mantelbuis met Cu 28 mm. Lengte 5,00
meter. Geschikt voor aansluiting op dienstleiding PE 40. Met PE-
koppeling. QA-keur Trekvast. ** buigzame PEKO met Pipelife-koppeling
**Toepassingsgebied klasse 0 tot 2
Fabrikaat: HSF
</t>
  </si>
  <si>
    <t xml:space="preserve">PeCu prefab gasdienstleiding met  PE 40 mantelbuis -Zachtkoper Cu
35mmx1,5mm. Lengte 7,50 meter. -Aansluiting op PE40 mm SDR 17,6.
Pipelife overgangskoppeling PE-koper -Leiding zonder steunbus enkel
geschikt voor persfitting Met QA-keur. Toepassingsgebied klasse 0 tot 2.
Fabricaat: OCI
Of
Peko dienstleiding PE 40 SDR17,6 mantelbuis met Cu 28 mm. Lengte 7,50
meter. Geschikt voor aansluiting op dienstleiding PE 40. Met PE-
koppeling. QA-keur Trekvast. ** buigzame PEKO met Pipelife-koppeling
**Toepassingsgebied klasse 0 tot 2.
Fabricaat: HSF.
</t>
  </si>
  <si>
    <t>PeCu prefab gasdienstleiding met  PE 40 mantelbuis -Zachtkoper Cu
35mmx1,5mm. Lengte 10,00 meter. -Aansluiting op PE40 mm SDR 17,6.
Pipelife overgangskoppeling PE-koper -Leiding zonder steunbus enkel
geschikt voor persfitting Met QA-keur. Toepassingsgebied klasse 0 tot 2.
Fabricaat: OCI.
Of
Peko dienstleiding PE 40 SDR17,6 mantelbuis met Cu 28 mm. Lengte 10,00
meter. Geschikt voor aansluiting op dienstleiding PE 40. Met PE-
koppeling. QA-keur Trekvast. ** buigzame PEKO met Pipelife-koppeling
**Toepassingsgebied klasse 0 tot 2.
Fabricaat: HSF.</t>
  </si>
  <si>
    <t xml:space="preserve">PeCu prefab gasdienstleiding met  PE 40 SDR17,6 mantelbuis -Zachtkoper
Cu 28mmx1,2mm. Lengte 10,00 meter. -Aansluiting op PE40 mm SDR 17,6.
Pipelife overgangskoppeling PE-koper -Leiding zonder steunbus enkel
geschikt voor persfitting Met QA-keur. Toepassingsgebied klasse 0 tot 2.
Fabrikaat: OCI
Of
Peko dienstleiding PE 40 SDR17,6 mantelbuis met Cu 28 mm. Lengte 10,00
meter. Geschikt voor aansluiting op dienstleiding PE 40. Met PE-
koppeling. QA-keur Trekvast. ** buigzame PEKO met Pipelife-koppeling
**Toepassingsgebied klasse 0 tot 2.
Fabrikaat: HSF.
</t>
  </si>
  <si>
    <t>PeCu prefab gasdienstleiding met  PE 40 SDR17,6 mantelbuis -Zachtkoper
Cu 28mmx1,2mm. Lengte 12,50 meter. -Aansluiting op PE40 mm SDR 17,6.
Pipelife overgangskoppeling PE-koper -Leiding zonder steunbus enkel
geschikt voor persfitting Met QA-keur. Toepassingsgebied klasse 0 tot 2.
Fabrikaat: OCI
Of
Peko dienstleiding PE 40 SDR17,6 mantelbuis met Cu 28 mm. Lengte 12,50
meter. Geschikt voor aansluiting op dienstleiding PE 40. Met PE-
koppeling. QA-keur Trekvast. ** buigzame PEKO met Pipelife-koppeling
**Toepassingsgebied klasse 0 tot 2.
Fabrikaat: HSF</t>
  </si>
  <si>
    <t>PeCu prefab gasdienstleiding met  PE 40 mantelbuis -Zachtkoper Cu
35mmx1,5mm. Lengte 12,50 meter. -Aansluiting op PE40 mm SDR 17,6.
Pipelife overgangskoppeling PE-koper -Leiding zonder steunbus enkel
geschikt voor persfitting Met QA-keur. Toepassingsgebied klasse 0 tot 2.
Fabricaat: OCI.
Of
Peko dienstleiding PE 40 SDR17,6 mantelbuis met Cu 28 mm. Lengte 12,50
meter. Geschikt voor aansluiting op dienstleiding PE 40. Met PE-
koppeling. QA-keur Trekvast. ** buigzame PEKO met Pipelife-koppeling
**Toepassingsgebied klasse 0 tot 2.
Fabricaat: HSF.</t>
  </si>
  <si>
    <t>Adereindhuls 10mm2 rood,
hulslengte 18mm,
verpakking: zak a 100 stuks</t>
  </si>
  <si>
    <t xml:space="preserve">Zeskanttapbout DIN933 M16x50 RVS-A2 a25st (ALL)
Zeskanttapbout DIN933 Afmeting: M16x50 Opp. Bescherming: RVS-A2
Verpakkingseenheid: doos a25st
</t>
  </si>
  <si>
    <t xml:space="preserve">Zeskanttapbout DIN933 M12x60 8.8 thvz ISO
Type: Zeskanttapbout DIN933
Afmeting: M12x60
Klasse: 8.8
Opp. Bescherming: thvz
</t>
  </si>
  <si>
    <t xml:space="preserve">Veerring platst. DIN127B M20 20,2X33,6X4,0 RVS-A2 a50st
Veerring DIN127B
Afmeting: M20 20,2X33,6X4,0
Opp. Bescherming: RVS-A2.
</t>
  </si>
  <si>
    <t xml:space="preserve">Veerring platst. DIN127B M24 24,5x40x5 RVS-A2 (ALL)
Type: Veerring DIN127B
Afmeting: M24 24,5x40x5 Opp. Bescherming: RVS-A2
</t>
  </si>
  <si>
    <t xml:space="preserve">Gasdrukregelaar, merk: Elster Jeavons. Type: J125-S5 veerbelast met
veiligheidsafslagklep. Nominale diameter: DN50 / 4 gats. Ingezet voor
een werkdruk: inlaatzijdig maximaal 1 Bar, uitlaatzijdig 30 mbar.
Klepzitting 1.1/4" = 31,8 mm.
</t>
  </si>
  <si>
    <t>Verlopende dubbele nippel;
materiaal: messing;
aansluiting 1: conisch afdichtende buitendraad,
     R 1", volgens NEN 3258.
aansluiting 2: conisch afdichtende buitendraad,
     R 3/4", volgens NEN 3258.
Beide schroefdraden gekartelde uitvoering.</t>
  </si>
  <si>
    <t>Verlopende dubbele nippel;
materiaal: messing;
aansluiting 1: conisch afdichtende buitendraad,
     R 1.1/2", volgens NEN 3258.
aansluiting 2: conisch afdichtende buitendraad,
     R 1.1/4", volgens NEN 3258.</t>
  </si>
  <si>
    <t>Verloopring;
materiaal: messing;
aansluiting 1: conisch afdichtende buitendraad,
     R 1", volgens NEN 3258.
aansluiting 2: cilindrisch afdichtende binnendraad,
     Rp 1/2", volgens NEN 3258.</t>
  </si>
  <si>
    <t xml:space="preserve">Verloopring;
materiaal: messing;
aansluiting 1: conisch afdichtende buitendraad,
     R 1.1/4", volgens NEN 3258.
aansluiting 2: cilindrisch afdichtende binnendraad,
     Rp 3/4", volgens NEN 3258.
</t>
  </si>
  <si>
    <t xml:space="preserve">Verloopring;
materiaal: messing;
aansluiting 1: conisch afdichtende buitendraad,
     R 1.1/4", volgens NEN 3258.
aansluiting 2: cilindrisch afdichtende binnendraad,
     Rp 1", volgens NEN 3258.
</t>
  </si>
  <si>
    <t>Kabel YMvK 4x 2,5mm2 Cu rm volgens NEN3617.
Aderkleuren geel/groen, bruin, blauw en zwart.
Brandklasse Dca-s2,d2,a3.
Haspels met 500m.</t>
  </si>
  <si>
    <t>NEN: VO-YMvKas mb 0,0/1 kV
Haspel a 500 meter.</t>
  </si>
  <si>
    <t>Enkelzijdige cilinder Europrofiel 17mm,
standaard uitvoering,
Lengte: 30,5 mm (buitenzijde) + 9,5 mm (binnenzijde),
Cataloguslengte = 30 mm,
Code 2.1 (gas),
Fabr. Lips, Type Trivium S8461.</t>
  </si>
  <si>
    <t>Enkelzijdige cilinder Europrofiel 17mm,
standaard uitvoering,
Lengte: 30,5 mm (buitenzijde) + 9,5 mm (binnenzijde),
Cataloguslengte = 30 mm,
Code 2.7.x (gas-grootverbruikers),
Inclusief 2 sleutels,
Fabr. Lips, Type Trivium S8461.</t>
  </si>
  <si>
    <t xml:space="preserve">Aanboorzadel toepasbaar als aftakzadel of blaasgatzadel 108-128mmx1½"
Polsafe materiaal: RVS met NBR rubber.
</t>
  </si>
  <si>
    <t xml:space="preserve">Aanboorzadel toepasbaar als aftakzadel 216-238mmx1½" Polsafe materiaal:
RVS met NBR rubber.
</t>
  </si>
  <si>
    <t xml:space="preserve">Aanboorzadel toepasbaar als aftakzadel 260-280mmx1½" Polsafe materiaal:
RVS met NBR rubber.
</t>
  </si>
  <si>
    <t xml:space="preserve">Aanboorzadel toepasbaar als aftakzadel 282-302mmx1½" Polsafe materiaal:
RVS met NBR rubber.
</t>
  </si>
  <si>
    <t xml:space="preserve">Aanboorzadel toepasbaar als aftakzadel 314-334mmx1½" Polsafe materiaal:
RVS met NBR rubber.
</t>
  </si>
  <si>
    <t xml:space="preserve">Aanboorzadel toepasbaar als aftakzadel of blaasgatzadel 88-110mmx1½"
Polsafe materiaal: RVS met NBR rubber.
</t>
  </si>
  <si>
    <t xml:space="preserve">Aanboorzadel toepasbaar als aftakzadel of blaasgatzadel 114-134mmx2"
Polsafe materiaal: RVS met NBR rubber.
</t>
  </si>
  <si>
    <t xml:space="preserve">Aanboorzadel toepasbaar als aftakzadel of blaasgatzadel 216-238mmx2"
Polsafe materiaal: RVS met NBR rubber.
</t>
  </si>
  <si>
    <t xml:space="preserve">Aanboorzadel toepasbaar als aftakzadel 260-280mmx2" Polsafe materiaal:
RVS met NBR rubber.
</t>
  </si>
  <si>
    <t xml:space="preserve">Aanboorzadel toepasbaar als aftakzadel 282-302mmx2" Polsafe materiaal:
RVS met NBR rubber.
</t>
  </si>
  <si>
    <t xml:space="preserve">Aanboorzadel toepasbaar als aftakzadel 314-334mmx2" Polsafe materiaal:
RVS met NBR rubber.
</t>
  </si>
  <si>
    <t xml:space="preserve">Aanboorzadel toepasbaar aftakzadel of blaasgatzadel 88-110mmx2" Polsafe
materiaal: RVS met NBR rubber.
</t>
  </si>
  <si>
    <t xml:space="preserve">Aanboorzadel toepasbaar als blaasgatzadel 260-280mmx2½" Polsafe
materiaal: RVS met NBR rubber.
</t>
  </si>
  <si>
    <t xml:space="preserve">Aanboorzadel toepasbaar blaasgatzadel 282-302mmx2½" Polsafe materiaal:
RVS met NBR rubber.
</t>
  </si>
  <si>
    <t xml:space="preserve">Aanboorzadel toepasbaar blaasgatzadel 314-334mmx2½" Polsafe materiaal:
RVS met NBR rubber.
</t>
  </si>
  <si>
    <t xml:space="preserve">Kunststof zegelkap met kliksluiting, 1-delig, geel tbv gas, Fabr: KZ;
Type: R10333-78/63 Dinwendig = 103; Binwendig = 33 mm; d1 = 78 mm; d2 =
63 mm; tbv: Gasmeter G25 en kraankoppeling met G2 1/2" wartelmoer;
Meterinvoerconstructie (MIC) 75 + 50 PE (KZ)
</t>
  </si>
  <si>
    <t>Letterblokje, zwarte opdruk "G", achtergrond geel, afmetingen: 26 x 16
mm. Conform NEN 1184.</t>
  </si>
  <si>
    <t>Doos met onderdelen v magnefix MD4 KKT en TKK
bestaande uit:
1 instructieplaat met vastzetmateriaal
6 halve beschermkappen
1 eindsluiting voor XPLE 3x1x16 Cu</t>
  </si>
  <si>
    <t>Doos met onderdelen v magnefix MD4 KKKT en TKKK
bestaande uit:
1 instructieplaat met vastzetmateriaal
8 halve beschermkappen
1 eindsluiting voor XPLE 3x1x16 Cu</t>
  </si>
  <si>
    <t>Adapter v stelcilinder Rotadisk RD10.</t>
  </si>
  <si>
    <t>Adapter v stelcilinder Rotadisk RD20.</t>
  </si>
  <si>
    <t xml:space="preserve">Splitswig 652006 VDE 240mm rood zwaar (ALL)
Splitswig VDE
Materiaal: kunststof
Zware uitvoering
Kleur: rood
Lengte: 240 mm
</t>
  </si>
  <si>
    <t xml:space="preserve">Metaalzaagblad Bahco 228-32-10P 150mm 32tpi a10st
Type: 228-32-10P Metaalzaagbladen voor 'Junior' zaagbeugels. Afmeting:
150mm Tandsteek: T32
</t>
  </si>
  <si>
    <t>Adapter
materiaal: RVS aansluitingen: buitendraad BSP-T 1" (conisch) binnendraad
1.1/2"
t.b.v. POLSAFE-aansluiting.
(zonder rubberring) voor montage met tape in een binnendraad zoals een
lassok. .</t>
  </si>
  <si>
    <t xml:space="preserve">RVS adapter, swivel  voor aansluitingen. Buitendraad BSP 2" binnendraad
2" (recht) met rubber onderring.
</t>
  </si>
  <si>
    <t xml:space="preserve">RVS adapter,swivel  voor aansluitingen. Buitendraad BSP 1½" binnendraad
1½" (recht) met rubber onderring.
</t>
  </si>
  <si>
    <t>Insteekmof, verlengd,
Materiaal: PVC-slagvast (CPE / PVC-A), klasse 33,
kleur: geel,
afmetingen: 250 mm.
Gastec QA-merk.</t>
  </si>
  <si>
    <t>Insteekmof, verlengd,
Materiaal: PVC-slagvast (CPE / PVC-A), klasse 33,
kleur: geel,
afmetingen: 315 mm.
Gastec QA-merk.</t>
  </si>
  <si>
    <t>Steunbus PE-buis
Materiaal: RVS
Diameter: 400
lengte: 225mm
Wanddikte buis: 22,7mm
Buisklasse: SDR 17,6</t>
  </si>
  <si>
    <t>Opzetstuk voor aanboorzadel, Polsafe,
Materiaal: PVC-slagvast (CPE / PVC-A),
kleur: geel,
afmetingen: 63 mm x 2" SDR17,6
Gastec Qa-merk.  Voldoet aan NEN-EN 1555-2.</t>
  </si>
  <si>
    <t xml:space="preserve">Afsluitplug voor POLSAFE aansluitopzetstuk 2" met kr-koppeling 63mm.
Materiaal: PVC-slagvast (CPE/PVC-A ).
</t>
  </si>
  <si>
    <t>Hogedruk stuurdrukregelaar,
Regelbereik: 2,41-6,90 bar (35-100 psig),
Pakkingen: nitrile,
Ingangsdruk maximaal: 41,4 bar (600 psig),
Aansluitingen: DN6 (1/4"),
Fisher, type: 61HP.</t>
  </si>
  <si>
    <t>Lagedruk (smalle proportionele band) stuurdrukregelaar,
Regelbereik: 0,35-1,03bar (5-15 psig),
Pakkingen: nitrile,
Ingangsdruk maximaal: 11 bar (160 psig),
Aansluitingen: DN6 (1/4"),
Fisher, type: 61LD.</t>
  </si>
  <si>
    <t>Overgangsstuk staal/PE, elektrolas PE100 110 mm SDR11 las staal L245N
(volgens NEN-EN-ISO 3183) 88,9 x 3,6 mm (DN80) met PE ommanteling
(volgens de DIN 30670).
Afdichting: O-ring NBR 70 rubber. Pmax is 8 bar.
Verpakt volgens de NTA 8828 en op de verpakking is duidelijk aangegeven
de volgende gegevens: Fabrikant, nominale buitendiameters, SDR-waarde,
naam van het materiaal (PE100), productiedatum of -code, keurmerk van de
certificerende instantie (indien van toepassing).</t>
  </si>
  <si>
    <t xml:space="preserve">Steunbus voor PE-buis buisklasse SDR 11, materiaal RVS, lengte 225 mm,
diameter 400 mm, wanddikte 36,4 mm.
</t>
  </si>
  <si>
    <t xml:space="preserve">Overgangsstuk staal/PE, elektrolas PE100 160 mm SDR11 las staal L245N
(volgens NEN-EN-ISO 3183) 168,3 x 4,5 mm (DN150) met PE ommanteling
(volgens de DIN 30670).
Afdichting: O-ring NBR 70 rubber. Pmax is 8 bar.
Verpakt volgens de NTA 8828 en op de verpakking is duidelijk aangegeven
de volgende gegevens: Fabrikant, nominale buitendiameters, SDR-waarde,
naam van het materiaal (PE100), productiedatum of -code, keurmerk van de
certificerende instantie (indien van toepassing).
</t>
  </si>
  <si>
    <t>Overgangsstuk staal/PE, elektrolas PE100 200 mm SDR11 las staal L245N
(volgens NEN-EN-ISO 3183) 219,1 x 5,0 mm (DN200) met PE ommanteling
(volgens de DIN 30670).
Afdichting: O-ring NBR 70 rubber. Pmax is 8 bar.
Verpakt volgens de NTA 8828 en op de verpakking is duidelijk aangegeven
de volgende gegevens: Fabrikant, nominale buitendiameters, SDR-waarde,
naam van het materiaal (PE100), productiedatum of -code, keurmerk van de
certificerende instantie (indien van toepassing).</t>
  </si>
  <si>
    <t xml:space="preserve">Aanboorzadel elektrolas toepasbaar als blaasgatzadel 63mm x 1½" polsafe,
materiaal: PE100 SDR11.
</t>
  </si>
  <si>
    <t xml:space="preserve">Aanboorzadel elektrolas toepasbaar als blaasgatzadel 75mm x 1½" polsafe,
materiaal: PE100 SDR11.
</t>
  </si>
  <si>
    <t xml:space="preserve">Aanboorzadel elektrolas toepasbaar als blaasgatzadel 110mm x 1½"
polsafe, materiaal: PE100 SDR11.
</t>
  </si>
  <si>
    <t xml:space="preserve">Aanboorzadel elektrolas toepasbaar als blaasgatzadel 125mm x 1½"
polsafe, materiaal: PE100 SDR11.
</t>
  </si>
  <si>
    <t>Aanboorzadel elektrolas toepasbaar als blaasgatzadel 160mm x 2" polsafe,
materiaal: PE100 SDR11.</t>
  </si>
  <si>
    <t xml:space="preserve">RVS adapter,swivel  voor aansluitingen. Buitendraad BSP 1¼" binnendraad
1½" (recht) met rubber onderring.
</t>
  </si>
  <si>
    <t xml:space="preserve">RVS adapter, swivel  voor aansluitingen. Buitendraad BSP 1" binnendraad
1½" (recht) met rubber onderring.
</t>
  </si>
  <si>
    <t>Onthardingszout 25 kilo
Van constante kwaliteit. Vrij van verontreinigingen en wordt hygiënisch
verpakt, omdat veel wateronthardings-systemen vaak ook drinkwater
leveren.Door de juiste structuur ontstaan geen verstoppingen in de
apparatuur. De grofheid bevindt zich tussen de 6 en 15 mm.Broxozout is
het bekendste regenereer zout in de markt en is toepasbaar in vrijwel
alle apparatuur. De kwaliteit van het zout bepaald in belangrijke mate
de efficiëntie van wateronthardingsinstallaties.
Broxozout 6 - 15 (25kg)
Zout voor waterontharding</t>
  </si>
  <si>
    <t>Knie elektrolas PE100 SDR11, 75 mm, 45 graden, 10 bar gas.</t>
  </si>
  <si>
    <t>Knie elektrolas PE100 SDR11, 75 mm, 90 graden, 10 bar gas.</t>
  </si>
  <si>
    <t xml:space="preserve">Talkvet Kleiss tbv holfrees 1004 (ALL)
Talkvet,
tbv holfrees type 1004 (P3-set gasloos aanboren),
blok a 250 gram.
</t>
  </si>
  <si>
    <t xml:space="preserve">Centreerboor Kleiss tbv holfrees 1004 (ALL)
Centreerboor,
tbv holfrees type 1004 (P3-set gasloos aanboren).
</t>
  </si>
  <si>
    <t xml:space="preserve">Aanboorkist Kleiss P3 gecomb t/m DN200 (ALL)
Combi-aanboorkist t/m DN200
Inhoud:
o Set O-ringen tbv LB493 type A+B (10310230)
o Basistoestel 493-B (10310300)
o Opb.kist staal met interieur BT-24P (10310380)
o Aanb.spil 20mm,VK16 opn 3/8 G L=510 (10310390)
o Ratel 16mm vierkant (10310510)
o Verloopnip.1 x 1.1/4 Bu x Bi (10310545)
o Aanboor app. P900 incl.voedingsbus 408018 (10500050)
o RVS spil L=400 opn. 3/8 g (10500082)
o Set O-ringen t.b.v. P900 (10500085)
o Wringijzer (10500090)
o Adapter AB (10500100)
o Adapter BG (10500110)
o Adapter BG 2" (10500120)
o Plaatjessleutel (11100010)
o Blok talkvet 250 gram (14700015)
</t>
  </si>
  <si>
    <t xml:space="preserve">Holfrees Kleiss AC 22,4mm tbv 1006HM (ALL)
Aanboorgereedschap: Holfrees voor asbest-cement
Kleiss type 1006 HM - 22,4 mm.
</t>
  </si>
  <si>
    <t xml:space="preserve">Holfrees Kleiss AC 29,5mm tbv 1006HM (ALL)
Aanboorgereedschap: Holfrees voor asbest-cement DN 50 - 125.
Kleiss type 1006HM - 29,5 mm x 3/8".
tbv: Opzetstuk 1.1/2"  Boortoestel LB 493 B
</t>
  </si>
  <si>
    <t xml:space="preserve">Holfrees Kleiss AC 39mm tbv 1006HM (ALL)
Aanboorgereedschap: Holfrees voor asbest-cement DN 150-200
Kleiss type 1006HM - 39,0 mm X 3/8"
tbv: opzetstuk 2"  boortoetstel LB 493 B
</t>
  </si>
  <si>
    <t xml:space="preserve">Holfrees Kleiss AC 49mm tbv 1006HM (ALL)
Aanboorgereedschap: Holfrees voor asbest-cement DN 250 -330
Kleiss type 1006HM - 49,0 mm x 3/8"
tbv: opzetstuk 2.1/2"  boortoestel LB 493 B.
</t>
  </si>
  <si>
    <t xml:space="preserve">Manometer Kleiss 0-160mbar tbv P meting (ALL)
Manometer,
schaal: 0-160 mbar
t.b.v. P-meting voor de handbalafsluiters.
</t>
  </si>
  <si>
    <t xml:space="preserve">Demontagewiggen 0101362013 3/4" 25mm set a 2st (ALL)
Demontagewiggen metaal 25 mm (set 2 stuks)
Geschikt voor: 3/4"
</t>
  </si>
  <si>
    <t xml:space="preserve">Demontagewiggen 0101362014 1" 32mm set a 2st (ALL)
Demontagewiggen metaal 32 mm (set 2 stuks)
Geschikt voor: 1"
</t>
  </si>
  <si>
    <t xml:space="preserve">Demontagewiggen 0101362015 1.1/4" 40mm set a 2st (ALL)
Demontagewiggen metaal 40 mm (set 2 stuks)
Geschikt voor: 1.1/4"
</t>
  </si>
  <si>
    <t xml:space="preserve">Demontagewiggen 0101362016 1.1/2" 50mm set a 2st (ALL)
Demontagewiggen metaal 50 mm (set 2 stuks)
Geschikt voor: 1.1/2"
</t>
  </si>
  <si>
    <t xml:space="preserve"> Bundels a 25 golfkartonnen vouwdozen,afm. 305x215x250mm., voor A4-form
.</t>
  </si>
  <si>
    <t>Vouwdoos 450x320x320mm.</t>
  </si>
  <si>
    <t>Dispenser voor gevouwen poetsdoeken
Tork 683102
Bestemd voor artikelnummers: 20030243 / 20030245.</t>
  </si>
  <si>
    <t xml:space="preserve">Multifunctionele werkdoek voor allerhande poetsklussen.
Absorbeert vloeistoffen, olien en vetten snel en
gemakkelijk.
Blijft ook nat sterk en is oplosmiddelbestendig.
120 stuks , 41,5 x 35,5 cm, grijs.
</t>
  </si>
  <si>
    <t xml:space="preserve">Zeer sterk. Voor gebruik met agressieve oplosmiddelen.
Blijft zacht, 105 doeken 41,5 x 35,5 cm.
</t>
  </si>
  <si>
    <t xml:space="preserve">Poetsdoek TorkMulti Pro-Box ds=210st.
Tork, 520372.
Doos a 210 stuks met vel-voor-vel dosering.
</t>
  </si>
  <si>
    <t>Poetsdoek wit 1-laags Tork Heavy Duty 180 ST/ROL 35,5x41,5cm 180 vel in
dispenserdoos. #2 TORK STRONG PRO-BOX 39CMX0,43MTR. 0001S</t>
  </si>
  <si>
    <t xml:space="preserve"> Transparante kunststof Pallet-stretch-folie
v machinaal verpakken,
Rollen van 1700 meter, 50 cm breed en 20 my dikte.</t>
  </si>
  <si>
    <t>Enkelzijdige cilinder Europrofiel 17mm,
standaard uitvoering,
Lengte: 30,5 mm (buitenzijde) + 9,5 mm (binnenzijde),
Cataloguslengte = 30 mm,
Code 1.6.x (E-grootverbruikers),
Inclusief 2 sleutels,
Fabr. Lips, Type Trivium S8461.</t>
  </si>
  <si>
    <t>Hangslot, beugel in RVS,
Beugelhoogte = 30mm,
Code 1.6.x (E-grootverbruik),
inclusief 2 sleutels.
Fabr: Lips, Type: Trivium S4051.</t>
  </si>
  <si>
    <t>Hangslot, beugel in RVS,
Beugelhoogte = 30mm,
Code 2.6 (gas-terrein)
Fabr: Lips, Type: Trivium S4051.</t>
  </si>
  <si>
    <t>Bedieningsstok 3364153010 1038mm v eindsluiting type KAP (ALL)
Bedieningsstok KAP Eindsluiting 1038MM
Tbv het verwijderen van de gele doppen
inclusief ring op 350mm van het einde, lengte=1038mm.</t>
  </si>
  <si>
    <t>Mespatroon  6A DIN 000
met middenmelder,
karakteristiek gG,
type LNH0006M</t>
  </si>
  <si>
    <t xml:space="preserve">Transformator kabel Ymvk 0.6/1kV ss 1 x 185mm2 Cu volgens NEN3617.
Ronde samengeslagen koper ader, klasse 5 (soepel).
Brandklasse Dca-s2,d2,a3.
Haspels met 50m.
</t>
  </si>
  <si>
    <t>Transformator kabel Ymvk 0.6/1kV ss 1 x 300mm2 Cu volgens NEN3617.
Ronde samengeslagen koper ader, klasse 5 (soepel).
Brandklasse Dca-s2,d2,a3.</t>
  </si>
  <si>
    <t xml:space="preserve">Veiligheidafslagklep, merk: IGA-Elster. Type: SSV serie 100 LP = lage
druk uitvoering. Flensaansluiting. Nominale diameter: DN100 / PN16 / 8
gats. Veerrange 141 t/m 200 mbar. Geschikt voor een druk van maximaal 19
Bar.
</t>
  </si>
  <si>
    <t xml:space="preserve">PE blaasgatzadel 125mm x 2bi" - 2.1/2bu".
</t>
  </si>
  <si>
    <t xml:space="preserve">GF Primofit gegalvaniseerde eindkap malleable koppeling  ¾".  Koppeling
is trekvast. NBR afdichtingen. Voldoet aan de EN 1555-2. Inclusief
steunbus.
</t>
  </si>
  <si>
    <t xml:space="preserve">GF Primofit gegalvaniseerde eindkap malleable koppeling  1".  Koppeling
is trekvast. NBR afdichtingen. Voldoet aan de EN 1555-2. Inclusief
steunbus.
</t>
  </si>
  <si>
    <t xml:space="preserve">GF Primofit gegalvaniseerde eindkap malleable koppeling  1¼".  Koppeling
is trekvast. NBR afdichtingen. Voldoet aan de EN 1555-2. Inclusief
steunbus.
</t>
  </si>
  <si>
    <t xml:space="preserve">GF Primofit gegalvaniseerde eindkap malleable koppeling  1½".  Koppeling
is trekvast. NBR afdichtingen. Voldoet aan de EN 1555-2. Inclusief
steunbus.
</t>
  </si>
  <si>
    <t xml:space="preserve">GF Primofit gegalvaniseerde eindkap malleable koppeling  2".  Koppeling
is trekvast. NBR afdichtingen. Voldoet aan de EN 1555-2. Inclusief
steunbus.
</t>
  </si>
  <si>
    <t>Schuifafsluiter,
materiaal: Nodulair gietijzer (GGG50),
uitwendig voorzien van Polyurethaan coating,
PE100 lasuiteinden SDR11,
drukklasse PN10,
Schuif: NBR gevulkaniseerd.
Aansluiting 160 mm (DN 150)
Lengte: 1372; hoogte: 376; spindelmaat: 19.</t>
  </si>
  <si>
    <t>Schuifafsluiter,
materiaal: Nodulair gietijzer (GGG50),
uitwendig voorzien van Polyurethaan coating,
PE100 lasuiteinden SDR11,
drukklasse PN10,
Schuif: NBR gevulkaniseerd,
Aansluiting 200 mm (DN 200)
Lengte: 1396; hoogte: 448; spindelmaat: 24.</t>
  </si>
  <si>
    <t>Schuifafsluiter,
materiaal: Nodulair gietijzer (GGG50),
uitwendig voorzien van Polyurethaan coating,
PE100 lasuiteinden SDR11,
drukklasse PN10,
Schuif: NBR gevulkaniseerd,
Aansluiting 250 mm (DN 250)
Lengte: 1464; hoogte: 562; spindelmaat: 27.</t>
  </si>
  <si>
    <t xml:space="preserve"> Waarschuwingstape,
Oranje met zwarte opdruk "BREEKBAAR/FRAGILE",
rollen van 50 mm. breed en 66 m lang.</t>
  </si>
  <si>
    <t xml:space="preserve">Steekbats schop 000 120cm m. steel (ALL)
Steekbats met steel
Lengte: 120 CM
Dul-hoogte = 55 cm.
</t>
  </si>
  <si>
    <t xml:space="preserve">Kunststof zegelkap met kliksluiting, 1-delig, geel tbv gas, Fabr: KZ;
Type: MIC 3 Dinwendig = 76; Binwendig = 28.2 mm; d1 = 57.5 mm; d2 = 42
mm; tbv: Gasmeter G6 met GM1" wartelmoer: G4/G6-gassetjes met nieuwe
telescopische beschermbuis.
</t>
  </si>
  <si>
    <t>Enkelzijdige cilinder Europrofiel 17mm,
verlengde uitvoering,
Lengte: 50,5 mm (buitenzijde) + 10 mm (binnenzijde),
Cataloguslengte = 50 mm,
Code 2.7.x (gas-grootverbruikers),
Inclusief 2 sleutels,
Fabr. Lips, Type Trivium S8461.</t>
  </si>
  <si>
    <t>Schuifafsluiter ST 323,9mm PN16 L-L.</t>
  </si>
  <si>
    <t>Beitel Bosch 2608690167 400mm punt SDS-max
Puntbeitel RTec Speed, zelfslijpend met 30% meer afnamecapaciteit. Voor
boor- en breekhamers met SDS-max opname.</t>
  </si>
  <si>
    <t xml:space="preserve">Koffer certicriptang metaal (ALL)
Koffer tbv Certicriptang
Materiaal: Metaal
</t>
  </si>
  <si>
    <t xml:space="preserve">Opzetstuk PVC-SV met KR-koppeling, 25 mm x 1.1/2" SDR 17,6 TV voor
PVC/SV-zadel 1.1/2". Voldoet aan NEN-EN 1555-2, POLSAFE, geel met gele
kap en gele wartelmoer.
</t>
  </si>
  <si>
    <t xml:space="preserve">Opzetstuk voor aanboorzadel, Polsafe, Materiaal: PVC-slagvast (CPE /
PVC-A), met KR-koppeling. Kleur: opzetstuk geel en wartel geel,
afmetingen: 32 mm x 1.1/2" SDR17,6 Gastec Qa-merk. Voldoet aan NEN-EN
1555-2.
</t>
  </si>
  <si>
    <t>Rechte overgangskoppeling, malleable,
van PE naar staal,
PE 32 SDR 17,6 TV x staal 1"
inclusief steunbus.
Voldoet aan NEN-EN 1555-2 (nieuwe uitvoering)
Georg Fischer.</t>
  </si>
  <si>
    <t xml:space="preserve">PE-buis, materiaal PE 80, diameter 32 mm x wanddikte 2,3 mm, rol van 50
meter, kleur volwandig geel, klasse SDR 17,6, QA-keurmerk, voldoet aan
NEN-EN 1555-2. Inclusief beschermdoppen.
</t>
  </si>
  <si>
    <t xml:space="preserve">PE-buis, materiaal PE 80, diameter 32 mm x wanddikte 2,3 mm, rol van 100
meter, kleur volwandig geel, klasse SDR 17,6, QA-keurmerk, voldoet aan
de NEN-EN 1555-2. Inclusief beschermdoppen.
</t>
  </si>
  <si>
    <t xml:space="preserve">PeKo dienstleiding PE 25 SDR17,6 mantelbuis met Cu 15x1.0mm.
Lengte 2,50 meter.
Buigzame PEKO met aangelaste trekvaste multifunctionele koppeling zonder
steunbusset, afgeschermd met blauwe dop.
Keur: QA.
</t>
  </si>
  <si>
    <t xml:space="preserve">PeKo dienstleiding PE 25 SDR 17,6 mantelbuis met Cu 15x1.0mm.
Lengte 5,00 meter.
Buigzame PEKO met aangelaste trekvaste multifunctionele koppeling zonder
steunbusset, afgeschermd met blauwe dop.
Keur: QA.
</t>
  </si>
  <si>
    <t>Steunbusset v PEKO 25 x 2,3 mm,
voor SDR 17,6 nieuwe situatie en SDR 11 oude situatie,
geel voor multifunctionele koppeling van HSF.</t>
  </si>
  <si>
    <t>Steunbusset v PEKO
32 x 2,3 mm (voor SDR 17,6 huidige situatie)
geel
(d.m.v.spuitgieten)</t>
  </si>
  <si>
    <t>Steunbusset v PEKO 25 x 2,0 mm,
(voor SDR 17,6 oude situatie),
rood voor multifunctionele koppeling van HSF.</t>
  </si>
  <si>
    <t>Steunbusset 32 x 2,0 mm,
SDR 17,6 rood,
voor multifunctionele koppeling van HSF.</t>
  </si>
  <si>
    <t>Steunbusset 32x3,0 SDR11 grijs,
voor multifunctionele koppeling van HSF.</t>
  </si>
  <si>
    <t xml:space="preserve">Splitswig VDE knipspread 250mm nylon (ALL)
Splitswig VDE Knipspreid
Materiaal: Nylon
Lengte: 250mm
</t>
  </si>
  <si>
    <t xml:space="preserve">Inbouwgarnituur AVK DN400, compleet met verlengspindel, werkende lengte
150 mm, schutbuis, spindel vierkant 32 mm, spindelkop geel, afdekkap,
geschikt voor schuifafsluiters.
</t>
  </si>
  <si>
    <t xml:space="preserve"> Zelfklevende paklijstenveloppen,
Neutraal (zonder opdruk),
formaat: A5,
Per doos van 1000 stuks.</t>
  </si>
  <si>
    <t xml:space="preserve"> Zelfklevende paklijstenveloppen,
Neutraal (zonder opdruk), formaat: A6,
Per doos van 1000 stuks.</t>
  </si>
  <si>
    <t>Regelmembraanhuis 402, revisieset totaal, leverancier code A8601402.
               VAK 620, revisieset minimum, leverancier code A8601701.</t>
  </si>
  <si>
    <t xml:space="preserve">F99-HT-REV-KIT-A
De complete revisieset
van de Fisher 99 regelaar inclusief afslagveiligheid "HT” en 61L
stuurkop.
Dit is een revisieset met zachte onderdelen ( rubbers / O-ringen etc. )
bestaande uit:
--------------------------------------------
REFERENCE DESIGNATION
============================================
1B883704022 GASKET
1B884102052 DIAPHRAGM
1A348004032 GASKET
1C997403032 DISC
1B8877X0012 GASKET
1B885202052 DIAPHRAGM
1B886002052 DIAPHRAGM
1B885506992 O-RING
1B8868000A2 RELAIS DISC HOLD ASSY
0P067204022 GASKET
1Q13417F012 DIAPHRAGM
1F914106992 O-RING
1Q13352F012 O-RING
1C997403032 DISC
1A348004032 GASKET
OP067204022 GASKET
1D687506992 O-RING
--------------------------------------------
Disc Valve 1C997403032,
Commoditycode 84819000
Statistical value.
</t>
  </si>
  <si>
    <t xml:space="preserve">F42-HT-REV
Revisieset voor alleen de aangebouwde HT-afslagveiligheid.
Compleet verpakt met onderstaande onderdelen,,
Afmetingen doos: 37x37x8cm, gewicht: 700 gram,,
,,,,
1A348004032 Fisher 99-42-HT, Gasket 61HT
1Q13417F012 Fisher 99-42-HT, Diaphragm HT, 6HT
1Q13352F012 Fisher 99-42-HT, O-ring 22HT (2x)
1D687506992 Fisher 99-42-HT, O-ring 16HT (2x)
1F914106992 Fisher 99-42-HT, O-ring 14HT
0P067204022 Fisher 99-42-HT, Gasket 33HT
1C997403032 Fisher 99-42-HT, Valve disc 24HT
.
</t>
  </si>
  <si>
    <t>Blokkeringsplaat klein Ms VDE</t>
  </si>
  <si>
    <t xml:space="preserve">Duimstok Schuil 8623 1mtr geel ABS
4-Delige duimstok met aan beide zijden een een goed afleesbare maat
aanduiding (cm- &lt;(&gt;&amp;&lt;)&gt; mm-verdeling). Het kunststof van een Schuil
duimstok
garandeert de volgende eigenschappen: recht, maatvast en sterk.©
</t>
  </si>
  <si>
    <t xml:space="preserve"> Luchtkussenenveloppen,
afmetingen: 27 x 36 cm,
doos van 50 stuks.</t>
  </si>
  <si>
    <t xml:space="preserve"> Luchtkussenenveloppen,
afmetingen: 18 x 26 cm,
doos van 100 stuks.</t>
  </si>
  <si>
    <t>Hangslot (NUON), beugel in RVS,
Beugelhoogte = 30mm,
Code 1.2 (Electra HS)
Fabr: Lips, Type: Trivium S4051.</t>
  </si>
  <si>
    <t xml:space="preserve">Autolader EX-TEC PM4 12V 82056 (ALL)
Autolader (mobiel) 12V voor EXTEC PM4 (A348502)
</t>
  </si>
  <si>
    <t>Enkelzijdige cilinder Europrofiel 17 mm,
standaard uitvoering,
Lengte: 40,5 mm (buitenzijde) + 9,5 mm (binnenzijde),
Cataloguslengte = 40 mm,
Code 1.2 (HS),
Fabr. Lips, Type Trivium S8461.</t>
  </si>
  <si>
    <t>Enkelzijdige cilinder Europrofiel 17 mm,
standaard uitvoering,
Lengte: 45,5 mm (buitenzijde) + 9,5 mm (binnenzijde),
Cataloguslengte = 45 mm,
Code 1.2 (HS),
Fabr. Lips, Type Trivium S8461.</t>
  </si>
  <si>
    <t>Enkelzijdige cilinder Europrofiel 17 mm,
standaard uitvoering,
Lengte: 50,5 mm (buitenzijde) + 9,5 mm (binnenzijde),
Cataloguslengte = 50 mm,
Code 1.2 (HS),
Fabr. Lips, Type Trivium S8461.</t>
  </si>
  <si>
    <t>Enkelzijdige cilinder Europrofiel 17 mm,
standaard uitvoering,
Lengte: 65,5 mm (buitenzijde) + 9,5 mm (binnenzijde),
Cataloguslengte = 50 mm,
Code 1.2 (HS),
Fabr. Lips, Type Trivium S8461.</t>
  </si>
  <si>
    <t>Enkelzijdige cilinder Europrofiel 17 mm,
standaard uitvoering,
Lengte: 70,5 mm (buitenzijde) + 9,5 mm (binnenzijde),
Cataloguslengte = 70 mm,
Code 1.2 (E-HOOGSPANNING),
Fabr. Lips, Type Trivium S8461.</t>
  </si>
  <si>
    <t>Enkelzijdige cilinder Europrofiel 17 mm,
standaard uitvoering,
Lengte: 40,5 mm (buitenzijde) + 9,5 mm (binnenzijde),
Cataloguslengte = 40 mm,
Code 1.3 (E-LAAGSPANNING)
Fabr. Lips, Type Trivium S8461.</t>
  </si>
  <si>
    <t>Enkelzijdige cilinder Europrofiel 17 mm,
standaard uitvoering,
Lengte: 45,5 mm (buitenzijde) + 9,5 mm (binnenzijde),
Cataloguslengte = 45 mm,
Code 1.3 (E-LAAGSPANNING)
Fabr. Lips, Type Trivium S8461.</t>
  </si>
  <si>
    <t>Enkelzijdige cilinder Europrofiel 17 mm,
standaard uitvoering,
Lengte: 50,5 mm (buitenzijde) + 9,5 mm (binnenzijde),
Cataloguslengte = 50 mm,
Code 1.3 (E-LAAGSPANNING)
Fabr. Lips, Type Trivium S8461.</t>
  </si>
  <si>
    <t>Enkelzijdige cilinder Europrofiel 17mm,
standaard uitvoering,
Lengte: 30,5 mm (buitenzijde) + 9,5 mm (binnenzijde),
Cataloguslengte = 30 mm,
Code 1.4 (E-terrein),
Fabr. Lips, Type Trivium S8462.</t>
  </si>
  <si>
    <t>Enkelzijdige cilinder Europrofiel 17 mm,
standaard uitvoering,
Lengte: 40,5 mm (buitenzijde) + 9,5 mm (binnenzijde),
Cataloguslengte = 40 mm,
Code 1.6.x (E-grootverbruikers),
Inclusief 2 sleutels,
Fabr. Lips, Type Trivium S8461.</t>
  </si>
  <si>
    <t>Enkelzijdige cilinder Europrofiel 17 mm,
standaard uitvoering,
Lengte: 45,5 mm (buitenzijde) + 9,5 mm (binnenzijde),
Cataloguslengte = 45 mm,
Code 1.6.x (E-grootverbruikers),
Inclusief 2 sleutels,
Fabr. Lips, Type Trivium S8461.</t>
  </si>
  <si>
    <t>Enkelzijdige cilinder Europrofiel 17 mm,
standaard uitvoering,
Lengte: 55,5 mm (buitenzijde) + 9,5 mm (binnenzijde),
Cataloguslengte = 55 mm,
Code 1.6.x (E-grootverbruikers),
Inclusief 2 sleutels,
Fabr. Lips, Type Trivium S8461.</t>
  </si>
  <si>
    <t>Enkelzijdige cilinder Europrofiel 17 mm,
standaard uitvoering,
Lengte: 65,5 mm (buitenzijde) + 9,5 mm (binnenzijde),
Cataloguslengte = 65 mm,
Code 1.6.x (E-grootverbruikers),
Inclusief 2 sleutels,
Fabr. Lips, Type Trivium S8461.</t>
  </si>
  <si>
    <t>Enkelzijdige cilinder Europrofiel 17 mm,
standaard uitvoering,
Lengte: 75,5 mm (buitenzijde) + 9,5 mm (binnenzijde),
Cataloguslengte = 75 mm,
Code 1.6.x (E-grootverbruikers),
Inclusief 2 sleutels,
Fabr. Lips, Type Trivium S8461.</t>
  </si>
  <si>
    <t>Enkelzijdige cilinder Europrofiel 17 mm,
verlengde uitvoering,
Lengte: 45,5 mm (buitenzijde) + 9,5 mm (binnenzijde),
Cataloguslengte = 45 mm,
Code 2.1 (gas),
Fabr. Lips, Type Trivium S8461.</t>
  </si>
  <si>
    <t>Enkelzijdige cilinder Europrofiel 17 mm,
verlengde uitvoering,
Lengte: 50,5 mm (buitenzijde) + 9,5 mm (binnenzijde),
Cataloguslengte = 50 mm,
Code 2.1 (gas),
Fabr. Lips, Type Trivium S8461.</t>
  </si>
  <si>
    <t>Enkelzijdige cilinder Europrofiel 17 mm,
verlengde uitvoering,
Lengte: 55,5 mm (buitenzijde) + 9,5 mm (binnenzijde),
Cataloguslengte = 55 mm,
Code 2.1 (gas),
Fabr. Lips, Type Trivium S8461.</t>
  </si>
  <si>
    <t>Enkelzijdige cilinder Europrofiel 17 mm,
verlengde uitvoering,
Lengte: 60,5 mm (buitenzijde) + 9,5 mm (binnenzijde),
Cataloguslengte = 60 mm,
Code 2.1 (gas),
Fabr. Lips, Type Trivium S8461.</t>
  </si>
  <si>
    <t>Enkelzijdige cilinder Europrofiel 17 mm,
verlengde uitvoering,
Lengte: 30,5 mm (buitenzijde) + 9,5 mm (binnenzijde),
Cataloguslengte = 30 mm,
Code 2.2 (GASUNIE),
Fabr. Lips, Type Trivium S8461.</t>
  </si>
  <si>
    <t>Enkelzijdige cilinder Europrofiel 17 mm,
verlengde uitvoering,
Lengte: 40,5 mm (buitenzijde) + 9,5 mm (binnenzijde),
Cataloguslengte = 40 mm,
Code 2.2 (GASUNIE),
Fabr. Lips, Type Trivium S8461.</t>
  </si>
  <si>
    <t>Enkelzijdige cilinder Europrofiel 17 mm,
verlengde uitvoering,
Lengte: 45,5 mm (buitenzijde) + 9,5 mm (binnenzijde),
Cataloguslengte = 45 mm,
Code 2.2 (GASUNIE),
Fabr. Lips, Type Trivium S8461.</t>
  </si>
  <si>
    <t>Enkelzijdige cilinder Europrofiel 17 mm,
verlengde uitvoering,
Lengte: 50,5 mm (buitenzijde) + 9,5 mm (binnenzijde),
Cataloguslengte = 50 mm,
Code 2.2 (GASUNIE),
Fabr. Lips, Type Trivium S8461.</t>
  </si>
  <si>
    <t>Enkelzijdige cilinder Europrofiel 17 mm,
verlengde uitvoering,
Lengte: 55,5 mm (buitenzijde) + 9,5 mm (binnenzijde),
Cataloguslengte = 55 mm,
Code 2.2 (GASUNIE),
Fabr. Lips, Type Trivium S8461.</t>
  </si>
  <si>
    <t>Enkelzijdige cilinder Europrofiel 17 mm,
verlengde uitvoering,
Lengte: 60,5 mm (buitenzijde) + 9,5 mm (binnenzijde),
Cataloguslengte = 60 mm,
Code 2.2 (GASUNIE),
Fabr. Lips, Type Trivium S8461.</t>
  </si>
  <si>
    <t>Enkelzijdige cilinder Europrofiel 17 mm,
verlengde uitvoering,
Lengte: 65,5 mm (buitenzijde) + 9,5 mm (binnenzijde),
Cataloguslengte = 65 mm,
Code 2.2 (GASUNIE),
Fabr. Lips, Type Trivium S8461.</t>
  </si>
  <si>
    <t>Enkelzijdige cilinder Europrofiel 17 mm,
verlengde uitvoering,
Lengte: 70,5 mm (buitenzijde) + 9,5 mm (binnenzijde),
Cataloguslengte = 70 mm,
Code 2.2 (GASUNIE),
Fabr. Lips, Type Trivium S8461.</t>
  </si>
  <si>
    <t>Enkelzijdige cilinder Europrofiel 17 mm,
verlengde uitvoering,
Lengte: 80,5 mm (buitenzijde) + 9,5 mm (binnenzijde),
Cataloguslengte = 80 mm,
Code 2.2 (GASUNIE),
Fabr. Lips, Type Trivium S8461.</t>
  </si>
  <si>
    <t>Dubbelzijdige cilinder Europrofiel 17mm,
standaard uitvoering,
Lengte: 30,5 mm (buitenzijde) + 30,5 mm (binnenzijde),
Cataloguslengte = 60 mm,
Code 2.6 (Gas-terrein),
Fabr. Lips, Type Trivium S8462.</t>
  </si>
  <si>
    <t>Enkelzijdige cilinder Europrofiel 17mm,
standaard uitvoering,
Lengte: 30,5 mm (buitenzijde) + 9,5 mm (binnenzijde),
Cataloguslengte = 30 mm,
Code 2.6 (Gas-terrein),
Fabr. Lips, Type Trivium S8462.</t>
  </si>
  <si>
    <t>Enkelzijdige cilinder Europrofiel 17mm,
verlengde uitvoering,
Lengte: 55,5 mm (buitenzijde) + 10 mm (binnenzijde),
Cataloguslengte = 55 mm,
Code 2.7.x (gas-grootverbruikers),
Inclusief 2 sleutels,
Fabr. Lips, Type Trivium S8461.</t>
  </si>
  <si>
    <t>Enkelzijdige cilinder Europrofiel 17 mm,
standaard uitvoering,
Lengte: 30,5 mm (buitenzijde) + 9,5 mm (binnenzijde),
Cataloguslengte = 30 mm,
Code 2.8 (Gas-Randapparatuur GasOntvangstStations),
Fabr. Lips, Type Trivium S8462.</t>
  </si>
  <si>
    <t>Accu Bosch 2607335683 12V-2,6Ah NiMH
12 V O-accupack
Toepassing: HD Accucapaciteit 2.6Ah
Cellentechnologie: NiMH
Accu 12V v Bosch schroefboormachine
Bosch nr: 2607335683.</t>
  </si>
  <si>
    <t xml:space="preserve">Knie malleable, Nodulair Gietijzer, verzinkt, Voor verbinding Staal
onbekleed 1" x PE 32 SDR17,6 (met steunbus) NBR-afdichtingen. Gas:
Staal-zijde PN10 20-70oC / PE-zijde PN5 20-40oC Water: Staal-zijde PN16
20-80oC / PE-zijde PN16 20-40oC GF - Primofit, type 2922.
</t>
  </si>
  <si>
    <t xml:space="preserve">Aftaksnoer MST PW5 m zekering en aardlek (ALL)
Veiligheidskabel om op veilige wijze spanning af te takken. 16 A; 230 V;
30 mA.  Met zekering en aardlek.
Tbv aansluiting netvoeding vanuit de meterkast.
</t>
  </si>
  <si>
    <t>Enkelpolige overneemaarde voor SVS.</t>
  </si>
  <si>
    <t xml:space="preserve">Sluitring DIN125A M27 28x50x4 RVS-A2 a50st (ALL)
Sluitring DIN125A  Afmeting: M27 28x50x4 Opp. Bescherming:  RVS-A2
Verpakkingseenheid: doos a50st
</t>
  </si>
  <si>
    <t>Kabel VO-YMvKas 0.6/1kV - 2 x 2,5 mm2 Cu rm + as 2,5 volgens NEN3617.
Aderkleuren blauw en bruin.
Brandklasse Dca-s2,d2,a3.
Haspels met 500m.</t>
  </si>
  <si>
    <t xml:space="preserve">Kabelmantelzaag Seher Dick 1460 v. kabel (ALL)
Kabelmantelzaag Dick 1460
Lengte 370mm
</t>
  </si>
  <si>
    <t xml:space="preserve"> Transparante gripzakken zonder schrijfvlak.
afmetingen: 16 x 23 cm (interne maat),
Doos van 1000 zakjes.</t>
  </si>
  <si>
    <t xml:space="preserve"> Transparante gripzakken met witte schrijfvlakken,
afmetingen: 12 x 18 cm (interne maat),
Doos van 1000 zakjes.</t>
  </si>
  <si>
    <t>Buisklem RVS,
aansluitmaat: 88 -110 mm,
Breedte klem 300 mm.
Incl. beleidssticker.</t>
  </si>
  <si>
    <t>Éénfase statische kWh meter,
voor directe aansluiting,
230V, 50 Hz, 10(85)A of 0,5-10(85)A.
Telwerk bestaat uit:
- 2 registers voor LDN/ LT HT;
- 2 registers voor ODN/ LT HT,
- kWhregistratie.
Voorzien van drukknop voor het uitlezen van standen.
Volgens de algemene eisen ,
NEN-EN-IEC 62053-21 of NEN-EN-50470-1 en3.
Gegevensuitwisseling voor meteraflezing,
NEN-EN-IEC 62056-21.
Voorzien van barcodering volgens Nuon specificaties,
inclusief extra afneembare sticker.
Af te leveren met gebruikers-instructiekaart,
voor de meteruitlezing.</t>
  </si>
  <si>
    <t>Kabelbundelband,
203 x 3,6 mm, transparant (zak a 100 st)
max. diameter = 50 mm.</t>
  </si>
  <si>
    <t xml:space="preserve">Stalen stop met vierkant, 2" conische gasdraad, gegalvaniseerd.
</t>
  </si>
  <si>
    <t>Gasdrukregelaar met veiligheidafslagklep, merk IGA.
Type 1843-B2-L.
Aansluiting binnendraad BSP 3/4". Spuitstuk 3/16".
Inbouwlengte 100mm. Inlaatdruk maximaal 8Bar.
Ingeregeld voor een uitlaatdruk van 100mbar. Capaciteit 62m3/h.</t>
  </si>
  <si>
    <t>Sticker "Voorzichtig met asbest"
Formaat  : CA. 52 x 105 mm
Verpakking: Rollen van 250 stuks
Fabrikant: Brady; Type: STN703</t>
  </si>
  <si>
    <t xml:space="preserve">Manometer Kleiss P3 1 - 3bar (ALL)
Manometer, schaal: -1 tot 3 bar, Kleiss, leveranciersartikelnummer:
12002045. LET OP: Manometer dient met LOCTITE te worden gemonteerd.
</t>
  </si>
  <si>
    <t xml:space="preserve">Gasgebrekklep, aansluiting: flens.  WMG6-F (27608). Inclusief
driehoekige flens-pakking zonder filter. Nominale belasting 7,5 m3/h a
ardgas aanspreekdruk 15 mbar. Nominale druk 25 mbar. Blauwe dop.
</t>
  </si>
  <si>
    <t>Draaiveldmeter Fluke 9040
Type: Draaiveldmeter 750V
Un = 890/400 Vac.
Ume = 40 ... 700 Vac.
fn = 15 ... 400 Hz.
L1 = L2 = L3 = 1 mA / 700 V.
9040 Phase Rotation Indicator.
Let op! wordt geleverd zonder kortsluitvaste testpennen. (artikelnummer
kortsluitvaste testpen 20036919).</t>
  </si>
  <si>
    <t>Mof, overschuif PVC. Slagvast 125mm.</t>
  </si>
  <si>
    <t>Spie, verloop, PVC slagvast, 125x110mm.</t>
  </si>
  <si>
    <t xml:space="preserve">Bitset Magna 221412 1/4" 7-delig torx
Magna XH classic bitset  6 x Torx 1 x Bithouder
</t>
  </si>
  <si>
    <t>Inbussleutel stift T-model VDE 5x120mm; Inbussleutel zeskant 5mm, lengte
ca. 120mm in T-model, T-greep 90 á 100mm. Volgens norm NEN-EN-IEC 60900,
(dompelisolatie) (VDE). Handgreep dient volledig gesloten te zijn. Voor
werkzaamheden aan spanningvoerende delen tot 1.000 V AC en 1500V DC</t>
  </si>
  <si>
    <t xml:space="preserve">Commandoventiel, merk: Combifit.
Type: SP-2000-HD. Veerrange 1 tot 3Bar.
</t>
  </si>
  <si>
    <t xml:space="preserve">Commandoventiel, merk: Combifit.
Type: SP-2000-HD. Veerrange 3 tot 8Bar.
</t>
  </si>
  <si>
    <t xml:space="preserve">Meetsnoerset d=4mml=2mtr zw,bl.ge.ro a 4st
-
</t>
  </si>
  <si>
    <t>Kortsluitindicator,
10 kV, 360 A,
inclusief beugel 25 - 35 mm.
Merwe, type: K 24.02.13 - 360.</t>
  </si>
  <si>
    <t>Kortsluitindicator,
10 kV, 360 A,
inclusief beugel 15 - 25 mm.
Merwe, type: K 24.02.12 - 360.</t>
  </si>
  <si>
    <t>Kortsluitindicator,
10 kV, 360 A,
inclusief beugel  5 - 15 mm.
Merwe, type: K 24.02.11 - 360.</t>
  </si>
  <si>
    <t>Kortsluitindicator,
10 kV, 150 A,
inclusief beugel  5 - 15 mm.
Merwe, type: K 24.02.11 - 150.</t>
  </si>
  <si>
    <t>Kortsluitindicator,
10 kV, 150 A,
inclusief beugel 15 - 25 mm.
Merwe, type: K 24.02.12 - 150.</t>
  </si>
  <si>
    <t>Kortsluitindicator,
10 kV, 150 A,
inclusief beugel 25 - 35 mm.
Merwe, type: K 24.02.13 - 150.</t>
  </si>
  <si>
    <t xml:space="preserve">Mof verloop elektrolas PE100 SDR11, 10 bar gas, 75 mm x 63 mm.
</t>
  </si>
  <si>
    <t xml:space="preserve">Mof verloop elektrolas PE100 SDR11, 10 bar gas,  90 mm x 75 mm.
</t>
  </si>
  <si>
    <t xml:space="preserve">Voorlaskraag lang, materiaal PE100 - SDR11, diam 250 mm, lengte
spie-eind: 146 mm, verlengd met 500 mm zwarte PE100 SDR11 buis (volgens
NEN EN 1555-2) tbv Elektrolas/stuiklas.
</t>
  </si>
  <si>
    <t xml:space="preserve">Voorlaskraag lang, materiaal PE100 - SDR11, diam 315 mm, lengte
spie-eind: 165 mm, verlengd met 500 mm zwarte PE100 SDR11 buis (volgens
NEN EN 1555-2) tbv Elektrolas/stuiklas.
</t>
  </si>
  <si>
    <t xml:space="preserve">Voorlaskraag lang, materiaal PE100 - SDR11, diam 400 mm, lengte
spie-eind: 192 mm, verlengd met 500 mm oranje PE100 SDR11 buis (volgens
NEN EN 1555-2) tbv Elektrolas/stuiklas.
</t>
  </si>
  <si>
    <t xml:space="preserve">PE-buis, materiaal PE 80, diameter 40 mm x wanddikte 2,3 mm, rol van 100
meter, kleur volwandig geel, klasse SDR 17,6, QA-keurmerk, voldoet aan
de NEN-EN 1555-2. Inclusief beschermdoppen.
</t>
  </si>
  <si>
    <t xml:space="preserve">Spuitgegoten bocht, PE100 - SDR17.6, dia. 200 mm, 22,5 graden, beide
zijden verlengd met 500 mm geelgestreepte PE100 SDR17,6 buis (volgens
NEN EN 1555-2), tbv Elektrolas/stuiklas
</t>
  </si>
  <si>
    <t xml:space="preserve">Spuitgegoten bocht, PE100 - SDR17.6, dia. 200 mm, 30 graden, beide
zijden verlengd met 500 mm geelgestreepte PE100 SDR17,6 buis, tbv
Elektrolas/stuiklas
</t>
  </si>
  <si>
    <t xml:space="preserve">Spuitgegoten bocht, PE100 - SDR17.6, dia. 200 mm, 45 graden, beide
zijden verlengd met 500 mm geelgestreepte PE100 SDR17,6 buis (volgens
NEN EN 1555-2), tbv Elektrolas/stuiklas
</t>
  </si>
  <si>
    <t xml:space="preserve">Spuitgegoten bocht, PE100 - SDR17.6, dia. 200 mm, 90 graden, beide
zijden verlengd met 500 mm geelgestreepte PE100 SDR17,6 buis (volgens
NEN EN 1555-2), tbv Elektrolas/stuiklas
</t>
  </si>
  <si>
    <t xml:space="preserve">Spuitgegoten bocht, PE100 - SDR17,6, dia. 250 mm, 22,5 graden, beide
zijden verlengd met 500 mm geelgestreepte PE100 SDR17,6 buis (volgens
NEN EN 1555-2), tbv Elektrolas/stuiklas
</t>
  </si>
  <si>
    <t xml:space="preserve">Spuitgegoten bocht, PE100 - SDR17.6, dia. 250 mm, 45 graden, beide
zijden verlengd met 500 mm geelgestreepte PE100 SDR17,6 buis (volgens
NEN EN 1555-2), tbv Elektrolas/stuiklas
</t>
  </si>
  <si>
    <t xml:space="preserve">Spuitgegoten bocht, PE100 - SDR17.6, dia. 250 mm, 90 graden, beide
zijden verlengd met 500 mm geelgestreepte PE100 SDR17,6 buis (volgens
NEN EN 1555-2), tbv Elektrolas/stuiklas
</t>
  </si>
  <si>
    <t xml:space="preserve">Spuitgegoten bocht, PE100 - SDR17,6, dia. 315 mm, 22,5 graden, beide
zijden verlengd met 500 mm geelgestreepte PE100 SDR17,6 buis (volgens
NEN EN 1555-2), tbv Elektrolas/stuiklas
</t>
  </si>
  <si>
    <t xml:space="preserve">Spuitgegoten bocht, PE100 - SDR17.6, dia. 315 mm, 45 graden, beide
zijden verlengd met 500 mm geelgestreepte PE100 buis (volgens NEN EN
1555-2), tbv Elektrolas/stuiklas
</t>
  </si>
  <si>
    <t xml:space="preserve">Spuitgegoten bocht, PE100 - SDR17.6, dia. 315 mm, 90 graden, beide
zijden verlengd met 500 mm geelgestreepte PE100 SDR17,6 buis (volgens
NEN EN 1555-2), tbv Elektrolas/stuiklas
</t>
  </si>
  <si>
    <t xml:space="preserve">Spuitgegoten bocht, PE100 - SDR17.6, dia. 400 mm, 30 graden, beide
zijden verlengd met 500 mm geelgestreepte PE100 SDR17,6 buis (volgens
NEN EN 1555-2), tbv Elektrolas/stuiklas
</t>
  </si>
  <si>
    <t xml:space="preserve">Spuitgegoten bocht, PE100 - SDR17.6, dia. 400 mm, 45 graden, beide
zijden verlengd met 500 mm geelgestreepte PE100 SDR17,6 buis (volgens
NEN EN 1555-2), tbv Elektrolas/stuiklas
</t>
  </si>
  <si>
    <t xml:space="preserve">Spuitgegoten bocht, PE100 - SDR17.6, dia. 400 mm, 90 graden, beide
zijden verlengd met 500 mm geelgestreepte PE100 SDR17,6 buis (volgens
NEN EN 1555-2), tbv Elektrolas/stuiklas
</t>
  </si>
  <si>
    <t xml:space="preserve">Eindkap, PE100 - SDR17.6, dia. 250 mm, spuitgegoten kap zwart, verlengd
met 500 mm geelgestreepte PE100 SDR17,6 buis, tbv Elektrolas/stuiklas.
</t>
  </si>
  <si>
    <t xml:space="preserve">Eindkap, PE100 - SDR17,6, dia. 315 mm, spuitgegoten kap zwart, verlengd
met 500 mm geelgestreepte PE100 SDR17,6 buis, tbv Elektrolas/stuiklas.
</t>
  </si>
  <si>
    <t xml:space="preserve">Eindkap, PE100 - SDR17,6, dia. 400 mm, spuitgegoten kap zwart, verlengd
met 500 mm geelgestreepte PE100 SDR17,6 buis, tbv Elektrolas/stuiklas.
</t>
  </si>
  <si>
    <t xml:space="preserve">Uitgehalst T-stuk, PE100 - SDR17.6, dia. 315 x 110 mm, 90 graden,
gemaakt uit geelgestreepte PE100 SDR 17,6 buis, tbv Elektrolas/stuiklas.
</t>
  </si>
  <si>
    <t xml:space="preserve">Uitgehalst T-stuk, PE100 - SDR17.6, dia. 315 x 250 mm, 90 graden,
gemaakt uit geelgestreepte PE100 SDR 17,6 buis, tbv Elektrolas/stuiklas.
</t>
  </si>
  <si>
    <t xml:space="preserve">Spuitgegoten T-stuk, PE100 - SDR17.6, dia. 315 mm, 90 graden, drie
zijden verlengd met 500 mm geelgestreepte PE 100 SDR17,6 buis(volgens
NEN EN 1555-2) tbv Elektrolas/stuiklas.
</t>
  </si>
  <si>
    <t xml:space="preserve">Spuitgegoten T-stuk, PE100 - SDR17.6, dia. 400 mm, 90 graden, drie
zijden verlengd met 500 mm geelgestreepte PE 100 SDR17,6 buis(volgens
NEN EN 1555-2) tbv Elektrolas/stuiklas.
</t>
  </si>
  <si>
    <t xml:space="preserve">Verloopstuk, lang,
PE100 - SDR11,
dia. 75 x 63 mm,
t.b.v. elektrolas.
</t>
  </si>
  <si>
    <t xml:space="preserve">Verloop spie,
Materiaal spuitgegoten: PE100 - SDR 11,
Diam. 110 x 75mm,
(volgens NEN EN 1555-2), tbv Elektrolas.
</t>
  </si>
  <si>
    <t xml:space="preserve">Verloop PE100 - SDR 17,6, dia. 250 x 160 mm, beide zijden verlengd met
500 mm geelgestreepte PE100 SDR17,6 buis, (volgens NEN EN 1555-2) ,tbv
Elektrolas/stuiklas.
</t>
  </si>
  <si>
    <t xml:space="preserve">Verloop PE100 - SDR 17,6, dia. 400 x 315 mm, beide zijden verlengd met
500 mm geelgestreepte PE100 SDR17,6 buis, (volgens NEN EN 1555-2) ,tbv
Elektrolas/stuiklas.
</t>
  </si>
  <si>
    <t xml:space="preserve">Uitgehalst T-stuk, PE100 - SDR17.6, dia. 250 x  75 mm, 90 graden,
gemaakt uit geelgestreepte PE100 SDR 17,6 buis, tbv Elektrolas/stuiklas.
</t>
  </si>
  <si>
    <t xml:space="preserve">Spuitgegoten bocht, PE100 - SDR11, dia. 200 mm, 30 graden, beide zijden
verlengd met 500 mm zwarte PE100 SDR11 buis (volgens NEN EN 1555-2), tbv
Elektrolas/stuiklas
</t>
  </si>
  <si>
    <t>Spuitgegoten bocht, PE100 - SDR11, dia. 200 mm, 45 graden, beide zijden
verlengd met 500 mm zwarte PE100 SDR11 buis (volgens NEN EN 1555-2), tbv
Elektrolas/stuiklas</t>
  </si>
  <si>
    <t xml:space="preserve">Spuitgegoten bocht, PE100 - SDR11, dia. 200 mm, 90 graden, beide zijden
verlengd met 500 mm zwarte PE100 SDR11 buis  (volgens NEN EN 1555-2),
tbv Elektrolas/stuiklas
</t>
  </si>
  <si>
    <t xml:space="preserve">Lange voorlaskraag, PE100 - SDR17,6, dia 250 mm, lengte spie-eind: 146
mm. Verlengd met 500 mm geelgestreepte PE100 SDR17,6 buis, (volgens NEN
EN 1555-2) ,tbv Elektrolas/stuiklas.
</t>
  </si>
  <si>
    <t xml:space="preserve">Lange voorlaskraag, PE100 - SDR17,6, dia 315 mm, lengte spie-eind: 165
mm. Verlengd met 500 mm geelgestreepte PE100 SDR17,6 buis, (volgens NEN
EN 1555-2) ,tbv Elektrolas/stuiklas.
</t>
  </si>
  <si>
    <t xml:space="preserve">Lange voorlaskraag, PE100 - SDR17,6, dia 400 mm, lengte spie-eind: 192
mm. Verlengd met 500 mm geelgestreepte PE100 SDR17,6 buis, (volgens NEN
EN 1555-2) ,tbv Elektrolas/stuiklas.
</t>
  </si>
  <si>
    <t xml:space="preserve">PE-buis, materiaal PE80, diameter 50x mm x wanddikte 2,9 mm rol van 100
meter, kleur volwandig geel, klasse SDR 17,6, QA-keurmerk, voldoet aan
NEN-EN 1555-2. Inclusief beschermdoppen.
</t>
  </si>
  <si>
    <t xml:space="preserve">PE-buis Materiaal : PE 100 Afmetingen: diameter 200 x wanddikte 11,4 mm,
in lengte van 12 meter.
Kleur : zwart met 4 gele strepen in de lengterichting.
Klasse : SDR 17,6.
QA-keurmerk, voldoet aan NEN-EN 1555-2 inclusief beschermdoppen.
</t>
  </si>
  <si>
    <t xml:space="preserve">PE-buis Materiaal : PE 100 Afmetingen: diameter 400 x wanddikte 22,7 mm,
in lengte van 12 meter.
Kleur : zwart met 4 gele strepen in de lengterichting.
Klasse : SDR 17,6.
QA-keurmerk, voldoet aan NEN-EN 1555-2 inclusief beschermdoppen.
</t>
  </si>
  <si>
    <t xml:space="preserve">PE-buis, materiaal PE 80, diameter 25 mm x wanddikte 2,3 mm, rol van 50
meter, kleur volwandig geel, klasse SDR 17,6, QA-keurmerk, voldoet aan
NEN-EN 1555-2. Inclusief beschermdoppen.
</t>
  </si>
  <si>
    <t xml:space="preserve">PE-buis, materiaal PE 80, diameter 40 mm x wanddikte 2,3 mm, rol van 50
meter, kleur volwandig geel, klasse SDR 17,6, QA-keurmerk, voldoet aan
NEN-EN 1555-2. Inclusief beschermdoppen.
</t>
  </si>
  <si>
    <t xml:space="preserve">PE-buis, materiaal PE 80, diameter 50 mm x wanddikte 2,9 mm, rol van 50
meter, kleur volwandig geel, klasse SDR 17,6, QA-keurmerk, voldoet aan
NEN-EN 1555-2. Inclusief beschermdoppen.
</t>
  </si>
  <si>
    <t>Aardelectrode
diameter: 12,7 mm, lang 1,5 meter.</t>
  </si>
  <si>
    <t>Koppeling voor aardelectrode
aansluitmaat 12,7 mm.</t>
  </si>
  <si>
    <t>HDPE kabelbeschermbuis,
binnenzijde gegroefd in langsrichting,
kleur: groen,
afmetingen: 40 x 32,8 mm.
Lengte stempeling in mtr. op buitenzijde.
Opdruk: Alliander.
Ingekocht in haspels van 950 meter.</t>
  </si>
  <si>
    <t xml:space="preserve">Krimpkous met lijmlaag, in lengtes van 1 meter, afmeting 10/3.
</t>
  </si>
  <si>
    <t xml:space="preserve">Krimpkous met lijmlaag, in lengtes van 1 meter, afmeting 25/8.
</t>
  </si>
  <si>
    <t>Sticker, weerbestendig, 2 kleuren,
NEN 3011:1986 Veiligheidskleuren en tekens
Richtlijn 1999/92/EG (ATEX 137)
Driehoekig
zwarte letters op gele achtergrond met zwarte rand
(gele kleur &gt;50% van bord oppervlak)
afmetingen driehoek 100 x 100  mm (b x h)
rand 8 mm
letters "EX".
LET OP: Verpakt (geseald) per 20 st.</t>
  </si>
  <si>
    <t>Sticker, weerbestendig, 2 kleuren,
NEN 3011:1986 Veiligheidskleuren en tekens
Richtlijn 1999/92/EG (ATEX 137)
Driehoekig
zwarte letters op gele achtergrond met zwarte rand
(gele kleur &gt;50% van bord oppervlak)
afmetingen driehoek 200 x 200  mm (b x h)
rand 16 mm
letters "EX".
LET OP: Verpakt (geseald) per 20 st.</t>
  </si>
  <si>
    <t>Metaaldetector RD312 – Radiodetection- is om grote voorwerpen zoals put-
en mangatdeksels op te sporen.
De RD312 is lichtgewicht en eenvoudig te gebruiken. De gevoeligheid kan
handmatig of automatisch worden ingesteld. De positie wordt aangegeven
door een toon met variërende hoogte, waarbij de hoogste toon de maximale
reactie over het doel aangeeft. Robuuste constructie uit stootvast ABS
en aluminium en waterbestendig volgens IP54. Weegt slechts 1 kg en is
zeer gebruiksvriendelijk. De RD312 werkt 30 uur lang met één 9V
alkalinebatterij.</t>
  </si>
  <si>
    <t xml:space="preserve">Puls-echometer #Radiodetec T1660-LSnet
De Lexxi T1660 is een nauwkeurige, eenvoudig te gebruiken
kabelfoutlocator voor het traceren van eerstelijnsfouten.
Het kan gebruikt worden voor verschillende toepassingen, waaronder
telecommunicatie, kabel-tv en zelfs onder spanning staande 3-fase LV-
voedingskabels via het bijgeleverde Categorie IV blokkeerfilter.
Nauwkeurigheid: 1%.
Resolutie: 1%.
Maximaal bereik: 6 km.
Kleurenscherm: 3,5? 256 x 328 pixel.
Standaardaccessoires meegeleverd met Lexxi T1660:
Stroomblokkeerfilter, 25 Ohm, Cat IV - 10/T1660-BLOCK-MOD.
Aansluitkabels, getwist tweeaderig, krokodillenklemmen - 10/T1660-TP-
ALLIG.
Lexxi T16600-tas, transparante afdekking - 10/T1660-BAG.
</t>
  </si>
  <si>
    <t xml:space="preserve">Accu Bosch 10,8 volt accu met 2,0 Ah. Bosch flexible Power System –
accu passend voor alle machines van een voltklasse.
Extreem robuust – functioneert nog perfect na een val van 3 meter hoog
op beton.
Licht gewicht voor nog aangenamer werken,
vooral bij bovenhandse toepassingen.
Type: 1600Z0002X
Technische gegevens:
- Accuspanning: 10,8 V.
- Accucapaciteit: 2 Ah.
- Gewicht: 175 g.
</t>
  </si>
  <si>
    <t xml:space="preserve">Handtapset Dormer E119 G 1/8" HSS 2-delig(s-53)
HSS, 2-delig. Rechtse draad, gas (BSP). Voor blinde- en doorlopende
gaten. Draaddiepte 1,5 x diameter.DIN 5157.
</t>
  </si>
  <si>
    <t xml:space="preserve">Handtapset Dormer E119 1/4"BSP HSS 2-delig(s-53)
HSS, 2-delig. Rechtse draad, gas (BSP). Voor blinde- en doorlopende
gaten. Draaddiepte 1,5 x diameter.DIN 5157.
</t>
  </si>
  <si>
    <t xml:space="preserve">Handtapset Dormer E119 G 3/8" HSS 2-delig(s-53)
HSS, 2-delig. Rechtse draad, gas (BSP). Voor blinde- en doorlopende
gaten. Draaddiepte 1,5 x diameter.DIN 5157.
</t>
  </si>
  <si>
    <t xml:space="preserve">Handtapset Dormer E119 G 1/2" HSS 2-delig(s-53)
HSS, 2-delig. Rechtse draad, gas (BSP). Voor blinde- en doorlopende
gaten. Draaddiepte 1,5 x diameter. DIN 5157.
</t>
  </si>
  <si>
    <t xml:space="preserve">Handtapset Dormer E119 G 3/4" HSS 2-delig(s-53)
HSS, 2-delig. Rechtse draad, gas (BSP). Voor blinde- en doorlopende
gaten. Draaddiepte 1,5 x diameter. DIN 5157.
</t>
  </si>
  <si>
    <t xml:space="preserve">Handtapset Dormer E119 G 1" HSS 2-delig(s-53)
HSS, 2-delig. Rechtse draad, gas (BSP). Voor blinde- en doorlopende
gaten. Draaddiepte 1,5 x diameter. DIN 5157.
</t>
  </si>
  <si>
    <t xml:space="preserve">Spuitgegoten bocht, PE100 - SDR11, dia. 250 mm, 22,5 graden, beide
zijden verlengd met 500 mm zwarte PE100 SDR11 buis (volgens NEN EN
1555-2), tbv Elektrolas/stuiklas
</t>
  </si>
  <si>
    <t xml:space="preserve">Spuitgegoten bocht, PE100 - SDR11, dia. 250 mm, 45 graden, beide zijden
verlengd met 500 mm zwarte PE100 SDR11 bui (volgens NEN EN 1555-2), tbv
Elektrolas/stuiklas
</t>
  </si>
  <si>
    <t xml:space="preserve">Spuitgegoten bocht, PE100 - SDR11, dia. 250 mm, 90 graden, beide zijden
verlengd met 500 mm zwarte PE100 SDR11 buis  (volgens NEN EN 1555-2),
tbv Elektrolas/stuiklas
</t>
  </si>
  <si>
    <t xml:space="preserve">Spuitgegoten bocht, PE100 - SDR11, dia. 315 mm, 22,5 graden, beide
zijden verlengd met 500 mm zwarte PE100 SDR11 buis (volgens NEN EN
1555-2), tbv Elektrolas/stuiklas
</t>
  </si>
  <si>
    <t xml:space="preserve">Spuitgegoten bocht, PE100 - SDR11, dia. 315 mm, 45 graden, beide zijden
verlengd met 500 mm zwarte PE100 SDR11 buis (volgens NEN EN 1555-2), tbv
Elektrolas/stuiklas
</t>
  </si>
  <si>
    <t xml:space="preserve">Spuitgegoten bocht, PE100 - SDR11, dia. 315 mm, 90 graden, beide zijden
verlengd met 500 mm zwarte PE100 SDR11 buis  (volgens NEN EN 1555-2),
tbv Elektrolas/stuiklas
</t>
  </si>
  <si>
    <t xml:space="preserve">Spuitgegoten bocht, PE100 - SDR11, dia. 400 mm, 22,5 graden, beide
zijden verlengd met 500 mm zwarte PE100 SDR11 buis (volgens NEN EN
1555-2), tbv Elektrolas/stuiklas
</t>
  </si>
  <si>
    <t xml:space="preserve">Spuitgegoten bocht, PE100 - SDR11, dia. 400 mm, 30 graden, beide zijden
verlengd met 500 mm zwarte PE100 SDR11 buis (volgens NEN EN 1555-2), tbv
Elektrolas/stuiklas.
</t>
  </si>
  <si>
    <t xml:space="preserve">Spuitgegoten bocht, PE100 - SDR11, dia. 400 mm, 45 graden, beide zijden
verlengd met 500 mm zwarte PE100 SDR11 buis (volgens NEN EN 1555-2), tbv
Elektrolas/stuiklas.
</t>
  </si>
  <si>
    <t xml:space="preserve">Spuitgegoten bocht, PE100 - SDR11, dia. 400 mm, 90 graden, beide zijden
verlengd met 500 mm zwarte PE100 SDR11 buis  (volgens NEN EN 1555-2),
tbv Elektrolas/stuiklas.
</t>
  </si>
  <si>
    <t xml:space="preserve">Eindkap, PE100 - SDR11, dia. 250 mm, spuitgegoten kap zwart, verlengd
met 500 mm zwarte PE100 SDR11 buis(volgens NEN EN 1555-2), tbv
Elektrolas/stuiklas.
</t>
  </si>
  <si>
    <t xml:space="preserve">Eindkap, PE100 - SDR11, dia. 315 mm, spuitgegoten kap zwart, verlengd
met 500 mm zwarte PE100 SDR11 buis(volgens NEN EN 1555-2), tbv
Elektrolas/stuiklas.
</t>
  </si>
  <si>
    <t xml:space="preserve">Eindkap, PE100 - SDR11, dia. 400 mm, spuitgegoten kap zwart, verlengd
met 500 mm oranje PE100 SDR11 buis(volgens NEN EN 1555-2), tbv
Elektrolas/stuiklas.
</t>
  </si>
  <si>
    <t>T-stuk spie, materiaal Spuitgegoten T-stuk, PE100 - SDR11, diam. 250 x
110 mm, 90 graden, kleur zwart, drie zijden verlengd met 500 mm zwarte
PE 100 SDR11 buis (volgens NEN EN 1555-2), tbv Elektrolas/stuiklas.</t>
  </si>
  <si>
    <t xml:space="preserve">T-stuk spie, materiaal Spuitgegoten T-stuk, PE100 - SDR11, diam. 250 x
160 mm, 90 graden, kleur zwart, drie zijden verlengd met 500 mm zwarte
PE 100 SDR11 buis (volgens NEN EN 1555-2), tbv Elektrolas/stuiklas.
</t>
  </si>
  <si>
    <t xml:space="preserve">T-stuk spie, materiaal Spuitgegoten T-stuk, PE100 - SDR11, diam. 250 x
200 mm, 90 graden, kleur zwart, drie zijden verlengd met 500 mm zwarte
PE 100 SDR11 buis (volgens NEN EN 1555-2), tbv Elektrolas/stuiklas.
</t>
  </si>
  <si>
    <t xml:space="preserve">T-stuk spie, materiaal Spuitgegoten T-stuk, PE100 - SDR11, diam. 250 mm,
90 graden, kleur zwart, drie zijden verlengd met 500 mm zwarte PE 100
SDR11 buis (volgens NEN EN 1555-2), tbv Elektrolas/stuiklas.
</t>
  </si>
  <si>
    <t xml:space="preserve">T-stuk spie, materiaal Spuitgegoten T-stuk, PE100 - SDR11, diam. 315 x
110 mm, 90 graden, kleur zwart, drie zijden verlengd met 500 mm zwarte
PE 100 SDR11 buis (volgens NEN EN 1555-2), tbv Elektrolas/stuiklas.
</t>
  </si>
  <si>
    <t xml:space="preserve">T-stuk spie, materiaal Spuitgegoten T-stuk, PE100 - SDR11, diam. 315 x
160 mm, 90 graden, kleur zwart, drie zijden verlengd met 500 mm zwarte
PE 100 SDR11 buis (volgens NEN EN 1555-2), tbv Elektrolas/stuiklas.
</t>
  </si>
  <si>
    <t xml:space="preserve">T-stuk spie, materiaal Spuitgegoten T-stuk, PE100 - SDR11, diam. 315 x
200 mm, 90 graden, kleur zwart, drie zijden verlengd met 500 mm zwarte
PE 100 SDR11 buis (volgens NEN EN 1555-2), tbv Elektrolas/stuiklas.
</t>
  </si>
  <si>
    <t xml:space="preserve">T-stuk spie, materiaal Spuitgegoten T-stuk, PE100 - SDR11, diam. 315 x
250 mm, 90 graden, kleur zwart, drie zijden verlengd met 500 mm zwarte
PE 100 SDR11 buis (volgens NEN EN 1555-2), tbv Elektrolas/stuiklas.
</t>
  </si>
  <si>
    <t xml:space="preserve">T-stuk spie, materiaal Spuitgegoten T-stuk, PE100 - SDR11 diam. 315mm,
90 graden, kleur zwart, drie zijden verlengd met 500 mm zwarte PE 100
SDR11 buis (volgens NEN EN 1555-2), tbv Elektrolas/stuiklas.
</t>
  </si>
  <si>
    <t xml:space="preserve">T-stuk spie, materiaal Spuitgegoten T-stuk, PE100 - SDR11, diam. 400 x
110 mm, 90 graden, kleur zwart, drie zijden verlengd met 500 mm zwarte
PE 100 SDR11 buis (volgens NEN EN 1555-2), tbv Elektrolas/stuiklas.
</t>
  </si>
  <si>
    <t xml:space="preserve">T-stuk spie, materiaal Spuitgegoten T-stuk, PE100 - SDR11, diam. 400 x
160 mm, 90 graden, kleur zwart, drie zijden verlengd met 500 mm zwarte
PE 100 SDR11 buis (volgens NEN EN 1555-2), tbv Elektrolas/stuiklas.
</t>
  </si>
  <si>
    <t xml:space="preserve">T-stuk spie, materiaal Spuitgegoten T-stuk, PE100 - SDR11, diam. 400 x
200 mm, 90 graden, kleur zwart, drie zijden verlengd met 500 mm zwarte
PE 100 SDR11 buis (volgens NEN EN 1555-2), tbv Elektrolas/stuiklas.
</t>
  </si>
  <si>
    <t xml:space="preserve">T-stuk spie, materiaal Spuitgegoten T-stuk, PE100 - SDR11, diam. 400 x
250 mm, 90 graden, kleur zwart, drie zijden verlengd met 500 mm zwarte
PE 100 SDR11 buis (volgens NEN EN 1555-2), tbv Elektrolas/stuiklas.
</t>
  </si>
  <si>
    <t xml:space="preserve">T-stuk spie, materiaal Spuitgegoten T-stuk, PE100 - SDR11, diam. 400 x
315 mm, 90 graden, kleur zwart, drie zijden verlengd met 500 mm zwarte
PE 100 SDR11 buis (volgens NEN EN 1555-2), tbv Elektrolas/stuiklas.
</t>
  </si>
  <si>
    <t xml:space="preserve">T-stuk spie, materiaal Spuitgegoten T-stuk, PE100 - SDR11 diam. 400 mm,
90 graden, kleur zwart, drie zijden verlengd met 500 mm zwarte PE 100
SDR11 buis (volgens NEN EN 1555-2), tbv Elektrolas/stuiklas.
</t>
  </si>
  <si>
    <t xml:space="preserve">Verloop, materiaal PE100 - SDR 11, diam. 250 x 160 mm, beide zijden
verlengd met 500 mm met zwarte PE100 SDR11 buis, (volgens NEN EN 1555-2)
,tbv Elektrolas/stuiklas.
</t>
  </si>
  <si>
    <t xml:space="preserve">Verloop, materiaal PE100 - SDR 11, diam. 250 x 200 mm, beide zijden
verlengd met 500 mm met zwarte PE100 SDR11 buis, (volgens NEN EN 1555-2)
,tbv Elektrolas/stuiklas.
</t>
  </si>
  <si>
    <t xml:space="preserve">Verloop, materiaal PE100 - SDR 11, diam. 315 x 200 mm, beide zijden
verlengd met 500 mm met zwarte PE100 SDR11 buis, (volgens NEN EN 1555-2)
,tbv Elektrolas/stuiklas.
</t>
  </si>
  <si>
    <t xml:space="preserve">Verloop, materiaal PE100 - SDR 11, diam. 315 x 250 mm, beide zijden
verlengd met 500 mm met zwarte PE100 SDR11 buis, (volgens NEN EN 1555-2)
,tbv Elektrolas/stuiklas.
</t>
  </si>
  <si>
    <t xml:space="preserve">Verloop, materiaal PE100 - SDR 11, diam. 400 x 315 mm, beide zijden
verlengd met 500 mm met oranje PE100 SDR11 buis, (volgens NEN EN 1555-2)
,tbv Elektrolas/stuiklas.
</t>
  </si>
  <si>
    <t xml:space="preserve">T-stuk spie, materiaal Spuitgegoten T-stuk, PE100 - SDR11, diam. 315 x
75 mm, 90 graden, kleur zwart, drie zijden verlengd met 500 mm zwarte PE
100 SDR11 buis (volgens NEN EN 1555-2), tbv Elektrolas/stuiklas.
</t>
  </si>
  <si>
    <t xml:space="preserve">Verloop, materiaal PE100 - SDR 11, diam. 315 x 160 mm, beide zijden
verlengd met 500 mm met zwarte PE100 SDR11 buis, (volgens NEN EN 1555-2)
,tbv Elektrolas/stuiklas.
</t>
  </si>
  <si>
    <t xml:space="preserve">Spuitgegoten bocht, PE100 - SDR11, dia. 200 mm, 22,5 graden, beide
zijden verlengd met 500 mm zwarte PE100 SDR11 buis (volgens NEN EN
1555-2), tbv Elektrolas/stuiklas
</t>
  </si>
  <si>
    <t xml:space="preserve">Koperen buis, afmetingen: buitendiameter 22 x1,1 mm, binnendiameter 19,8
mm lengte: 3,1 meter. Cu-DHP, vlg. NEN-EN 1057, Kiwa/Gasteq gekeurd,
R250/halfhard met afgedopte uiteinden.
</t>
  </si>
  <si>
    <t xml:space="preserve">Koperen buis, afmetingen: buitendiameter 28 x 1,2mm binnendiameter 25,6
mm lengte: 3,1 meter. Cu-DHP, vlg. NEN-EN 1057, Kiwa/Gasteq gekeurd,
R250/halfhard met afgedopte uiteinden.
</t>
  </si>
  <si>
    <t xml:space="preserve">Koperen buis, afmetingen: buitendiameter 35 x1,5 mm binnendiameter 32,0
mm lengte: 3,1 meter. Cu-DHP, vlg. NEN-EN 1057, Kiwa/Gasteq gekeurd,
R250/halfhard met afgedopte uiteinden.
</t>
  </si>
  <si>
    <t xml:space="preserve">Koperen buis, afmetingen: buitendiameter 42 x1,5mm, binnendiameter 39,0
mm lengte: 3,1 meter. Cu-DHP, vlg. NEN-EN 1057, Kiwa/Gasteq gekeurd,
R250/halfhard met afgedopte uiteinden.
</t>
  </si>
  <si>
    <t xml:space="preserve">Koperen buis, afmetingen: buitendiameter 54 x1,5mm, binnendiameter 51,0
mm lengte: 3,1 meter. Cu-DHP, vlg. NEN-EN 1057, Kiwa/Gasteq gekeurd,
R250/halfhard met afgedopte uiteinden.
</t>
  </si>
  <si>
    <t xml:space="preserve">Radiatorsleutel Gedore 380100
Radiatorsleutel Gedore 380100
</t>
  </si>
  <si>
    <t>Warmtekrimp mof geschikt voor
50kV GPLK 3x(1x120-185) mm2 3-lood kabel
op
XLPE 20kV 3x240 mm2.
Inclusief schroefverbinders</t>
  </si>
  <si>
    <t>Haakse snijringkoppeling,
6mm draaibaar met 1/4 NPT nippel staal-verzinkt,
ook als  rechte koppeling  te gebruiken.</t>
  </si>
  <si>
    <t xml:space="preserve">Brandblusser Alfur SF2JM 2ltr vorstbestendig
Type: SF2JM
Vorstbestendige schuimblusser van 2 liter, gevuld met een mengsel van
water en schuim, AFFF. Zeer geschikt om buiten te gebruiken en geschikt
voor brandklassen A en B branden.
</t>
  </si>
  <si>
    <t xml:space="preserve">Brandblusser CO2 5kg
Koolzuursneeuwblusser. Inclusief wandbeugel. Brandklasse: B.
Toepassingen: keukens, laboratoria, spuiterijen, computerruimten,
opslagplaatsen van brandbare stoffen, vloeistoffen en chemicaliën.
</t>
  </si>
  <si>
    <t xml:space="preserve">Bats Streuding 000 255x210mm blank blank half geb. z. steel
Bats (Drents model) half gebogen. Zonder steel  Bladmaat (lxb): 255x210
mm  FD-000.
</t>
  </si>
  <si>
    <t xml:space="preserve">Schop Ruhr Briljant 000 255x210mm gehard gepolijst zonder steel met
opstap
Schop Ruhr Briljant 000 255x210mm Ruhr Brilliant vol-olie geharde
panschop. Geheel blanke uitvoering. Gepolijst tegen het aankleven en met
aangescherpte steekrand. Excl. Steel"
</t>
  </si>
  <si>
    <t xml:space="preserve">Meetaansluiting BDA 10/18 O92000 (ALL)
Aansluiting voor beveiligde diagnose-aansluiting BDA10/18 Aansluiting:
Rp 3/8" inwendig Maximale werkdruk: 16 bar
</t>
  </si>
  <si>
    <t xml:space="preserve">Meetaansluiting BMA 10 O81000 3/8gasdr inw (slangdeel)
Aansluiting (slangdeel) tbv beveiligde diagnose aansluiting BMA 10 met
3/8" inw gasdraad.
</t>
  </si>
  <si>
    <t xml:space="preserve">Meetaansluiting BMA 04 slangdeel O91000 (ALL)
Aansluiting voor beveiligde meet- of diagnoseaansluiting BMA/BDA04
Aansluiting: Rp ¼" inwendig Maximale werkdruk: 16 bar
</t>
  </si>
  <si>
    <t xml:space="preserve">Schroevendraaier Gedore 2163TXB T25x100/200mm resistorx
Voor schroeven met inwendige Torx en stift.
Met 3-componentengreep, met ophanggat.
Kling uit vanadium plus staal.
Met kogelkop
</t>
  </si>
  <si>
    <t xml:space="preserve">Las-T-stuk,
materiaal: staal (St 35.8),
volgens DIN 2615,
afmetingen: 60,3 x 2,9 * 42,4 x 2,6 mm,
klasse 1 volgens DIN 17175,
afgeschuind.
</t>
  </si>
  <si>
    <t xml:space="preserve">Gascilinder Raychem CO2 tbv RDSS pomp A348882 (ALL)
Drukcapsule:  E7512-0160: Drukcapsules met 16 gram CO2-vulling.  Een
capsule is genoeg om 5 stuks RDSS-100 te verwerken.  Verpakking: 10 stuk
</t>
  </si>
  <si>
    <t xml:space="preserve">Vlakke lasflens,
materiaal : staal (RSt 37.2),
nominale druk: PN 16,
nominale diameter: DN 100,
voor pijp: 114,3 mm,
aantal en diameter bouten: 8 x 18 mm,
volgens DIN 2576-B.
</t>
  </si>
  <si>
    <t>Revisieset voor het Wigersma en Sikkema Opso 3/2 commandoventiel.
Bestaat uit:
4 stuks afdichtingsringen van nitrilrubber.
3 stuks afstandshouders.
1 stuks tbe met smeermiddel.
Met datum sticker om revisie te bevestigen. Inclusief
montagehandleiding. Duurzaam verpakt met verpakkings datum.</t>
  </si>
  <si>
    <t>Revisieset voor het Elster-instromet Pneumac Opso 3/2 commandoventiel.
Bestaat uit:
4 stuks afdichtingsringen van nitrilrubber.
3 stuks afstandshouders.
Elster-Instromet sticker om revisie te bevestigen.
Inclusief montagehandleiding. Duurzaam verpakt met verpakkings datum.</t>
  </si>
  <si>
    <t xml:space="preserve">Anticondens Motip 000730 500ml spray
Spray ter voorkoming van condensvorming op ruiten en spiegels. Motip Car
Care Anti Condens is voor zowel interieur als exterieur gebruik, is
eenvoudig aan te brengen en is oplosmiddelvrij.
Inhoud: 500 ml.
</t>
  </si>
  <si>
    <t xml:space="preserve">Ontvanger v fase-uitkleurapparaat FP-DET-N
Uitkleuren van de drie kabeladers is via de FP-DET-N detector snel en
eenvoudig. De FP-DET-N ontvangt en detecteert de drie meetsignalen via
hun specifieke frequenties. Doosje met etui en meter.
</t>
  </si>
  <si>
    <t xml:space="preserve">IFase uitkleur unit FPN-50CC INJECTOR Type: Injector zonder accu
FPN-50CC  voorzien van Connectors. De injector zendt drie meetsignalen
uit met elk een eigen frequentie door de drie kabeladers.
Injector: Meetafstand : 22 km (max 25 km)220 -240 VAC / 50 - 60 Hz.
Afmeting koffer: 410 x 310 x 180 mm STROOMTANG: Kabel : 1.8
meterDiameter bek: 50 mm
</t>
  </si>
  <si>
    <t>Overgangskast om 50 Al kabel
aan te sluiten op aansluitkast met beveiligingsautomaten.</t>
  </si>
  <si>
    <t>Aardingsgarnituur MS 125302 25mm tbv kogelbout (ALL)
Driepolig aardings- en kortsluitgarnituur.
Fasenzijde voorzien van gemodifieerde universeelklemmen
met spindel met bajonet, klembereik 20-25 mm
Aardzijde voorzien van gemodifiiceerde universeelklem met geisoleerd
handvat, klembereik 20-25 mm.
Dehn 739535.</t>
  </si>
  <si>
    <t xml:space="preserve">Mespatroon 100A DIN 2
met middenmelder,
karakteristiek gFF,
type LNH2S100MGFF
</t>
  </si>
  <si>
    <t xml:space="preserve">Insteeknippel w68611-000 38mm (ALL)
Insteeknippel  Lengte: 38 mm. Ten behoeve van Pete's-plug meetnippel HD
Inclusief slangtule.
</t>
  </si>
  <si>
    <t>Insteeknippel Serto 50122-1/8 G1/8" RVS
Type: T50122-75
Mini-snelkoppeling
Materiaal: RVS
Merk: Serto
Aansluiting 1: buitendraad G 1/8"
Aansluiting 2: nippel."
Snelkoppeling,
materiaal: RVS,
Aansluiting 1: buitendraad G 1/8"
Aansluiting 2: nippel.
Fabr: Serto</t>
  </si>
  <si>
    <t>Insteeknippel Serto 50123-4 4mm RVS
Type: T50123-4
Mini-snelkoppeling
Materiaal: RVS
Merk: Serto
Aansluiting 1: slangpilaar tbv slang 4 mm.
Aansluiting 2: nippel.
Snelkoppeling,
materiaal: RVS,
Aansluiting 1: slangpilaar tbv slang 4 mm.
Aansluiting 2: nippel.
Fabr: Serto</t>
  </si>
  <si>
    <t>Insteeknippel Serto 50123-7,5 7.5mm RVS
Type: T50123-18
Mini-snelkoppeling
Materiaal: RVS
Merk: Serto
Aansluiting 1: slangpilaar tbv slang 7,5 mm.
Aansluiting 2: nippel.
Snelkoppeling,
materiaal: RVS,
Aansluiting 1: slangpilaar tbv slang 7,5 mm.
Aansluiting 2: nippel.
Fabr: Serto</t>
  </si>
  <si>
    <t xml:space="preserve">Waterpomptang Knipex 8801 300mm PVC bekleed Alligator
Gepolijst, met anti-slip kunststof bekleed. Hoge stabiliteit dankzij
dubbele geleiding.  Zelfklemmend op buizen en moeren: glijdt niet van
het werkstuk af en werkt krachtbesparend.  Klembeveiliging verhindert
verwondingen.  Gunstige hefboomwerking: optimale krachtoverbrenging.
Grijpvlakken met speciaalgeharde tanden, hardheid van de tanden ca. 61
HRC: steeds weer veilig grijpen dankzij hoge slijtvastheid.  Chroom-
vanadium-elektrostaal, gesmeed, oliegehard.  Bijzonder grote capaciteit
om te grijpen.  Goede toegang to het werkstuk.  Hoge belastbaarheid en
slanke vorm.  Ergonomisch geoptimaliseerde grepen voor een verbeterde
bediening.  Capaciteit 2""/46mm. 7 instelposities.
</t>
  </si>
  <si>
    <t xml:space="preserve">Waterpomptang Gedore 146-10CP 250mm
Waterpomptang Gedore 146-10CP 250mm
</t>
  </si>
  <si>
    <t>Modulaire schakelaar laagspanning
1-polig, minimaal 40 A
voor hulpaders OV Amsterdam.</t>
  </si>
  <si>
    <t xml:space="preserve">Aanboorzadel toepasbaar als aftakzadel of blaasgatzadel 58-72mm x 1 ½"
Polsafe: materiaal bovendeel GY;onderband RVS met rubber inlage; zadel
 kleur blauw, toepassing harde buismaterialen.
</t>
  </si>
  <si>
    <t xml:space="preserve">Aanboorzadel toepasbaar als aftakzadel of blaasgatzadel 45-57mm x 1 ½"
Polsafe: materiaal bovendeel GY;onderband RVS met rubber inlage; zadel
 kleur blauw, toepassing harde buismaterialen.
</t>
  </si>
  <si>
    <t>Kabelmantelreparatiemanchet.
Raychem, type: RFSM-125/40-1750/123
Inhoud:
- 1x Krimpmanchet
- 1x sluitstrip kort
- 2x sluitstrip lang
- 2x koppelstukje sluitstrip
- 1x montagehandleiding.</t>
  </si>
  <si>
    <t>Kabelbundelband, transparant,
368 x 4,8 mm,
Verpakt per zak van 100 stuks.</t>
  </si>
  <si>
    <t xml:space="preserve">Zaagblad recipro metaal 1,5-4mm L100mm. BIM-blad is vervaardigd voor een
lange levensduur bij het zagen van plaatstaal van standaardsterkte
De fijne tandafstand zaagt plaatmetaal met een mediumdikte van 1,5 tot 4
mm. Fijne tandafstand (1,4 mm) zaagt plaatmetaal met de meest
gebruikelijke dikten. Korte lengte van (100 mm) levert een
zaagcapaciteit tot 50 mm op. Type Bosch S 522 EF. Pak a 5 stuks.
</t>
  </si>
  <si>
    <t xml:space="preserve">Zaagblad recipro metaal 3-8mm L100mm. BIM-blad is vervaardigd voor een
lange levensduur bij het zagen van plaatstaal van standaardsterkte. De
fijne tandafstand maakt ook het zagen van plaatmetaal mogelijk met een
dikte van 3 tot 8 mm. Korte lengte van (100 mm) levert een
zaagcapaciteit tot 50 mm op. Ideaal voor gebruik met compacte accuzagen.
Fijne tandafstand (1,8 mm) levert snelle zaagsneden. Type Bosch S 522
BF. Pak a 5 stuks.
</t>
  </si>
  <si>
    <t xml:space="preserve">Tegenhouder Raychem RPN 541259N001
tbv schroefverb.klemmen (ALL)
Tegenhouder:
Dit gereedschap wordt gebruikt om schroefverbinders vast te houden
tijdens de installatie.
Toepassingsbereik : 15 - 60 mm
</t>
  </si>
  <si>
    <t>Installatiedraad, VDS, soepel, 16 mm2, zwart.</t>
  </si>
  <si>
    <t xml:space="preserve">GE (voorheen)
naam: Stijgl.kast SLK310/110/5   (20st)
type: 602662
ABB (huidig)
naam: Stijgleidingkast 40200326
type: SLK310/110/5S
</t>
  </si>
  <si>
    <t>Vul massa reparatie pakket (omstrortingsmassa) Encapress.</t>
  </si>
  <si>
    <t xml:space="preserve"> Vouwdoos,
Amerikaans fefco 0201 dubbel golf,
afmetingen: 650 x 240 x 160 mm.</t>
  </si>
  <si>
    <t xml:space="preserve">Handreiniger Dreumex Plus 4,5ltr geel
Dreumex Plus. Deze extreem krachtige citrus handreinigingsgel met
microkorrel is ideaal voor extreme vervuilingen zoals teer, verf, lijm
en lak. De gel is met name geschikt voor gebruik in garages,
werkplaatsen, de grafische en verfindustrie. Productvoordelen  - extra
reinigingskracht dankzij huidvriendelijke microkorrels  - extra
krachtig, dankzij actieve citrus ingrediënten  - geschikt voor vele
toepassingen. Inhoud: 4,5kg.
</t>
  </si>
  <si>
    <t xml:space="preserve">Adereindhuls Weidmuller 10mm2,
L=27mm Ivoor,
zak a100st.
Adereindhuls voor 10 mm2 bedrading
</t>
  </si>
  <si>
    <t xml:space="preserve">Aansluitkast type 374/1, met ondoorzichtig frontdeksel,
   geschikt voor draadzegeling
   uitw. Afm. hxb= 205x110mm
   bevattende;
        1 installatieautomaat C 1/40A (690211)
           (bedienbaar voor het deksel)
            verhoogd opgesteld middels 2 afstansteunen (1171-3864B)
        2 DIN draadparkeerkappen (79-6057)
           waarop tevens gemonteerd middels kunststofschroeven (1161-4)
        2 buskontakten elk geschikt voor max 4x16 qmm (1171-3816)
        2 afschermkappen (78-49101)
        1 draadverbinding (71-8878)
        1 opening rond 19 mm (in achterzijde kast)
Kompleet gemonteerd (met 2 kunststof DIN profielen vlgs bijgaande
schets) en bedraad
</t>
  </si>
  <si>
    <t xml:space="preserve">Set spanningsaftakklemmen voor rail
Bestaande uit:
3 x gezekerde spanningsaftakklem
1 x ongezekerde nulaftakklem
</t>
  </si>
  <si>
    <t>Set a 3 stuks</t>
  </si>
  <si>
    <t xml:space="preserve">Stalschop nr.0 130cm steel 3/4 gebogen (ALL)
Zandschop (bats)
Blad: nr. 0
Steel: lengte 1,3 meter, zonder kruk  3/4 gebogen.
</t>
  </si>
  <si>
    <t xml:space="preserve">Slagdop Action DO2012 1/2"-10x38mm
Voor het machinaal vast- en losdraaien van bouten en moeren.
Gefosfateerd.
</t>
  </si>
  <si>
    <t xml:space="preserve">Slagdop Action DO2012 1/2"-13x38mm
Voor het machinaal vast- en losdraaien van bouten en moeren.
Gefosfateerd.
</t>
  </si>
  <si>
    <t xml:space="preserve">Slagdop Action DO2012 1/2"-19x38mm
Voor het machinaal vast- en losdraaien van bouten en moeren.
Gefosfateerd.
</t>
  </si>
  <si>
    <t xml:space="preserve">Slagdop Action DO2012 1/2"-22x38mm
Voor het machinaal vast- en losdraaien van bouten en moeren.
Gefosfateerd.
</t>
  </si>
  <si>
    <t xml:space="preserve">Verkeershek RWS 150cm breed 3vlak demontabel (ALL)
Verkeershek (afzethek), demonteerbaar, type RWS  Voorzien van
enkelzijdige folie rood/wit Klasse-3 Breedte 150 cm (3 vlakken).
Levering includsief 2 gegalvaniseerde standaards.
</t>
  </si>
  <si>
    <t xml:space="preserve">Verwijderhendel 490109007 glasvezelconnector v.magnefix MF schakel kap
(ALL)
Verwijderhendel glasvezelconnector
t.b.v. magnefix MF schakel kap.
</t>
  </si>
  <si>
    <t xml:space="preserve"> Vouwdoos,
Amerikaans fefco 0201 BE golf MT37,
buitenzijde marmer wit en binnenzijde bruin
onbedrukt.
afmetingen: 650 x 240 x 210 mm.</t>
  </si>
  <si>
    <t xml:space="preserve">Aanboorzadel elektrolas toepasbaar als blaasgatzadel 200mm x 2" polsafe,
materiaal: PE100 SDR11.
</t>
  </si>
  <si>
    <t>Kabel YMvKrvasmb 8.7/15 kV 1 x 16 Curs + as 16 volgens NEN HD620:S2.
Brandklasse Eca. Kabel is aan beide zijden afgewerkt met een ei
ndsluiting. Lengte 3,5 meter.</t>
  </si>
  <si>
    <t xml:space="preserve">Kabel YMvKrvasmb 8.7/15 kV 1 x 16 Curs + as 16 volgens NEN HD620:S2.
Brandklasse Eca. Kabel is aan beide zijden afgewerkt met een ei
ndsluiting. Lengte 7,25 meter.
</t>
  </si>
  <si>
    <t>Kabel YMvKrvasmb 8.7/15 kV 1 x 16 Curs + as 16 volgens NEN HD620:S2.
Brandklasse Eca. Kabel is aan beide zijden afgewerkt met een ei
ndsluiting. Lengte 10 meter.</t>
  </si>
  <si>
    <t xml:space="preserve">Aanwijsplaat, achtergrond geel, volgens DIN 4065, Maatvoering 140 x 200
mm.
</t>
  </si>
  <si>
    <t xml:space="preserve">Afsluiter spindelschild.
Diameter: 100 mm, kleur: geel, rond.
Voorzien van 26 uitsparingen om letter en cijferblokjes 15 x 7mm te
plaatsen om specifieke afsluiter kenmerken aan te geven.
</t>
  </si>
  <si>
    <t>Cijfer c.q. letterblokje, "blanco", achtergrond geel, afmetingen: 15 x 7
mm.</t>
  </si>
  <si>
    <t>Letterblokje, zwarte opdruk "D", achtergrond geel, afmetingen: 15 x 7
mm.</t>
  </si>
  <si>
    <t>Letterblokje, zwarte opdruk "N", achtergrond geel, afmetingen: 15 x 7
mm.</t>
  </si>
  <si>
    <t>Letterblokje, zwarte opdruk "P", achtergrond geel, afmetingen: 15 x 7
mm.</t>
  </si>
  <si>
    <t>Letterblokje, zwarte opdruk "A", achtergrond geel, afmetingen: 15 x 7
mm.</t>
  </si>
  <si>
    <t>Letterblokje, zwarte opdruk "F", achtergrond geel, afmetingen: 15 x 7
mm.</t>
  </si>
  <si>
    <t>Letterblokje, zwarte opdruk "K", achtergrond geel, afmetingen: 15 x 7
mm.</t>
  </si>
  <si>
    <t>Letterblokje, zwarte opdruk "S", achtergrond geel, afmetingen: 15 x 7
mm.</t>
  </si>
  <si>
    <t>Letterblokje, zwarte opdruk "V", achtergrond geel, afmetingen: 15 x 7
mm.</t>
  </si>
  <si>
    <t>Letterblokje, zwarte opdruk "W", achtergrond geel, afmetingen: 15 x 7
mm.</t>
  </si>
  <si>
    <t>Cijferblokje, zwarte opdruk "0", achtergrond geel, afmetingen: 15 x 7
mm.</t>
  </si>
  <si>
    <t>Cijferblokje, zwarte opdruk "1", achtergrond geel, afmetingen: 15 x 7
mm.</t>
  </si>
  <si>
    <t>Cijferblokje, zwarte opdruk "2", achtergrond geel, afmetingen: 15 x 7
mm.</t>
  </si>
  <si>
    <t>Cijferblokje, zwarte opdruk "3", achtergrond geel, afmetingen: 15 x 7
mm.</t>
  </si>
  <si>
    <t>Cijferblokje, zwarte opdruk "4", achtergrond geel, afmetingen: 15 x 7
mm.</t>
  </si>
  <si>
    <t>Cijferblokje, zwarte opdruk "5", achtergrond geel, afmetingen: 15 x 7
mm.</t>
  </si>
  <si>
    <t>Cijferblokje, zwarte opdruk "6 of 9", achtergrond geel, afmetingen: 15 x
7 mm.</t>
  </si>
  <si>
    <t>Cijferblokje, zwarte opdruk "7", achtergrond geel, afmetingen: 15 x 7
mm.</t>
  </si>
  <si>
    <t>Cijferblokje, zwarte opdruk "8", achtergrond geel, afmetingen: 15 x 7
mm.</t>
  </si>
  <si>
    <t>Schroef aluminium M5X20; Metaalschroef, Sleuf. Diameter M5. DIN84.
Draadsoort, Metrisch. Lengte, 20 mm. Materiaal, Aluminium. Type kop,
Cilinderkop.</t>
  </si>
  <si>
    <t>Moer DIN934 M5 aluminium</t>
  </si>
  <si>
    <t>Lange versmalde deksel t.b.v. COQ MS schakelmateriaal.
Reserve deksels voor uitwisseling korte en/of verlengde
eindsluitingsbak.</t>
  </si>
  <si>
    <t xml:space="preserve">Ballastschop Streuding gr4 335x280mm/90cm alu aluminium YD-st slijtstr
Aluminium ballastschop met slijtstrip Met houten steel en een ijzeren D-
handgreep.  Lengte steel: 90 cm.  Bladmaat (lxb): 335x280 mm  Grootte
nr.4.
</t>
  </si>
  <si>
    <t>Isolatiekoppeling, las/las, druk: PN25, 1.1/4" (DN32), diameter uitw: 42
,4 mm, lengte = 300 mm. Weerstand 5 Megohm, doorslag 3Kv/50Hz.</t>
  </si>
  <si>
    <t xml:space="preserve">Isolatiekoppeling, las/las, druk: PN25, 1.1/2" (DN40), diameter uitw: 48
,3 mm, lengte = 300 mm, weerstand 5 Megohm, doorslag 3Kv/50Hz.
</t>
  </si>
  <si>
    <t xml:space="preserve">Handschraper tbv PE buis (ALL)
Handschraper ten behoeve van het opruwen van PE-buis.
</t>
  </si>
  <si>
    <t>Afvalzak buit. 1200x1300x0,15mm asbest ds a50st
Afvalzakken tbv Asbestzakken buitenzakken met opdruk.
Afmeting: 1200 x 1300 x 0.15 mm
1 doos is 50 stuks.</t>
  </si>
  <si>
    <t xml:space="preserve">Perstang met een persbereik van 0.6-50mm2.
Perstang voor standaard kabelschoenen en verbinders.
Deze versie van de K05 heeft een unieke "setting functie".
Met deze nieuwe functie kan de gebruiker met één hand beide schijven in
één keer instellen wanneer de tang volledig open staat.
Het stellen van de schijven gaat synchronisch door aan een wiel te
draaien.
Type: Kabelschoentang Klauke K05 Z 50mm2
Persbereik: 6,0 - 50 mm2.
Lengte: 390 mm
</t>
  </si>
  <si>
    <t>Perskabelschoen ring vertind 10mm2 BT6
1 Doos = 100 stuks</t>
  </si>
  <si>
    <t>Perskabelschoen ring vertind 10mm2 BT8
1 Doos = 100 stuks</t>
  </si>
  <si>
    <t>Persverbinder ongeisoleerd 10mm2.
1 Doos = 100 stuks</t>
  </si>
  <si>
    <t>Critchley K-65 merker nr. 0
artikelnummer leverancier 01035002006500
geel met zwarte opdruk
1 ROL = 500 STUKS</t>
  </si>
  <si>
    <t xml:space="preserve">Krimptang Klemko SKT-0560 tbv verbinders rood/geel/blauw
Type: Eurel CSA 760
Deze krimptangen zijn voorzien van een drievoudige matrijs voor het
persen van geïsoleerde kabel¬schoenen van 0,75 t/m 6 mm2.Met deze tang
wordt de kern en isolatie in één handeling gekrompen. Een sperinrichting
garandeert een goed krimpresultaat.   Specificaties:  Krimpbereik : 0,75
t/m 6 mm2  lengte : 224 mm  gewicht : 0,540 Kg
</t>
  </si>
  <si>
    <t xml:space="preserve">Aanboorzadel toepasbaarblaasgatzadel 420-440mmx2½" Polsafe materiaal:
RVS met NBR rubber.
</t>
  </si>
  <si>
    <t>Critchley K-65 merker nr. 1
artikelnummer leverancier 01035002006501
geel met zwarte opdruk
1 ROL = 500 STUKS</t>
  </si>
  <si>
    <t>Critchley K-65 merker nr. 2
artikelnummer leverancier 01035002006502
geel met zwarte opdruk
1 ROL = 500 STUKS</t>
  </si>
  <si>
    <t>Critchley K-65 merker nr. 3
artikelnummer leverancier 01035002006503
geel met zwarte opdruk
1 ROL = 500 STUKS</t>
  </si>
  <si>
    <t>Critchley K-65 merker nr. 4
artikelnummer leverancier 01035002006504
geel met zwarte opdruk
1 ROL = 500 STUKS</t>
  </si>
  <si>
    <t>Critchley K-65 merker nr. 5
artikelnummer leverancier 01035002006505
geel met zwarte opdruk
1 ROL = 500 STUKS</t>
  </si>
  <si>
    <t>Critchley K-65 merker nr. 6
artikelnummer leverancier 01035002006506
geel met zwarte opdruk
1 ROL = 500 STUKS</t>
  </si>
  <si>
    <t>Critchley K-65 merker nr. 7
artikelnummer leverancier 01035002006507
geel met zwarte opdruk
1 ROL = 500 STUKS</t>
  </si>
  <si>
    <t>Critchley K-65 merker nr. 8
artikelnummer leverancier 01035002006508
geel met zwarte opdruk
1 ROL = 500 STUKS</t>
  </si>
  <si>
    <t>Critchley K-65 merker nr. 9
artikelnummer leverancier 01035002006509
geel met zwarte opdruk
1 ROL = 500 STUKS</t>
  </si>
  <si>
    <t>Plaat type LD Polyethylene foam,
vlamvertragend 980x425mm dik 30-33mm,
voor afdichten vloersparingen MS ruimten,
t.b.v. schakelinstallaties.</t>
  </si>
  <si>
    <t>Tape Nitto Hyperflash nr 695A m,
gesplitst schutfolie 75mmx5m.</t>
  </si>
  <si>
    <t xml:space="preserve">Rubberhamer nr.9 hard 2200gr 105mm (ALL)
Rubber hamer nr.9
Harde uitvoering
Gewicht: 2200gr
Lengte: 105 mm
</t>
  </si>
  <si>
    <t xml:space="preserve">Rubberhamer nr.9 zacht 2200gr 105mm (ALL)
Rubber hamer nr.9
Zachte uitvoering
Gewicht: 2200gr
Lengte: 105 mm
</t>
  </si>
  <si>
    <t>Koppeling recht (overgangsstuk),
materiaal: brons,
aansluiting: pers 28 mm x binnendraad 1"
Viega, Profipress G (Gastec QA), model 2212.1</t>
  </si>
  <si>
    <t xml:space="preserve">Slangklem ABA Original 32-44mm staal elvz b=12 nr.020
ABA Original 2 wordt standaard geleverd met banden van Aluzink, dat een
langere en betere roestbestendigheid heeft dan traditioneel
gegalvaniseerde banden.
Het breukmoment is hoog, dankzij de strenge kwaliteitscontrole op elk
onderdeel voor assemblage en het uit 1 stuk geperste wormhuis. Staal
elektrolytisch verzinkt.
Slangklem 32 - 44mm  BR=12mm   ELVZ #ABA
</t>
  </si>
  <si>
    <t xml:space="preserve">Batterij Philips V13GA/LR44 11,6x5,4mm alkaline 1,5V-125mAh
Type: V13GA/LR44 Batterij Philips 1alkaline Voltage: 1.5 Volt
Capaciteit: 125 mAh  Oplaadbaar: Nee  Diameter: 11,6 mm  Hoogte: 5,4 mm
Aantal: 1 batterij  Toepassing o.a. CD/ MD/ MP3-spelers, speelgoed,
camera's, afstandbedieningen.
</t>
  </si>
  <si>
    <t>Lichtmastset 1XE27 incl. 1x6A Faget LS74
Artikelnummer leverancier: 5L5001-6A</t>
  </si>
  <si>
    <t>Lichtmastset 2xE27 incl. 1x6A AN-strip Faget LS94
Artikelnummer leverancier: 5L2307.</t>
  </si>
  <si>
    <t xml:space="preserve">Voedingskabel &lt;(&gt;&lt;&lt;)&gt; 1 kV, voor beweegbare toepassingen
Type: H05BQ-F
Omschrijving: 3 G 1,0 mm²
Kleur: Geel
Aderkleuren: Geel/groen - blauw - bruin
Netto Gewicht: 7,8 kg
Mantelstempeling TKF - H05BQ-F 3 G 1 mm2 KEMA-KEUR [-HAR-] [-CE-]
{Batch}
Normering EN 50525-2-21
Aantal aders: 3
Nom. geleiderdoorsnede: 1 mm²
Norm geleidermateriaal: IEC 60228
Geleidermateriaal: Koper
Oppervlakte geleider: Blank
Geleidervorm: Rond
Samenstelling geleider: Klasse 5 = soepel
Aderisolatie: Rubber
Specificatie aderisolatie: Rubber - Ethyleen propyleen rubber (EPR)
Halogeenvrij Vlgs.: IEC 60754-1
Buitendiameter: circa 7.7 mm
Min. toegestane buigradius flexibele toepassing: 80 mm
Toegestane kabelbuitentemperatuur, in beweging -20 / 50 ° C
</t>
  </si>
  <si>
    <t xml:space="preserve"> Noppenfolie,
Meter retour verpakking bobbeltjes folie,
afm 450 x 500 mm met 75 mm flap
met plakstrip verpakt per 100 stuks.
Toepasbaar voor elektriciteit meters en gasmeters t/m G6.</t>
  </si>
  <si>
    <t xml:space="preserve">Slagdop Action DO2012 1/2"-27x50mm
Voor het machinaal vast- en losdraaien van bouten en moeren.
Gefosfateerd.
</t>
  </si>
  <si>
    <t xml:space="preserve">Afblaasslang 11489521 19mm 6m (ALL)
Type: Afblaasslang  Butapal  Diameter: 19 mm Lengte:  6000 mm. Beide
zijden voorzien van wartelende BSP 3/4" vlakdichtend staal Montage dmv
stalen pershulzen Complete lengte:  6000 mm.
</t>
  </si>
  <si>
    <t xml:space="preserve"> Vurenhouten keggen v borging haspels.</t>
  </si>
  <si>
    <t xml:space="preserve">Lettertape Dymo D1 S0720530 12mm zwart op wit
Deze zelfklevende en duurzame polyestertapes zijn geschikt voor de
meeste toepassingen en beschikbaar in diverse breedtes, achtergrond- en
tekstkleuren.  Verwijderbaar. Voor allerlei oppervlakken Easy Peel
achetrkant Waterbestendig UV-bestendig Temperatuurbestendig. Voor
Labelmanager en Labelpoint labelprinters.
</t>
  </si>
  <si>
    <t xml:space="preserve">Aanboorzadel toepasbaar als aftakzadel of blaasgatzadel 138-160mmx2"
Polsafe materiaal: RVS met NBR rubber.
</t>
  </si>
  <si>
    <t xml:space="preserve">Aanboorzadel toepasbaar blaasgatzadel 345-365mmx2½" Polsafe materiaal:
RVS met NBR rubber.
</t>
  </si>
  <si>
    <t>Reciprozaagblad Bosch S922HF T2,5mm BiM a5stuks
Bi-metaal, gezet en gefreesd.
Toepassing: Hout met spijkers/metaal (5-100 mm), metalen platen, buizen,
aluminium profielen (3-12 mm), pallets. Totale lengte: 150 mm.
Verpakt per 5 stuks.
Reciprozaagblad Flexible,
voor Hout en Metaal.
Hout met spijkers/metaal (5-100 mm),
metaalplaten,
buizen,
aluminium profielen (3-12 mm),
pallets.
1 pak is 5 stuks.
Bosch, type S922HF.</t>
  </si>
  <si>
    <t>Filter v gaslekzoektoestel GMI 512 en probe 10077; Stoffilter voor
toepassing in GMI 512 gasdetectieapparaat en tussen vochtfilter en
aanzuigslang van probe (GMI: 512 en 700). Leveringsomvang: doos met 10
stuks.</t>
  </si>
  <si>
    <t>Enkelzijdige cilinder Europrofiel 17 mm,
standaard uitvoering,
Lengte: 30,5 mm (buitenzijde) + 9,5 mm (binnenzijde),
Cataloguslengte = 30 mm,
Code A.1.2.3 E/G/W voor gemeenschappelijke toegang.
Fabr. Lips, Type Trivium S8461.</t>
  </si>
  <si>
    <t>Dubbelzijdige cilinder Europrofiel 17 mm,
standaard uitvoering,
Lengte: 30,5 mm (buitenzijde) + 30,5 mm (binnenzijde),
Cataloguslengte = 60 mm,
Code A.1.2.3 E/G/W voor gemeenschappelijke toegang.
Fabr. Lips, Type Trivium S8462.</t>
  </si>
  <si>
    <t>Hangslot (NUON), beugel in RVS,
Beugelhoogte = 30mm,
Code A.1.2.3 E/G/W voor gemeenschappelijke toegang.
Fabr: Lips, Type: Trivium S4051.</t>
  </si>
  <si>
    <t xml:space="preserve">Conussnijder XLPE isolatie 15-40mm 30-300qmm (ALL)
Konussnijder GB-KG05-3 Bereik 35mm² - 300mm² (15 - 40mm)
</t>
  </si>
  <si>
    <t xml:space="preserve">Koppeling, E-stuk, met RVS bouten.
Nom. diam.: DN 200 x DN 200
Aansluitmaat: mof 192-232 x flens DN200 PN10/PN16 (boring)
Werkdruk: 8 bar (gas), 10 bar (water)
Huis: PN16 / Nodulair Gietijzer (GGG40)
NBR-afdichtingen.
Mof met Uni-fiksers
Inbouwlengte: 224 - 251 mm.
Fabrikant: Georg Fischer
Type : Multi-joint 3057+, trekvast.
</t>
  </si>
  <si>
    <t xml:space="preserve">Koppeling mof-flens (E-stuk), met RVS (A2) bouten.
Nom. diam.: DN 250 x DN 250
Aansluitmaat: mof 267-310 x flens DN 250 /PN10/PN16  (boring)
Werkdruk: 8 bar (gas), 10 bar (water)
Huis: PN16 / Nodulair Gietijzer (GGG40)
NBR-afdichtingen.
Mof met Uni-Fiksers
Inbouwlengte: 260 - 295 mm.
Fabrikant: Georg Fischer
Type : Multi-joint 3057+, trekvast.
</t>
  </si>
  <si>
    <t xml:space="preserve">Koppeling mof-flens (E-stuk), met RVS (A2) bouten,
Nom. diam.: DN 300 x DN 300
Aansluitmaat: mof 315-356 x flens DN300 / PN10 (boring)
Werkdruk: 5 bar (gas), 10 bar (water)
Huis: PN16 / Nodulair Gietijzer (GGG40).
NBR-afdichtingen.
Mof met Uni-Fiksers.
Inbouwlengte: 283 - 318 mm.
Fabrikant: Georg Fischer
Type : Multi-joint 3057+, trekvast.
</t>
  </si>
  <si>
    <t>Koppeling, mof-mof, met RVS (A2) bouten.
Nom. diam.: DN 200 x DN 200
Aansluitmaten: 192-232 x 192-232
Werkdruk: 8 bar (gas), 16 bar (water)
NBR-afdichtingen
Huis: Nodulair Gietijzer (GGG40)
Uni-Fiksers
Inbouwlengte: 297 - 351 mm.
Fabrikant: Georg Fischer
Type : Multi-joint 3007+, trekvast.</t>
  </si>
  <si>
    <t>Koppeling, mof-mof, met RVS (A2) bouten.
Nom. diam.: DN 225 x DN 225
Aansluitmaten: 230-268 x 230-268
Werkdruk: 8 bar (gas), 16 bar (water)
NBR-afdichtingen.
Huis: Nodulair Gietijzer (GGG40)
Uni-Fiksers
Inbouwlengte: 342 - 404 mm.
Fabrikant: Georg Fischer
Type : Multi-joint 3007+, trekvast.</t>
  </si>
  <si>
    <t>Verloopkoppeling, mof-mof, met RVS bouten.
Nom. diam.: DN 250 GY x DN 225 PE
Aansluitmaten: 267-310 (GY) Uni-Fiksers x 230-268 (PE) Uni-Fiksers
Werkdruk: 8 bar (gas), 16 bar (water)
NBR-afdichtingen.
Huis: Nodulair Gietijzer (GGG40)
Inbouwlengte: 385 - 424 mm.
Fabrikant: Georg Fischer
Type : Multi-joint 3107+, trekvast.</t>
  </si>
  <si>
    <t>Koppeling, mof-mof, met RVS (A2) bouten.
Nom. diam.: DN 300 x DN 300
Aansluitmaten: 315-356 x 315-356
Werkdruk: 5 bar (gas), 16 bar (water)
NBR-afdichtingen.
Huis: Nodulair Gietijzer (GGG40)
Uni-Fiksers
Inbouwlengte: 356 - 426 mm.
Fabrikant: Georg Fischer
Type : Multi-joint 3007+, trekvast.</t>
  </si>
  <si>
    <t>Koppeling, mof-blind, met RVS (A2) bouten.
Nom. diam.: DN 200.
Aansluitmaten: mof 192-232 met Uni-Fiksers
Werkdruk: 8 bar (gas), 16 bar (water)
NBR-afdichtingen.
Huis: Nodulair Gietijzer (GGG40)
Inbouwlengte: 180 - 207 mm.
Fabrikant: Georg Fischer
Type : Multi-joint 3207+, trekvast.</t>
  </si>
  <si>
    <t>Koppeling, mof-blind, met RVS (A2) bouten.
Nom. diam.: DN 250.
Aansluitmaten: mof 267-310 met Uni-Fiksers
Werkdruk: 8 bar (gas), 16 bar (water)
NBR-afdichtingen.
Huis: Nodulair Gietijzer (GGG40)
Inbouwlengte: 214 - 249 mm.
Fabrikant: Georg Fischer
Type : Multi-joint 3207+, trekvast.</t>
  </si>
  <si>
    <t>Koppeling, mof-blind, met RVS (A2) bouten.
Nom. diam.: DN 300.
Aansluitmaten: mof 315-356 met Uni-Fiksers
Werkdruk: 5 bar (gas), 16 bar (water)
NBR-afdichtingen.
Huis: Nodulair Gietijzer (GGG40)
Inbouwlengte: 219 - 254 mm.
Fabrikant: Georg Fischer
Type : Multi-joint 3207+, trekvast.</t>
  </si>
  <si>
    <t xml:space="preserve">Verloopkoppeling, mof-mof, met RVS bouten.
Nom. diam.: DN 225 x DN 200
Aansluitmaten: 230-268 x 192-232
Werkdruk: 8 bar (gas), 16 bar (water)
NBR-afdichtingen
Huis: Nodulair Gietijzer (GGG40)
Uni-Fiksers
Inbouwlengte: 340 - 398 mm.
Fabrikant: Georg Fischer
Type : Multi-joint 3107+, trekvast.
</t>
  </si>
  <si>
    <t>Koppeling, mof-mof, met RVS (A2) bouten,
NBR-afdichtingen en Uni-Fiksers,
Nom. diam.: DN 250 x DN 250
Aansluitmaten: 267-310 x 267-310
Werkdruk: 8 bar (gas), 16 bar (water)
Huis: PN16 / Nodulair Gietijzer (GGG40).
Inbouwlengte: 354 - 424 mm.
Fabrikant: Georg Fischer
Type : Multi-joint 3007+, trekvast.</t>
  </si>
  <si>
    <t xml:space="preserve">Gasgebrekklep  haaks. Type WMG6i-Haaks -Inlaat Aansluiting 3/4"
Rp-draad. Uitlaat aansluiting 3/4 " mk wartelmoer. Blauwe dop.
</t>
  </si>
  <si>
    <t xml:space="preserve">Eindstop m gasm.draad +aansl.nipp+slang (ALL)
Eindstoppen messing Messing eindstoppen zijn geschikt voor het afpersen
van leidingen met binnendraad. Doordat een zeer stevige en lekdichte
verbinding kan worden gemaakt (indien getaped) zijn deze eindstoppen bij
uitstek geschikt voor het afpersen met hoge druk. Eindstop gasmeter
maakt standaard deel uit van de Hoge druk Afpersset.
</t>
  </si>
  <si>
    <t>Inzetstuk.
In de vorm van een 25A DII D-patroon.</t>
  </si>
  <si>
    <t>Warmtekrimp mof
geschikt voor 10kV (V)GPLK 3x300 mm2 op XLPE 10-20kV 3x240 mm2.
Inclusief schroefverbinders.</t>
  </si>
  <si>
    <t>Veiligheidafslagklep, merk:IGA. Type: Opso.</t>
  </si>
  <si>
    <t xml:space="preserve">PE-buis, materiaal PE 80, diameter 63 mm x wanddikte 3,6 mm, rol van 100
meter, kleur volwandig geel, klasse SDR 17,6, QA-keurmerk, voldoet aan
NEN-EN 1555-2. Inclusief beschermdoppen.
</t>
  </si>
  <si>
    <t>Instelsleutel 888-888-514-337 DN50 tbv gasdrukregelaar (ALL)</t>
  </si>
  <si>
    <t>Meetelectrodereservoir v KB 3212 transp tbv 20033363 (ALL)
Reservoir (doorzichtige huls) met keramisch diafragma.
Artikelnummer 3212
Tbv meetelektrode kopersulfaat (3211).</t>
  </si>
  <si>
    <t xml:space="preserve">Meetelectrode v KB 3211 koper/kopersulfaat (ALL)
</t>
  </si>
  <si>
    <t xml:space="preserve">Verschilspanningsmeter deltameter 5 (ALL)
Verschilspannings-meter.
Inclusief opbergtas van Pfisterer.
Pfisterer, type: Deltameter 5.
Tbv M.S. spanningsverschilmeting bij koppelen O.S.
</t>
  </si>
  <si>
    <t>Gasmeter, balg
Capaciteit  G6, HOH 220 mm,
aansluiting: schroefdraad GM ¾,
inhoud :2 liter,
drukverbruik op lucht: &lt;(&gt;&lt;&lt;)&gt;2,0 mbar bij Qmax.
VOORZIEN VAN BARCODERING VOLGENS NUON SPECIFICATIES (Apparaat
identificatie en barcodebeleid Nuon_Monitoring
én
Aanvullende logistieke eisen
m.b.t. document Apparaat identificatie en barcodebeleid
Nuon_Monitoring),
INCLUSIEF EXTRA AFNEEMBARE STICKER.</t>
  </si>
  <si>
    <t>Geschikt voor railbreedte 50.</t>
  </si>
  <si>
    <t xml:space="preserve">Steekflens DN80 80x142x3mm rvs (ALL)
Steekflens
Materiaal: RVS
Afmeting: 80x142x3mm
</t>
  </si>
  <si>
    <t xml:space="preserve">Aftakzadel elektrolas PE100 SDR11 63x32mm, monoblock.
Diameter doorgaande leiding 63mm, aftakking 32mm spie-eind.
</t>
  </si>
  <si>
    <t>Afdekfolie 2000x1300x0,5mm transp gedrukt VDE keurmerk (ALL)
Afdekfolie transparant.
Afmeting: 2000x1300x0,5mm.
Voorzien van gedrukt VDE keurmerk,(niet gestickerd). Per stuk opgerold
met een transparante sticker om, de rol bijeen te houden.
Op deze sticker dient het artikelnummer leverancier en Alliander-artikel
te staan.</t>
  </si>
  <si>
    <t xml:space="preserve">Afdekfolie 1000x1300x0,5mm transp gedrukt VDE keurmerk (ALL)
Afdekfolie transparant
Afmeting: 1000x1300x0,5mm.
Voorzien van gedrukt VDE keurmerk,(niet gestickerd).
Per stuk opgerold met een transparante sticker om de rol bijeen te
houden.
Op deze sticker dient het artikelnummer leverancier en Alliander-artikel
te staan
</t>
  </si>
  <si>
    <t>Afdekfolie 600x600x0,5mm transp gedrukt VDE keurmerk (ALL)
Afdekfolie transparant. Afmeting: 600x600x0,5mm.  Voorzien van gedrukt
VDE keurmerk,(niet gestickerd). Per stuk opgerold met een transparante
sticker om, de rol bijeen te houden. Op deze sticker dient het
artikelnummer leverancier, en Alliander-artikel te staan.
Sticker bij voorkeur verwijderbaar.
Hoogte rol = 600.
Niet vouwen i.v.m. belasting op de hoeken.</t>
  </si>
  <si>
    <t>Aansluitkast, klein,
1-fase met 25 A beveiligingsautomaat.C-kar</t>
  </si>
  <si>
    <t>Kortsluitverklikker in rode plastic houder,
voor open MS-installaties tbv GSM unit.
Kortsluitverklikker 250/450A ingesleld op 250A.</t>
  </si>
  <si>
    <t>Bundel van 3 glasvezels met stekkers,
gemerkt L1, L2 en L3 met een lengte van 7,5 meter,
tbv GSM unit voor kortsluitverklikkers.</t>
  </si>
  <si>
    <t>Bundel van 3 glasvezels met stekkers,
gemerkt L1, L2 en L3 met een lengte van 2,5 meter,
tbv GSM unit voor kortsluitverklikkers.</t>
  </si>
  <si>
    <t xml:space="preserve">Sluitring DIN125A M16 17x30x3 elvz a100st (ALL)
Sluitring DIN125A
Afmeting: M16 17x30x3
Opp. Bescherming: elvz
Verpakkingseenheid: doos a100st
</t>
  </si>
  <si>
    <t xml:space="preserve">Sluitring DIN125A M20 21x37x3 elvz a50st (ALL)
Sluitring DIN125A
Afmeting: M20 21x37x3
Opp. Bescherming: elvz
</t>
  </si>
  <si>
    <t xml:space="preserve">Metaalschroef DIN963 M5x16 RVS-A2 VK SL ds a 200st
.
Metaalschroef voorzien van verzonken kop met zaagsnede en metrische
schroefdraad.
Afmeting: M5 x 16 mm.
Norm: DIN963.
Materiaal: RVS-A2.
Verpakkingseenheid: doos à 200 stuks.
</t>
  </si>
  <si>
    <t xml:space="preserve">Reciprozaagblad Bosch S1225VF BiM kaart a5st
Type: S 1225 VF
Reciprozaagbladen geschikt voor middeldik tot dik staal (2-10 mm),
dunwandige en dikwandige buizen en profielen (&lt;(&gt;&lt;&lt;)&gt;250 mm). Bij
uitstek
geschikt voor sloopwerkzaamheden in metaal.
Verpakkingseenheid: karton ? 5 stuks.
Tandafstand: 1,8/2,6 mm / 10/14 TPI.
Tanduitvoering: variovertanding.
Materiaal: BIM.
</t>
  </si>
  <si>
    <t>Krokodillenklem 686303 30mm 1000V rood (ALL).
Krokodillenklem max 30mm.
Technische specificaties :
Klasse: Testpen/klem
Uitvoering Krokodilleklem
Kleur: Rood
Busdiameter: 4 mm
Aanrakingsveilig: Ja
Max. spanning: 1000 V</t>
  </si>
  <si>
    <t>Krokodillenklem 686303 30mm 1000V (ALL).
Krokodillenklem max 30mm.
Technische specificaties:
Klasse: Testpen/klem
Uitvoering Krokodillenklem
Kleur: Zwart
Busdiameter: 4 mm
Aanrakingsveilig: Ja
Max. spanning: 1000 V</t>
  </si>
  <si>
    <t xml:space="preserve">Kunststof zegelkap met kliksluiting. 1-delig, geel tbv gas, Fabr: KZ;
Type: EP-MIC Dinwendig = 45; Binwendig = 57,5 mm; d1 = 45 mm; d2 = 57,5
mm; tbv: Meterinvoerconstructie(MIC) 63 + 32 PE
</t>
  </si>
  <si>
    <t>Schroefkabelschoen 50-240mm2 Al-Cu met vlag in het midden met gat 17mm.</t>
  </si>
  <si>
    <t xml:space="preserve">Doorslijpschijf Flexovit A46T-BF41 125x1,6x22 Staal/RVS
THIN CUT· Staal / RVS / inox· IJzer-, zwavel- en chloorvrij
· Makkelijk en comfortabel slijpen
· Braamvrij slijpresultaat
· Hoge stabiliteit
· Vlak
</t>
  </si>
  <si>
    <t>Waarschuwingsbord GAS incl driepoot (ALL)
Waarschuwingsbord GAS
Roken en open vuur verboden
inclusief driepoot inklapbaar
Driepoot waarschuwingsbord Roken en open vuur verboden,
materiaal frame aluminium en polyester,
doek afmetingen ca H=83 cm en L=70 cm,
verpakt in hoes.</t>
  </si>
  <si>
    <t>Tape Bison dubbel fix 19mm x 1,5m foam dubbelzijdig
Dubbelzijde foamtape breed 19 mm
Rol a 1,5 meter
Type: Bison Fix.</t>
  </si>
  <si>
    <t>Krokodilklem Geis ak-2s rood
Uitvoering: gesoleerd. Met 4 mm busaansluiting voor banaan- en
schuifhulsstekers.
Schroefaansluiting voor 1, 5 mm aders.
Klembereik: maximaal 9, 5 mm.
Maximale spanning: 70V.</t>
  </si>
  <si>
    <t>Krokodilklem Geis ak-2s zwart
Uitvoering: gesoleerd. Met 4 mm busaansluiting voor banaan- en
schuifhulsstekers.
Schroefaansluiting voor 1, 5 mm aders.
Klembereik: maximaal 9, 5 mm.
Maximale spanning: 70V.</t>
  </si>
  <si>
    <t xml:space="preserve">Meetsnoer 3824398 L=1m m banaanpluggen rood (ALL)
Meetsnoer met twee banaanpluggen. Technische specificaties:  Klasse:
Steker meet/testinstrument  Serie: Banaan  Uitvoering: Meetsnoer
Kleur: Rood   Leiding: aansluiting N.v.t.   Stiftdiameter: 2 mm
Koppelbaar d.m.v. extra bus: Nee   Busdiameter (indien van toepassing):
0 mm  Aansluiting: N.v.t.   Aanrakingsveilig: Ja   Max. spanning: 250 V
Max. stroom.: 10 A
</t>
  </si>
  <si>
    <t xml:space="preserve">Meetsnoer 3824380 L=1m m banaanpluggen zwart (ALL)
Meetsnoer met twee banaanpluggen. Technische specificaties:  Klasse:
Steker meet/testinstrument  Serie: Banaan  Uitvoering: Meetsnoer
Kleur: Zwart   Leiding: aansluiting N.v.t.   Stiftdiameter: 2 mm
Koppelbaar d.m.v. extra bus: Nee   Busdiameter (indien van toepassing):
0 mm  Aansluiting: N.v.t.   Aanrakingsveilig: Ja   Max. spanning: 250 V
Max. stroom.: 10 A
</t>
  </si>
  <si>
    <t xml:space="preserve">Revisieset V.A.K. Romb.-Act. 233-12/DN50.
</t>
  </si>
  <si>
    <t>Revisieset voor regelaar Romb.-Act. 233-12/DN50.</t>
  </si>
  <si>
    <t xml:space="preserve"> Gevelpassage 1¼" beklede stalen pijp. Inclusief bevestigingsmateriaal.
</t>
  </si>
  <si>
    <t xml:space="preserve"> Gevelpassage 1" beklede stalen pijp. Inclusief bevestigingsmateriaal.
</t>
  </si>
  <si>
    <t xml:space="preserve"> Gevelbevestiging voor renovatie koperen doorvoer Cu 22mm  x pe 32mm.
Inclusief bevestigingsmateriaal.
</t>
  </si>
  <si>
    <t xml:space="preserve">Montageplaat SAM RVS L=473mm.
</t>
  </si>
  <si>
    <t xml:space="preserve"> Geveldoorvoer
met PE-buis PE 32 x 2,3 mm SDR 17,6
Lengte 22,50 meter.</t>
  </si>
  <si>
    <t xml:space="preserve"> Geveldoorvoer
met PE-buis PE 32 x 2,3 mm SDR 17,6
Lengte 15,00 meter.</t>
  </si>
  <si>
    <t xml:space="preserve"> Geveldoorvoer
met PE-buis PE 32 x 2,3 mm SDR 17,6
Lengte 7,50 meter.</t>
  </si>
  <si>
    <t xml:space="preserve"> Geveldoorvoer
met PE-buis PE 32 x 2,3 mm SDR 17,6
Lengte 6,00 meter.</t>
  </si>
  <si>
    <t xml:space="preserve"> Geveldoorvoer
met PE-buis PE 32 x 2,3 mm SDR 17,6
Lengte 4,25 meter.</t>
  </si>
  <si>
    <t xml:space="preserve"> Geveldoorvoer
met PE-buis PE 40 x 2,3 mm SDR 17,6
Lengte 22,50 meter.</t>
  </si>
  <si>
    <t xml:space="preserve"> Geveldoorvoer
met PE-buis PE 40 x 2,3 mm SDR 17,6
Lengte 15,00 meter.</t>
  </si>
  <si>
    <t xml:space="preserve"> Geveldoorvoer
met PE-buis PE 40 x 2,3 mm SDR 17,6
Lengte 7,50 meter.</t>
  </si>
  <si>
    <t xml:space="preserve"> Geveldoorvoer
met PE-buis PE 40 x 2,3 mm SDR 17,6
Lengte 6,00 meter.</t>
  </si>
  <si>
    <t xml:space="preserve"> Geveldoorvoer
met PE-buis PE 40 x 2,3 mm SDR 17,6
Lengte 4,25 meter.</t>
  </si>
  <si>
    <t xml:space="preserve"> Klikmoer v insteekknie 32&lt;(&gt;&amp;&lt;)&gt;40mm tbv OSE.Kunststof.
</t>
  </si>
  <si>
    <t xml:space="preserve"> Ontspanningselement, lange lus, diameter: 32 mm, horizontaal met
klikmoer, en 32/25 haakse Multi-Functionele koppeling. Lengte 80cm. Rode
beschermdop.
</t>
  </si>
  <si>
    <t xml:space="preserve"> Ontspanningselement, lange lus, diameter: 32 mm, horizontaal met
klikmoer, en 32/25 rechte Multi-Functionele koppeling. Lengte 80 cm.
Rode beschermdop.
</t>
  </si>
  <si>
    <t xml:space="preserve"> Ontspanningselement, lange lus, diameter: 40 mm, links met klikmoer, en
40 x 3,7 mm spie-eind. Lengte 80cm. Groene beschermdop.
</t>
  </si>
  <si>
    <t xml:space="preserve"> Ontspanningselement, lange lus, diameter: 40 mm, rechts met klikmoer,
en 40 x 3,7 mm spie-eind. Lengte 80cm. Blauwe beschermdop.
</t>
  </si>
  <si>
    <t xml:space="preserve">Renovatiekoppeling ten behoeve van clickmoer, diameter: 1". Staal -
PE-bekleed.
</t>
  </si>
  <si>
    <t xml:space="preserve">Renovatiekoppeling, diameter: 1". Staal (blank).
</t>
  </si>
  <si>
    <t xml:space="preserve">Renovatiekoppeling, diameter: 1¼". Staal (blank).
</t>
  </si>
  <si>
    <t xml:space="preserve">Renovatiekoppeling, diameter: 1¼". Staal - PE-bekleed.
</t>
  </si>
  <si>
    <t xml:space="preserve">Knijpfles a 50 ml.
Schroefdraadafdichting Loctite 577 50ml
Loctite 577 pijpafdichtingsmiddel met gemiddelde sterkte voor metalen
schroefdraden  Universele vloeibare Schroefdraada fdichting voor het
afdichten van metalen verbindingen Uitsluitend geschikt voor metalen
verbindingen Onmiddellijke lage druk afdichting
</t>
  </si>
  <si>
    <t xml:space="preserve">Bord A5 Liander + storingsnummer volgens bijgevoegd voorbeeld.
Kleurvast, weerbestendig kunststof voorzien van vier bevestigingsgaten
rond 5 mm.
Tekst:
Liander onderdeel van Alliander.
Storing electriciteit of gas?
0800 – 9009
</t>
  </si>
  <si>
    <t xml:space="preserve">Lijmpistool snelschuim 2 componenten PU (ALL)
Lijmpistool, tbv 2-componenten poly-urethaan snelschuim.
Kitspuit Illbruck AA281 210ml 2K foamgun 210Pro
</t>
  </si>
  <si>
    <t>Dozen polyethyleen transparante zakken.
Afm.: L= 73 cm. B= 45 cm.
Verpakking: doos a 700 stuks.
T.b.v. Foetsjiebak.</t>
  </si>
  <si>
    <t xml:space="preserve">Knopsteel Streuding  130 cm.  gebogen
</t>
  </si>
  <si>
    <t xml:space="preserve">Betonschop Ruhr-Brillant 0 3/4 excl steel (ALL)
Type: 0 3/4 Betonschop Ruhr-Brillant
Kleur: Rood.
Zonder steel
</t>
  </si>
  <si>
    <t xml:space="preserve">Betonschop Diamant 0 excl steel (ALL)
Betonschop Atlas Diamant
Zonder steel
</t>
  </si>
  <si>
    <t xml:space="preserve">Batssteel Atlas 210800 100cm gebogen
Batssteel essen
Lengte: 100cm
Gebogen model
</t>
  </si>
  <si>
    <t xml:space="preserve">Batssteel Atlas 210810 110cm gebogen
Batssteel essen
Lengte: 110cm
Gebogen model
</t>
  </si>
  <si>
    <t xml:space="preserve">Batssteel Atlas 210830 130cm gebogen
Batssteel essen
Lengte: 130cm
Gebogen model
</t>
  </si>
  <si>
    <t>Sticker, afmeting 450 x 327 mm, (ca A3),
"Storing?
Ga naar liander.nl/storing
of bel 0800-9009
Liander beheert het netwerk vcor gas en stroom"
Kleurvast, weerbestendig, niet verwijderbaar.
Verpakt per 25 stuks (geseald of sluitzak)</t>
  </si>
  <si>
    <t>Sticker, afmeting 317 x 230 mm, (ca A4),
"Storing?
Ga naar liander.nl/storing
of bel 0800-9009
Liander beheert het netwerk vcor gas en stroom"
Kleurvast, weerbestendig, niet verwijderbaar.
Verpakt per 25 stuks (geseald of sluitzak)</t>
  </si>
  <si>
    <t>Sticker, afmeting 230 x 168 mm, (ca A5),
"Storing?
Ga naar liander.nl/storing
of bel 0800-9009
Liander beheert het netwerk vcor gas en stroom"
Kleurvast, weerbestendig, niet verwijderbaar.
Verpakt per 25 stuks (geseald of sluitzak)</t>
  </si>
  <si>
    <t>Sticker, afmeting 168 x 125 mm, (ca A6),
"Storing?
Ga naar liander.nl/storing
of bel 0800-9009
Liander beheert het netwerk vcor gas en stroom"
Kleurvast, weerbestendig, niet verwijderbaar.
Verpakt per 25 stuks (geseald of sluitzak)</t>
  </si>
  <si>
    <t>Sticker, afmeting 420 x 290 mm, (ca A3),
voorzien van montagefolie, en rugslit,
Opdruk Liander-logo.
Kleurvast, weerbestendig, niet verwijderbaar.
Verpakt per 25 stuks (geseald of sluitzak).</t>
  </si>
  <si>
    <t>Sticker, afmeting 297 x 200 mm, (ca A4),
voorzien van rugslit,
Opdruk Liander-logo.
Kleurvast, weerbestendig, niet verwijderbaar.
Verpakt per 25 stuks (geseald of sluitzak).</t>
  </si>
  <si>
    <t>Sticker, afmeting 210 x 145 mm, (ca A5),
voorzien van rugslit,
Opdruk Liander-logo.
Kleurvast, weerbestendig, niet verwijderbaar.
Verpakt per 25 stuks (geseald of sluitzak)</t>
  </si>
  <si>
    <t>Sticker, afmeting 145 x 100 mm, (ca A6),
voorzien van rugslit,
Opdruk Liander-logo.
Kleurvast, weerbestendig, niet verwijderbaar.
Verpakt per 25 stuks (geseald of sluitzak)</t>
  </si>
  <si>
    <t>Sticker,
afmetingen: 110 x 140 mm,
achtergrondkleur: groen,
"Kathodische bescherming
tel 0800-9009".
Verpakt per 50 stuks (hersluitbaar zakje of geseald)</t>
  </si>
  <si>
    <t xml:space="preserve">Achterplaat voor aanwijbord, materiaal: aluminimum, volgens DIN 4065.
Maatvoering 140 x 200 mm.
</t>
  </si>
  <si>
    <t>Accu 36V 6Ah v boorhamer Bosch GBH; Krachtige 6,0 Ah-accu met maximale
looptijd in de 36V-klasse van Bosch. COOLPACK 1.0 verbetert de
hitteverspreiding van de binnen- naar de buitenkant van de accu voor een
langere levensduur en looptijd. Compatibel met alle Bosch Professional
36V-machines en opladers
De GBA 36V 6.0Ah Professional is een Lithium-Ion (Li-Ion) accu met een
accu-oplaadaanduiding.</t>
  </si>
  <si>
    <t xml:space="preserve">Mespatroon  25A DIN 1
met combimelder,
karakteristiek gG,
type LNH1025M
</t>
  </si>
  <si>
    <t>Sticker voor de Aansluitkast AK250.</t>
  </si>
  <si>
    <t>2 mespatroonhouders incl 6A mespatroon,
gemonteerd op pertinax montageplaat.</t>
  </si>
  <si>
    <t xml:space="preserve">Soldeertin tin/lood 50/50 4mm dia rond (ALL)
Tinsoldeer 50/50 (tin/lood)
Diameter 4 mm
Rol a 1 kg
</t>
  </si>
  <si>
    <t>Enkelzijdige cilinder Europrofiel 17 mm,
standaard uitvoering,
Lengte: 60,5 mm (buitenzijde) + 9,5 mm (binnenzijde),
Cataloguslengte = 60 mm,
Code 1.2 (HS),
Fabr. Lips, Type Trivium S8461.</t>
  </si>
  <si>
    <t>Enkelzijdige cilinder Europrofiel 17 mm,
standaard uitvoering,
Lengte: 75,5 mm (buitenzijde) + 9,5 mm (binnenzijde),
Cataloguslengte = 75 mm,
Code 1.2 (HS),
Fabr. Lips, Type Trivium S8461.</t>
  </si>
  <si>
    <t>Enkelzijdige cilinder Europrofiel 17 mm,
standaard uitvoering,
Lengte: 60,5 mm (buitenzijde) + 9,5 mm (binnenzijde),
Cataloguslengte = 60 mm,
Code 1.3 (E-LAAGSPANNING)
Fabr. Lips, Type Trivium S8461.</t>
  </si>
  <si>
    <t>Enkelzijdige cilinder Europrofiel 17 mm,
standaard uitvoering,
Lengte: 70,5 mm (buitenzijde) + 9,5 mm (binnenzijde),
Cataloguslengte = 70 mm,
Code 1.3 (E-LAAGSPANNING)
Fabr. Lips, Type Trivium S8461.</t>
  </si>
  <si>
    <t>Enkelzijdige cilinder Europrofiel 17 mm,
standaard uitvoering,
Lengte: 75,5 mm (buitenzijde) + 9,5 mm (binnenzijde),
Cataloguslengte = 75 mm,
Code 1.3 (E-LAAGSPANNING)
Fabr. Lips, Type Trivium S8461.</t>
  </si>
  <si>
    <t>Enkelzijdige cilinder Europrofiel 17mm,
standaard uitvoering,
Lengte: 40,5 mm (buitenzijde) + 9,5 mm (binnenzijde),
Cataloguslengte = 40 mm,
Code 1.4 (E-terrein),
Fabr. Lips, Type Trivium S8462.</t>
  </si>
  <si>
    <t>Enkelzijdige cilinder Europrofiel 17mm,
standaard uitvoering,
Lengte: 45,5 mm (buitenzijde) + 9,5 mm (binnenzijde),
Cataloguslengte = 45 mm,
Code 1.4 (E-terrein),
Fabr. Lips, Type Trivium S8462.</t>
  </si>
  <si>
    <t>Enkelzijdige cilinder Europrofiel 17mm,
standaard uitvoering,
Lengte: 50,5 mm (buitenzijde) + 9,5 mm (binnenzijde),
Cataloguslengte = 50 mm,
Code 1.4 (E-terrein),
Fabr. Lips, Type Trivium S8462.</t>
  </si>
  <si>
    <t>Enkelzijdige cilinder Europrofiel 17mm,
standaard uitvoering,
Lengte: 55,5 mm (buitenzijde) + 9,5 mm (binnenzijde),
Cataloguslengte = 55 mm,
Code 1.4 (E-terrein),
Fabr. Lips, Type Trivium S8462.</t>
  </si>
  <si>
    <t>Enkelzijdige cilinder Europrofiel 17mm,
standaard uitvoering,
Lengte: 60,5 mm (buitenzijde) + 9,5 mm (binnenzijde),
Cataloguslengte = 60 mm,
Code 1.4 (E-terrein),
Fabr. Lips, Type Trivium S8462.</t>
  </si>
  <si>
    <t>Enkelzijdige cilinder Europrofiel 17mm,
standaard uitvoering,
Lengte: 65,5 mm (buitenzijde) + 9,5 mm (binnenzijde),
Cataloguslengte = 65 mm,
Code 1.4 (E-terrein),
Fabr. Lips, Type Trivium S8462.</t>
  </si>
  <si>
    <t>Enkelzijdige cilinder Europrofiel 17mm,
standaard uitvoering,
Lengte: 70,5 mm (buitenzijde) + 9,5 mm (binnenzijde),
Cataloguslengte = 70 mm,
Code 1.4 (E-terrein),
Fabr. Lips, Type Trivium S8462.</t>
  </si>
  <si>
    <t>Enkelzijdige cilinder Europrofiel 17mm,
standaard uitvoering,
Lengte: 75,5 mm (buitenzijde) + 9,5 mm (binnenzijde),
Cataloguslengte = 75 mm,
Code 1.4 (E-terrein),
Fabr. Lips, Type Trivium S8462.</t>
  </si>
  <si>
    <t>Enkelzijdige cilinder Europrofiel 17 mm,
standaard uitvoering,
Lengte: 50,5 mm (buitenzijde) + 9,5 mm (binnenzijde),
Cataloguslengte = 50 mm,
Code 1.6.x (E-grootverbruikers),
Inclusief 2 sleutels,
Fabr. Lips, Type Trivium S8461.</t>
  </si>
  <si>
    <t>Enkelzijdige cilinder Europrofiel 17 mm,
standaard uitvoering,
Lengte: 60,5 mm (buitenzijde) + 9,5 mm (binnenzijde),
Cataloguslengte = 60 mm,
Code 1.6.x (E-grootverbruikers),
Inclusief 2 sleutels,
Fabr. Lips, Type Trivium S8461.</t>
  </si>
  <si>
    <t>Enkelzijdige cilinder Europrofiel 17 mm,
standaard uitvoering,
Lengte: 70,5 mm (buitenzijde) + 9,5 mm (binnenzijde),
Cataloguslengte = 70 mm,
Code 1.6.x (E-grootverbruikers),
Inclusief 2 sleutels,
Fabr. Lips, Type Trivium S8461.</t>
  </si>
  <si>
    <t>Enkelzijdige cilinder Europrofiel 17 mm,
verlengde uitvoering,
Lengte: 65,5 mm (buitenzijde) + 9,5 mm (binnenzijde),
Cataloguslengte = 65 mm,
Code 2.1 (gas),
Fabr. Lips, Type Trivium S8461.</t>
  </si>
  <si>
    <t>Enkelzijdige cilinder Europrofiel 17 mm,
verlengde uitvoering,
Lengte: 70,5 mm (buitenzijde) + 9,5 mm (binnenzijde),
Cataloguslengte = 70 mm,
Code 2.1 (gas),
Fabr. Lips, Type Trivium S8461.</t>
  </si>
  <si>
    <t>Enkelzijdige cilinder Europrofiel 17 mm,
verlengde uitvoering,
Lengte: 75,5 mm (buitenzijde) + 9,5 mm (binnenzijde),
Cataloguslengte = 75 mm,
Code 2.1 (gas),
Fabr. Lips, Type Trivium S8461.</t>
  </si>
  <si>
    <t>Enkelzijdige cilinder Europrofiel 17mm,
standaard uitvoering,
Lengte: 40,5 mm (buitenzijde) + 9,5 mm (binnenzijde),
Cataloguslengte = 40 mm,
Code 2.6 (Gas-terrein),
Fabr. Lips, Type Trivium S8462.</t>
  </si>
  <si>
    <t>Enkelzijdige cilinder Europrofiel 17mm,
standaard uitvoering,
Lengte: 45,5 mm (buitenzijde) + 9,5 mm (binnenzijde),
Cataloguslengte = 45 mm,
Code 2.6 (Gas-terrein),
Fabr. Lips, Type Trivium S8462.</t>
  </si>
  <si>
    <t>Enkelzijdige cilinder Europrofiel 17mm,
standaard uitvoering,
Lengte: 50,5 mm (buitenzijde) + 9,5 mm (binnenzijde),
Cataloguslengte = 50 mm,
Code 2.6 (Gas-terrein),
Fabr. Lips, Type Trivium S8462.</t>
  </si>
  <si>
    <t>Enkelzijdige cilinder Europrofiel 17mm,
standaard uitvoering,
Lengte: 55,5 mm (buitenzijde) + 9,5 mm (binnenzijde),
Cataloguslengte = 55 mm,
Code 2.6 (Gas-terrein),
Fabr. Lips, Type Trivium S8462.</t>
  </si>
  <si>
    <t>Enkelzijdige cilinder Europrofiel 17mm,
standaard uitvoering,
Lengte: 60,5 mm (buitenzijde) + 9,5 mm (binnenzijde),
Cataloguslengte = 60 mm,
Code 2.6 (Gas-terrein),
Fabr. Lips, Type Trivium S8462.</t>
  </si>
  <si>
    <t>Enkelzijdige cilinder Europrofiel 17mm,
standaard uitvoering,
Lengte: 65,5 mm (buitenzijde) + 9,5 mm (binnenzijde),
Cataloguslengte = 65 mm,
Code 2.6 (Gas-terrein),
Fabr. Lips, Type Trivium S8462.</t>
  </si>
  <si>
    <t>Enkelzijdige cilinder Europrofiel 17mm,
standaard uitvoering,
Lengte: 70,5 mm (buitenzijde) + 9,5 mm (binnenzijde),
Cataloguslengte = 70 mm,
Code 2.6 (Gas-terrein),
Fabr. Lips, Type Trivium S8462.</t>
  </si>
  <si>
    <t>Enkelzijdige cilinder Europrofiel 17mm,
standaard uitvoering,
Lengte: 75,5 mm (buitenzijde) + 9,5 mm (binnenzijde),
Cataloguslengte = 75 mm,
Code 2.6 (Gas-terrein),
Fabr. Lips, Type Trivium S8462.</t>
  </si>
  <si>
    <t>Enkelzijdige cilinder Europrofiel 17mm,
verlengde uitvoering,
Lengte: 45,5 mm (buitenzijde) + 9,5 mm (binnenzijde),
Cataloguslengte = 45 mm,
Code 2.7.x (gas-grootverbruikers),
Inclusief 2 sleutels,
Fabr. Lips, Type Trivium S8461.</t>
  </si>
  <si>
    <t>Enkelzijdige cilinder Europrofiel 17mm,
verlengde uitvoering,
Lengte: 60,5 mm (buitenzijde) + 9,5 mm (binnenzijde),
Cataloguslengte = 60 mm,
Code 2.7.x (gas-grootverbruikers),
Inclusief 2 sleutels,
Fabr. Lips, Type Trivium S8461.</t>
  </si>
  <si>
    <t>Enkelzijdige cilinder Europrofiel 17mm,
verlengde uitvoering,
Lengte: 65,5 mm (buitenzijde) + 9,5 mm (binnenzijde),
Cataloguslengte = 65 mm,
Code 2.7.x (gas-grootverbruikers),
Inclusief 2 sleutels,
Fabr. Lips, Type Trivium S8461.</t>
  </si>
  <si>
    <t>Enkelzijdige cilinder Europrofiel 17mm,
verlengde uitvoering,
Lengte: 70,5 mm (buitenzijde) + 9,5 mm (binnenzijde),
Cataloguslengte = 70 mm,
Code 2.7.x (gas-grootverbruikers),
Inclusief 2 sleutels,
Fabr. Lips, Type Trivium S8461.</t>
  </si>
  <si>
    <t>Enkelzijdige cilinder Europrofiel 17mm,
verlengde uitvoering,
Lengte: 75,5 mm (buitenzijde) + 9,5 mm (binnenzijde),
Cataloguslengte = 75 mm,
Code 2.7.x (gas-grootverbruikers),
Inclusief 2 sleutels,
Fabr. Lips, Type Trivium S8461.</t>
  </si>
  <si>
    <t>Enkelzijdige cilinder Europrofiel 17 mm,
standaard uitvoering,
Lengte: 40,5 mm (buitenzijde) + 9,5 mm (binnenzijde),
Cataloguslengte = 40 mm,
Code A.1.2.3 E/G/W voor gemeenschappelijke toegang.
Fabr. Lips, Type Trivium S8461.</t>
  </si>
  <si>
    <t>Enkelzijdige cilinder Europrofiel 17 mm,
standaard uitvoering,
Lengte: 45,5 mm (buitenzijde) + 9,5 mm (binnenzijde),
Cataloguslengte = 45 mm,
Code A.1.2.3 E/G/W voor gemeenschappelijke toegang.
Fabr. Lips, Type Trivium S8461.</t>
  </si>
  <si>
    <t>Enkelzijdige cilinder Europrofiel 17 mm,
standaard uitvoering,
Lengte: 50,5 mm (buitenzijde) + 9,5 mm (binnenzijde),
Cataloguslengte = 50 mm,
Code A.1.2.3 E/G/W voor gemeenschappelijke toegang.
Fabr. Lips, Type Trivium S8461.</t>
  </si>
  <si>
    <t>Enkelzijdige cilinder Europrofiel 17 mm,
standaard uitvoering,
Lengte: 55,5 mm (buitenzijde) + 9,5 mm (binnenzijde),
Cataloguslengte = 55 mm,
Code A.1.2.3 E/G/W voor gemeenschappelijke toegang.
Fabr. Lips, Type Trivium S8461.</t>
  </si>
  <si>
    <t>Enkelzijdige cilinder Europrofiel 17 mm,
standaard uitvoering,
Lengte: 60,5 mm (buitenzijde) + 9,5 mm (binnenzijde),
Cataloguslengte = 60 mm,
Code A.1.2.3 E/G/W voor gemeenschappelijke toegang.
Fabr. Lips, Type Trivium S8461.</t>
  </si>
  <si>
    <t>Enkelzijdige cilinder Europrofiel 17 mm,
standaard uitvoering,
Lengte: 65,5 mm (buitenzijde) + 9,5 mm (binnenzijde),
Cataloguslengte = 65 mm,
Code A.1.2.3 E/G/W voor gemeenschappelijke toegang.
Fabr. Lips, Type Trivium S8461.</t>
  </si>
  <si>
    <t>Enkelzijdige cilinder Europrofiel 17 mm,
standaard uitvoering,
Lengte: 70,5 mm (buitenzijde) + 9,5 mm (binnenzijde),
Cataloguslengte = 70 mm,
Code A.1.2.3 E/G/W voor gemeenschappelijke toegang.
Fabr. Lips, Type Trivium S8461.</t>
  </si>
  <si>
    <t>Enkelzijdige cilinder Europrofiel 17 mm,
standaard uitvoering,
Lengte: 75,5 mm (buitenzijde) + 9,5 mm (binnenzijde),
Cataloguslengte = 75 mm,
Code A.1.2.3 E/G/W voor gemeenschappelijke toegang.
Fabr. Lips, Type Trivium S8461.</t>
  </si>
  <si>
    <t xml:space="preserve">Adereindhuls Conta Clip 2211.0 H 6mm2,
L=26mm zwart.
Adereindhuls voor 6mm2 bedrading,
Lengte totaal: 26mm.
Lengte insteek: 18mm.
</t>
  </si>
  <si>
    <t xml:space="preserve"> Transparante kunststof Pallet-stretch-folie
v machinaal verpakken,
Rollen van 1500 meter, 50 cm breed en 23 mu dikte.</t>
  </si>
  <si>
    <t>Laadkabel Streamlight 12341 12-24V autolader tbv SurvivorLED</t>
  </si>
  <si>
    <t xml:space="preserve">Stekerlader Streamlight 22061 230V laadsnoer tbv SurvivorLED
</t>
  </si>
  <si>
    <t>Lamp oplaadbaar. 20W/12V;
Streamlight E-Flood Litebox Lantaarn oplaadbaar oranje met 12V en 230V
lader.
De E-Flood Litebox is een industriële, oplaadbare, draagbare lantaarn
met een Flood (dichtbij) verlichting die uitstekend geschikt is als
werklamp. De E-Flood Litebox maakt gebruik van 6 stuks C4 LED's
(levensduur 50.000 uur) en reflectoren die voor een uniforme en breed
straalpatroon zorgen. Daarbij heeft deze Streamlight E-Flood Litebox een
zwenkbare nek van 90 graden zodat je in elke richting kunt kijken. Met
de tuimelschakelaar kun je de hoge en lage stand van de verlichting
kiezen. Bovendien krijg je een uitzonderlijk lange looptijd (tot 15 uur)
op een enkele batterijlading. Deze onderhoudsvrije loodaccu (6V, 12Ah)
is tot 500 keer oplaadbaar door de meegeleverde 12V en 230V laders. Een
laadindicator geeft de status van het opladen aan. De behuizing is
gemaakt van hoogwaardig oranje ABS met een rubberen stootbumper,
lensring, handgreep van zacht materiaal en versterkte D-ringen. De lens
van deze werklamp is gemaakt van onbreekbaar polycarbonaat met een
krasbestendige coating. De lamp is waterdicht volgens IPX-4 en heeft een
uniek serienummer.
Prestaties (lumen, brandduur, straalafstand en lichtintensiteit) van de
oplaadbare E-Flood Litebox Lantaarn met de geïntegreerde batterij (6V,
12Ah):
Hoog: 615 lumen - 8 uur - 126 meter - 4000 candela
Laag: 330 lumen - 18 uur - 93 meter - 2150 candela</t>
  </si>
  <si>
    <t xml:space="preserve">Reservelamp Streamlight Litebox 20W (ALL)
Lamp reserve 20 W /6V Streamlight Litebox
</t>
  </si>
  <si>
    <t xml:space="preserve">Reservemes Rose 10923 tbv mantelsnijder (ALL)
Reservemes tbv Mantelsnijder Rose 10923 (A348862)
</t>
  </si>
  <si>
    <t>Markeringsflap PVC met opdruk Liander kabels, lengte 80cm, kleur wit
voor het tijdelijk markeren van kabels. Inclusief 2 buisjes voor
bevestiging van de flap.</t>
  </si>
  <si>
    <t>Affakkelinstallatie Esders 8bar max compl. In koffer (ALL)
Affakkel installatie compleet  Fakkelinstallatie voor druk van maximaal
8 bar in koffer.   Compleet met:  Standbuis en affakkelbuis (402058)
Statief (402140)  Difusor (402141)  Aardingskabel (402141)  Adaptors
(402136, 402137, 402033 en 402030)  Gasslang 10 mtr (402145)</t>
  </si>
  <si>
    <t xml:space="preserve">Stickervel rood v meterprocedure (vel a 27 stuks).
(pak a 25 vel).
Stickers, vinyl.
Kleur: rood, met witte letters.
Tekst:
Digitaal display retour (slimme) meter naar Liander L&lt;(&gt;&amp;&lt;)&gt;R Amsterdam.
</t>
  </si>
  <si>
    <t xml:space="preserve">Sticker groen/zwart meterprocedure (vel a 18).
Stickers, vinyl,
kleur: lichtgroen,
afmetingen: 8 x 4,5 cm.
(pak is 25 vel).
</t>
  </si>
  <si>
    <t>Elektrolas aftakzadel PE 100 SDR11 160x110mm. Diameter doorgaande
leiding 160mm, aftakking 110mm.</t>
  </si>
  <si>
    <t>Aftakzadel elektrolas PE 100 SDR11 200x110mm. Diameter doorgaande
leiding 2000mm, aftakking 110mm.</t>
  </si>
  <si>
    <t xml:space="preserve">Aftakzadel elektrolas PE 100 SDR11 250x110mm. Diameter doorgaande
leiding 250mm, aftakking 110mm.
</t>
  </si>
  <si>
    <t xml:space="preserve">T-stuk elektrolas PE100 SDR11, 160 x 110 mm, 10 bar gas, PE100 SDR11.
Elektrolasmof 160 mm x 110 mm x 160 mm. Mof x spie x mof.
</t>
  </si>
  <si>
    <t xml:space="preserve">Reservemes GF rotatieschraper tbv PE buis (ALL)
Reserve mesje voor Rotatieschraper,
RS voor PE 80 of 100 voor alle maten PE.
</t>
  </si>
  <si>
    <t xml:space="preserve">Buiseindeschraper GF SDR11 32mm tbv PE buis (ALL)
Buis einde schraper PT4 voor PE 80 of 100,
voor maat PE 32  SDR 11.
</t>
  </si>
  <si>
    <t xml:space="preserve">Reservemes GF buiseindeschaper tbv PE buis (ALL)
Reserve mesje tbv Buis einde schraper,
PT4 voor PE 80 of 100 voor alle maten PE 63  SDR 11.
</t>
  </si>
  <si>
    <t xml:space="preserve">Rotatieschraper GF 40mm tbv PE buis (ALL)
Type: RS 40.
Rotatieschraper voor PE 80 of 100 voor een maat PE 40.
</t>
  </si>
  <si>
    <t xml:space="preserve">Rotatieschraper GF 50mm tbv PE buis (ALL)
Type: RS 50.
Rotatieschraper voor PE 80 of 100 voor een maat PE 50.
</t>
  </si>
  <si>
    <t>Kabelafdekkap, bovenaansluitingen,
voor 1000 A voedende strook.
Afdekkap boven omgebouwde VTSR1000-AO met VTSR1000-AU.
Weber, type V-KOS 1000.</t>
  </si>
  <si>
    <t xml:space="preserve"> Gevelplaat, met aansluitkop en afdichting.
materiaal plaat: RVS.
Inclusief:
- 4x RVS houtdraadbouten
- 4x RVS ring
- 4 pluggen
- rubber pakking t.b.v. gasbelemmering.
</t>
  </si>
  <si>
    <t xml:space="preserve">Veiligheidafslagklep, merk: IGA-Elster. Type: SSV serie 100 HP = hoge
druk uitvoering. Flensaansluiting. Nominale diameter: DN100 / PN16 / 8
gats. Veerrange 2,5 t/m 6 Bar. Geschikt voor een druk van maximaal
19Bar.
</t>
  </si>
  <si>
    <t xml:space="preserve">Mof verloop elektrolas PE100 SDR11, 90 x 63 mm, 10 bar gas.
</t>
  </si>
  <si>
    <t>Waarschuwingssticker
"VUUR, OPEN VLAM EN ROKEN VERBODEN"
pictogrammen 201/100, 250003.
polyester, rond diameter 100 mm.</t>
  </si>
  <si>
    <t xml:space="preserve">RVS sleutelkastje,
voorzien van europrofielkastdeurslot voor 1/2 cilinder
met achterplaat tbv bevestiging op spijlenhekwerk
Afmetingen kastje  180 x 125 x 50 mm (Breedte x Hoogte x Diepte).
Het geheel blank geparelstraald.
Let op:
Zonder "Cilinder europr x.x EZ 30/10 #Lips 30/10" geleverd.
</t>
  </si>
  <si>
    <t>Kabellastent TWU lang 300x200x190cm (ALL)
Type: 300PZ Kabellastent Afmeting tent: 3.00 x 2.00 x 1.90 meter
Afmeting verpakt: 1.90 x 0.35 x 0.35 meter Gewicht: 16 kg. Deze Karsten
punttent is uitgevoerd met in-/uitgang aan zowel de voor- als
achterzijde. Door beide zijden volledig open te ritsen is de tent
eventueel ook nog breder uit te zetten om een droge werkplek te creëren.
De tent is in enkele seconden op te zetten en het frame zit aan het
tentdoek vast zodat het zoekraken van onderdelen onmogelijk is.  De
aluminium scharnierplaten waar de stokken in samenkomen zijn van de
beste kwaliteit en deze werktent wordt in een luxe draagtas met
schouderband geleverd.</t>
  </si>
  <si>
    <t xml:space="preserve">Aftakzadel elektrolas PE100 SDR11 315x63mm, topload. Diameter doorgaande
leiding 315mm, aftakking 63mm spie-eind.
</t>
  </si>
  <si>
    <t xml:space="preserve">Schuurlinnen Flexovit K20N 50mm K60 Alox rol a 25m; Schuurlinnen
Flexovit K20N 50mm K60 Alox rol a 25m; Ideaal voor kleinschalige metaal-
en houtbewerkingstoepassingen, zoals het verwijderen van aanslag en
roest, licht ontbramen, matteren en fijn schuren. Inzetbaar voor zwaar
en licht handmatig schuren.
</t>
  </si>
  <si>
    <t xml:space="preserve"> Rubberen afdichtingsplug, materiaal: EPDM, type: CSD, 152 x 63 mm voor
mantelbuis 160 mm.
</t>
  </si>
  <si>
    <t>Zeskantplaatschroef zelfborend DIN7504K 4,2x13 elvz ds a 200stuks
Zeskantplaatschroef zelfborend
DIN7504K
Afmeting: 4,2x13
Opp. Bescherming: elvz.</t>
  </si>
  <si>
    <t>Sticker A8 Liander + Storingsnr 0800-9009.
Kleurvast, weerbestendig voor in meterkasten.
Nieuw formaat: 84 x 63 mm.
Voorzien van rugsplit.
Tekst:
"Storing?
Ga naar liander.nl/storing
of bel 0800-9009
Liander beheert het netwerk vcor gas en stroom"
1 pak is 200 gesealed (4 stapeltjes van 50).</t>
  </si>
  <si>
    <t xml:space="preserve">Snijring koppeling recht, 10mm x BSP1/4 buitendraad, DIN2353. Materiaal
Staal-verzinkt.
</t>
  </si>
  <si>
    <t xml:space="preserve">Snijring koppeling recht, 10mm x BSP1/2 buitendraad, DIN2353.  Materiaal
Staal-verzinkt.
</t>
  </si>
  <si>
    <t xml:space="preserve">Snijring koppeling recht, 12mm x BSP1/2 buitendraad, DIN2353. Materiaal
Staal-verzinkt.
</t>
  </si>
  <si>
    <t>Snijring koppeling knie, 10mm x BSP1/4 buitendraad, DIN2353,  materiaal
staal-verzinkt.</t>
  </si>
  <si>
    <t>Snijring koppeling knie, 10mm x BSP1/2 buitendraad, DIN2353,  materiaal
staal-verzinkt.</t>
  </si>
  <si>
    <t xml:space="preserve">Hoofdkraanverwisselgereedschap IPCO Alliander uitv 1/2inch m flex greep
(ALL)
Hoofdkraanverwisselgereeds IPCO 1/2inch m flex greep
Hoofdkraanverwissel gereedschap
IPCO BOSTOP set in Alliander uitvoering met
BOSTOP 1/2" flexibel speciaal,
BOSTOP 3/4" flexibel speciaal en
BOSTOP 3/4" flexibel standaard en
BOSTOP 1" XS flexibel
inclusief BOSTOP huis 3/4" en
BOSTOP huis 1",
adapters,
Tube Flexseal glijmiddel.
in kunststof koffer.
</t>
  </si>
  <si>
    <t xml:space="preserve">T.a.v Roswitha Groenen, Océ Studio Arnhem
T  026 377 8903
Kofferlabel,
tekst:
voorzijde "Liander onderdeel van Alliander
    (volgens logo Liander)
achterzijde "Let op: Er is een gaslek geconstateerd ..."
Formaat (afgewerkt): 32 x 5 cm,
Tweezijdig in zwart, blauw en rood.
Geseald in pakjes van 25 stuks.
</t>
  </si>
  <si>
    <t xml:space="preserve">Knelkoppeling instelbare knie 10mm – 16x1,5. DIN2353, materiaal
staal-verzinkt.
</t>
  </si>
  <si>
    <t xml:space="preserve">Een gegoten sleepmat met een zeer grote slijtvastheid, flexibiliteit en
een groot temperatuurbereik. Toepassing bij het bovengronds lekzoeken.
 Eigenschappen:
• Stabiele vormgeving waarmee een optimaal contact met de grond wordt
gegarandeerd. De mat kan ook achterwaarts over de grond worden bewogen.
• Stromingskanalen die de oppervlakte afdekken voor het nemen van
monsters.
• Hoog geplaatste aanzuigkop waarmee de opname van stof en vocht wordt
verminderd.
• Filterhouder vervaardigd uit aluminium en POM voor het neerslaan van
zand en fijnstof.
• Een hydrofoob filter houdt water effectief tegen. Door het upstream
geplaatste stoffilter wordt het hydrofobe filter beschermd tegen de
negatieve invloed van zand en fijnstof.
• Knikbescherming voor de slang.
• Kogelgelagerde wielen: door de grote van de wielen is de sleepmat ook
inzetbaar onder de meeste auto's.
• Flexibel beweegbaar, zodat de sleepmat licht over de grond kan worden
bewogen, ook in krappe bochten en (optioneel) zijwaarts.
• Voorzien van telescopische handgrepen voor het instellen van de
optimale werklengte en ruimtebesparend transport.
(Esders 232131c  model TS14)
</t>
  </si>
  <si>
    <t xml:space="preserve">RVS sleutelkluisje,
te voorzien van europrofielslot voor ½ cilinder
tbv plaatsen in stenen muur
Afmetingen kluisje 65x132 RVS mm (Diameter x Diepte).
Het geheel blank geparelstraald.
</t>
  </si>
  <si>
    <t>Bord met symbool:
Open vuur verboden en Atex symbool.
Afmetingen 210 x155 x 5 mm met 4 bevestigingsgaten.
Materiaal: kunststof.</t>
  </si>
  <si>
    <t xml:space="preserve">Kroonsteen proefaders tbv JM stroken (ALL)
</t>
  </si>
  <si>
    <t>Letterblokje, zwarte opdruk "B", achtergrond geel, afmetingen: 15 x 7
mm.</t>
  </si>
  <si>
    <t>Letterblokje, zwarte opdruk "H", achtergrond geel, afmetingen: 15 x 7
mm.</t>
  </si>
  <si>
    <t>Letterblokje, zwarte opdruk "L", achtergrond geel, afmetingen: 15 x 7
mm.</t>
  </si>
  <si>
    <t xml:space="preserve">Waarschuwingsschild, geel,
met tekst "NIET BEDIENEN"
tbv plaatsing bovenop de spindelkop van een
ondergrondse afsluiter.
</t>
  </si>
  <si>
    <t xml:space="preserve">Zekering 2A testpen 2A 20031076 kortsl.vst (ALL)
Zekering 2A tbv testpen (A348514)
</t>
  </si>
  <si>
    <t xml:space="preserve">Testpen krokodillebek 2A zwart incl.zekering (ALL)
Testpen met zwarte krokodillebek
Inclusief 2 A zekering.
</t>
  </si>
  <si>
    <t xml:space="preserve">Testpen krokodillebek 2A rood incl.zekering (ALL)
Testpen met rode krokodillebek
Inclusief 2 A zekering.
</t>
  </si>
  <si>
    <t xml:space="preserve">Gatzagenset, 19-delig, bestaande uit HSS gatzagen voorzien van positieve
vertanding voor een agressieve en snelle verspaning.
Type: 106318
Inhoud:
Gatzagen: 5/8" - 3/4" - 13/16" - 15/16" - 1" - 1.1/8" - 1.1/4" -
1.7/16" - 1.9/16", 1.7/8" - 2" - 2.1/8" - 2.3/8" - 2.7/8" - 3.1/4"
Adapter: 14 - 30 mm. en 32 - 152 mm.
Centreerboor
Verlengstuk
Geleverd in koffer
</t>
  </si>
  <si>
    <t>Schraper buiseinde tbv PE 32 SDR 17,6
Buiseindeschraper GF SDR 17,6 32mm tbv PE buis (ALL)
Buiseinde schraper PT4 voor PE 80 of 100,
voor maat PE 32  SDR 17,6.</t>
  </si>
  <si>
    <t>Schraper buiseinde tbv PE 40 SDR 17,6
Buiseindeschraper GF SDR 17,6 40mm tbv PE buis (ALL)
Buiseinde schraper PT4 voor PE 80 of 100,
voor maat PE 40 SDR 17,6</t>
  </si>
  <si>
    <t xml:space="preserve">Hamerboor RALTEC SDS MAX 16.0x520mm 4-snijder
Raltec hamerboor SDS MAX 4-snijder.
Afmeting: 16.0 x 520 mm.
Per stuk met ophangclip.
</t>
  </si>
  <si>
    <t xml:space="preserve">Hamerboor RALTEC SDS MAX 32.0x600mm 4-snijder
Raltec hamerboor SDS MAX 4-snijder.
Afmeting: 32.0 x 600 mm.
Per stuk met ophangclip.
</t>
  </si>
  <si>
    <t>Hamerboor RALTEC SDS MAX 32,0x920mm 4-snijder
Raltec hamerboor SDS MAX 4-snijder.
Afmeting: 32.0 x 920 mm.
Per stuk met ophangclip.</t>
  </si>
  <si>
    <t xml:space="preserve">Beitel RALTEC SDS MAX 24x400mm platte
Beitel SDS MAX platte
Afmeting: 24 x 400 mm.
</t>
  </si>
  <si>
    <t xml:space="preserve">Beitel Bosch 2608690143 400x50mm spade SDS-max
-
</t>
  </si>
  <si>
    <t xml:space="preserve">Aansluitkast 250 A,
geschikt voor klanten vanaf 3 x 80A t/m 160 kVa.
Incl. sticker A6 (145x100) Liander+storingnr.
Fabr: GE,
855780  VMS grootverbruiker kast AK250+klemmenkast rechts.
</t>
  </si>
  <si>
    <t xml:space="preserve">Sticker "GAS",
Afmetingen 70 x 37 mm,
Zwarte tekst op gele achtergrond.
Vel a 24 stuks.
Geseald in pakjes van 25 vel.
</t>
  </si>
  <si>
    <t>Sticker ¨links draaiveld¨ 52x19 mm,
zwarte tekst op witte achtergrond.
60 stickers per vel.</t>
  </si>
  <si>
    <t>Sticker ¨rechts draaiveld¨ 52x19 mm,
zwarte tekst op witte achtergrond.
60 stickers per vel.</t>
  </si>
  <si>
    <t>Gasmeteropstelling G4/G6.
Pi = 30 mbar + B-klep t.b.v. PE 40 mm inclusief steunbus voor SDR 17,6.
QA-keur. Compleet met bevestigings en verzegelmateriaal.</t>
  </si>
  <si>
    <t xml:space="preserve">Waarschuwingspictogram Levensgevaarlijk Hoge Spanning.
Afmeting 260 x 200 x 4 mm (HxBx d).
Vorm: driehoek,
Materiaal: glasvezelversterkt polyester,
Kleuren: tekst zwart in wit vlak,
en geel met zwarte omtrek met zwartsymbool,
volgens NEN 3011 W02.
Inclusief 3 montage gaten van 3 mm en 5 mm zijkant.
</t>
  </si>
  <si>
    <t>Buis staal met pe-coating, diam. 60,3 x 3,6mm, HSR-langsnaadgelaste
stalen draadbuizen volgens NEN-EN-ISO 3183, materiaal L 245 GA (1.0459),
in lengten van 6 meter, met afgeschuinde einden en
fabriekskeuringscertifikaat EN 10204-3.1, uitwendige pe-coating volgens
DIN30670-N-n, kleur geel, afgedekt met kunststof kappen.</t>
  </si>
  <si>
    <t xml:space="preserve">Slagdop Action DO2012 1/2"-17x38mm
Voor het machinaal vast- en losdraaien van bouten en moeren.
Gefosfateerd.
</t>
  </si>
  <si>
    <t xml:space="preserve">Schroevendraaier Torx T25 VDE, Softfinish electric slimfix torx
schroevendraaier voorzien van 100% kwaliteitsgecontroleerde isolatie
1.000 V AC, VDE en GS-getest. Door de geintregreerde isolatie kunnen
diepliggende schroef en veerelementen worden bereikt en bediend. (WIHA)
Normen: DIN ISO 8764 gemaakt conform IEC 60900:2004
Lengte: 125 / 243 mm.
Maat: T25.
Type: 3251
</t>
  </si>
  <si>
    <t xml:space="preserve">De kithouder/pistool is voor geschikt voor kokers van 310 ml en is nodig
om producten met een hoge viscositeit  aan te brengen. Kitspuit is
vervaardigd van staal met epoxy-coating, het handvat is vervaardigd van
aluminium met epoxy-coating en is voorzien van softgrip.
Afmeting: 355 x 217 x 65 mm.
Max. vermogen: 4,5 kN.
Type Cox AA873
</t>
  </si>
  <si>
    <t>Reciprozaagblad Bosch S1122BF T1,8mm BiM a5stuks
Bi-metaal, gezet en gefreesd.
Toepassing: Sterk staal (3-8 mm), massieve buizen/profielen (ø 10-175
mm), flexibel vlak afzagen, snel zagen.
Totale lengte: 225 mm.
Verpakt per 5 stuks.
Zaagblad v reciprozaag
Geschikt voor: metaal
plaat: 3 - 8 mm,
buis : 10 - 175 mm,
Verpakking: 5 stuks in pakje (225 x 19 x 0,9 mm) 9".
Bosch, type: S1122BF  (2.608.656.019).</t>
  </si>
  <si>
    <t xml:space="preserve">Mespatroon 80A DIN 2
met middenmelder,
karakteristiek gFF,
type LNH2S080MGFF
</t>
  </si>
  <si>
    <t xml:space="preserve"> 75/50 NYLON-versterkte tape in lengte en breedte richting,
transparant.</t>
  </si>
  <si>
    <t>Hulpstuk rerounder 050 50mm tbv PE (ALL)
Rerounding hulpstuk
Inclusief:
- calibratiering voor PE-maat 50 mm,
- steeksleutel,
- hamer.
Tbv het ronddrukken van ovale leidingen voor de op rol geleverde
buizen.</t>
  </si>
  <si>
    <t xml:space="preserve">Hulpstuk rerounder 064 63mm tbv PE (ALL)
Rerounding hulpstuk
Inclusief:
- calibratiering voor PE-maat 63 mm,
- steeksleutel,
- hamer.
Tbv het ronddrukken van ovale leidingen voor de op rol geleverde
buizen.
</t>
  </si>
  <si>
    <t xml:space="preserve">Hulpstuk rerounder 075 75mm tbv PE (ALL)
Rerounding hulpstuk
Inclusief:
- calibratiering voor PE-maat 75 mm,
- steeksleutel,
- hamer.
Tbv het ronddrukken van ovale leidingen voor de op rol geleverde
buizen.
</t>
  </si>
  <si>
    <t xml:space="preserve">Hulpstuk rerounder 110 110mm tbv PE (ALL)
Rerounding hulpstuk
Inclusief:
- calibratiering voor PE-maat 110 mm,
- steeksleutel,
- hamer.
Tbv het ronddrukken van ovale leidingen voor de op rol geleverde
buizen.
</t>
  </si>
  <si>
    <t>Labelprinter;
De DYMO Rhino 4200 Industriële Labelmaker met zijn vertrouwde
QWERTY-toetsenbord en bibliotheek van meer dan 150 symbolen en termen
voor elektro, AV/beveiliging en faciliteitenbeheer, zorgt ervoor dat
industriële labeltaken snel en goed worden uitgevoerd.
Met ‘Hot Key’-sneltoetsen kunt u snel draad- en kabelwikkels, vlaggen,
labels met een vaste lengte en meer maken en opmaken, terwijl een
‘Favorites’-toets toegang biedt tot uw meest gebruikte labels, symbolen
en termen.
Met de Rhino 4200 kunt u labels afdrukken tot 3/4" breed in flexibel
nylon, permanent polyester en duurzaam vinylmateriaal, en rechtstreeks
op heat-shrink buisjes. Geïntegreerde rubberen bumpers helpen schade
voorkomen bij (laten) vallen tijdens het werk.</t>
  </si>
  <si>
    <t xml:space="preserve">Adapter Dymo Labelpoint 350 tbv 20034598 (ALL)
DYMO labelpoint adaptor 230V Universeel
</t>
  </si>
  <si>
    <t xml:space="preserve">Kabelschaar Knipex 9531-280 280mm 52mm/380mm2
Voor het knippen van Cu- en Al- kabels, enkel- en meerdradig  niet
geschikt voor staaldraad  geharde en nauwkeurig geslepen snijkanten
knipt keurig glad af zonder te vervormen  éénhandbediening door
ratelprincipe  minder kracht nodig door optimale
overbrengingsverhoudingen  tandkransaandrijving met twee gangen voor een
moeiteloos snijden  eenvoudige hantering dankzij het geringe gewicht en
de compacte bouwwijze - ook om te gebruiken in kleine ruimtes
klembeveiliging verhindert verwondingen  Speciaal werktuigstaal in
bijzondere kwaliteit, gesmeed, oliegehard   Snijdwaarde cu kabel
meerdraadig: (diameter): 52.00mm Snijdwaarde cu kabel meerdraadig:
380mm2.
</t>
  </si>
  <si>
    <t>Fisher 99-42-HT, gasdrukregelaar, revisieset, aanbevolen spareparts voor
body en HT-afslagveiligheid, en "L" stuurkop.</t>
  </si>
  <si>
    <t>Meetklem voor draad, t.b.v. spanningsmeting. 1 set is 4 stuks. Inclusief
zekeringen.</t>
  </si>
  <si>
    <t xml:space="preserve">Testhulpstuk KP-II-E-tester
tbv Trafoveld Magnefix. (ALL)
Sonde elektrode
T.b.v. KP-TEST II &lt;(&gt;&amp;&lt;)&gt; SPPC Fase vergelijker
In combinatie met verloopadapter 3363291010 kan deze sonde elektrode ook
toegepast worden op de KP-TEST 5
Testhulpstuk voor Trafoveld Magnefix
Onderdeelnummer: 3 363 291 291.
Onderdeel van tester type: KP II E voor buitengebruik.
</t>
  </si>
  <si>
    <t xml:space="preserve">Kabel YMeKrvasmb 12/20 kV 1 x 25 Curs + as 16 volgens HD620 S2:2016
S2:2016 pages 10-J-38 and 10-J-40.
Brandklasse Fca.
</t>
  </si>
  <si>
    <t>Set v voltstick, teflon houder en tas
voor spanningsindicatie.
Volgens M005.
Let op:
Gereedschap dient geregistreerd te worden en jaarlijks
te worden gekeurd.
Toepassing:
Veilige indicatie-spanning bij kunststof
transformatorkappen.</t>
  </si>
  <si>
    <t xml:space="preserve">Steekbats Atlas 00 110cm met steel (ALL)
Bats 00
met T-steel
Merk: Atlas
Lengte: 110 cm
Dul: 55mm + 2 opstapjes
</t>
  </si>
  <si>
    <t xml:space="preserve">Batssteel Atlas 110394 90cm Blijham sterk gebogen
Batssteel essen. Lengte: 90cm Sterk gebogen model
</t>
  </si>
  <si>
    <t>ZAK POLYETHYLEEN BLAUW 70X110CM DIK 0,6MM.
1 rol = 20 stuks.</t>
  </si>
  <si>
    <t>PVC draagkoker voor drie HS COQ stokken.</t>
  </si>
  <si>
    <t xml:space="preserve">Aanwijsbord,
kleur: geel,
met GAS-vermelding
conform NEN 1184.
</t>
  </si>
  <si>
    <t xml:space="preserve">Batssteel Atlas 210820 120cm gebogen
Batssteel essen
Lengte: 120cm
Gebogen model
</t>
  </si>
  <si>
    <t xml:space="preserve">Filterelement voor gas.
Afmetingen: Bu = 123 x Bi = 69 x L = 165 mm.
Metaaldelen: Geëpoxeerd staal
Filtermedium: Polyesternaaldvilt 3um / 570gram op gegalvaniseerd
staalgaas genaaid.
Verlijming: polyethaanhars
Afdichting: Vilt (4mm dik). Merk, Golden Super (GSF), type GS-5465.
</t>
  </si>
  <si>
    <t xml:space="preserve">Spuitgegoten bocht, PE100 - SDR17.6, dia. 200 mm, 11 graden, beide
zijden verlengd met 500 mm geelgestreepte PE100 SDR17,6 buis (volgens
NEN EN 1555-2), tbv Elektrolas/stuiklas.
</t>
  </si>
  <si>
    <t xml:space="preserve">Spuitgegoten bocht, PE100 - SDR17.6, dia. 250 mm, 11 graden, beide
zijden verlengd met 500 mm geelgestreepte PE100 SDR17,6 buis (volgens
NEN EN 1555-2), tbv Elektrolas/stuiklas
</t>
  </si>
  <si>
    <t xml:space="preserve">Spuitgegoten bocht, PE100 - SDR17.6, dia. 315 mm, 11 graden, beide
zijden verlengd met 500 mm geelgestreepte PE100 SDR17,6 buis (volgens
NEN EN 1555-2), tbv Elektrolas/stuiklas
</t>
  </si>
  <si>
    <t xml:space="preserve">Spuitgegoten bocht, PE100 - SDR17.6, dia. 400 mm, 11 graden, beide
zijden verlengd met 500 mm geelgestreepte PE100 SDR17,6 buis (volgens
NEN EN 1555-2), tbv Elektrolas/stuiklas
</t>
  </si>
  <si>
    <t xml:space="preserve">Spuitgegoten bocht, PE100 - SDR17.6, dia. 400 mm, 22.5 graden, beide
zijden verlengd met 500 mm geelgestreepte PE100 SDR17,6 buis (volgens
NEN EN 1555-2), tbv Elektrolas/stuiklas
</t>
  </si>
  <si>
    <t xml:space="preserve">Spuitgegoten bocht, PE100 - SDR11, dia. 200 mm, 11 graden, beide zijden
verlengd met 500 mm zwarte PE100 SDR11 buis (volgens NEN EN 1555-2), tbv
Elektrolas/stuiklas
</t>
  </si>
  <si>
    <t xml:space="preserve">Spuitgegoten bocht, PE100 - SDR11, dia. 250 mm, 11 graden, beide zijden
verlengd met 500 mm zwarte PE100 SDR11 buis (volgens NEN EN 1555-2), tbv
Elektrolas/stuiklas
</t>
  </si>
  <si>
    <t xml:space="preserve">Spuitgegoten bocht, PE100 - SDR11, dia. 315 mm, 11 graden, beide zijden
verlengd met 500 mm zwarte PE100 SDR11 buis (volgens NEN EN 1555-2), tbv
Elektrolas/stuiklas
</t>
  </si>
  <si>
    <t>RVS ZEGELBAND,
AFMETING 79 X 13 X 0,3 MM,
MET 2 GATEN VAN 7 MM.
DOOS = 1.000 STUKS</t>
  </si>
  <si>
    <t xml:space="preserve">Inlaatfilter v gaslekzoektoestel ds=100st (ALL)
Inlaatfilter tbv Gaslekzoeker GIZEH D8 L16  Inlaat filtertje tbv
gaslekzoektoestel. Inlet filter Sewerin.
Doos a 100 stuks.
</t>
  </si>
  <si>
    <t xml:space="preserve">Spuitgegoten bocht, PE100 - SDR11, dia. 400 mm, 11 graden, beide zijden
verlengd met 500 mm zwarte PE100 SDR11 buis (volgens NEN EN 1555-2), tbv
Elektrolas/stuiklas
</t>
  </si>
  <si>
    <t>Blaas 13 mm tbv Hoofdkraanverwissel tool-VRT.</t>
  </si>
  <si>
    <t>Blaas 16 mm tbv Hoofdkraanverwissel tool-VRT.</t>
  </si>
  <si>
    <t>Blaas 9 mm tbv Hoofdkraanverwissel tool-VRT.</t>
  </si>
  <si>
    <t xml:space="preserve">BO stop IPCO M3FL 1/2inch m flex greep (ALL)
IPCO Bostop 1/2" met flexibele greep en geschikt voor 1/2" kogelkraan,
ID 11mm en 1/2" plugkraan 10mm
</t>
  </si>
  <si>
    <t xml:space="preserve">BO stop IPCO XSFL 1inch m flex greep (ALL)
IPCO Bostop 1" XS met flexibele greep en geschikt voor 1" en 3/4"
kogelkraan op 1" buis, minimaal ID, 3/4" plugkraan 11,5mm, kogelkraan
13mm.
</t>
  </si>
  <si>
    <t xml:space="preserve">BO stop IPCO M3FL 3/4inch m flex greep (ALL)
IPCO Bostop 3/4" met flexibele greep en geschikt voor 3/4" kogelkraan,
ID 13mm en 3/4" plugkraan 11,5mm
</t>
  </si>
  <si>
    <t xml:space="preserve">BO stop IPCO STD4FLM 3/4inch m flex greep (ALL)
IPCO Bostop 3/4" met flexibele greep en geschikt voor 3/4" kogelkraan,
ID 15mm en 3/4" plugkraan 13,5mm
</t>
  </si>
  <si>
    <t xml:space="preserve">Draadflens, materiaal: staalsoort P250GH zijn volgens NEN EN 10027-1,
nominale druk PN16 bar, nominale diameter DN50,  uitwendige diameter
165x 20mm, boutgaten 4x18mm. Draadgat: RP2" volgens de NEN EN 10226.
</t>
  </si>
  <si>
    <t xml:space="preserve">Knelapparaat Kleiss mechanisch 20-63 (ALL)
Knelapparaat (knevelen) voor alle PE soorten,
met SDR klasse 17,6 (plaatje gemerkt “B” ),
en 11(plaatje gemerkt “C” ).
Geschikt voor:
klasse 17,6 en de PE diameters 25, 32, 40, 50 en 63 mm.
Geschikt voor:
klasse 11 en de PE diameters 32 en 63 mm.
</t>
  </si>
  <si>
    <t xml:space="preserve">Zeskanttapbout M10x80 8.8 thvz a100st (ALL)
Zeskantbout Afmeting: M10x80  Klasse: 8.8 Opp. Bescherming:  THVZ
Verpakkingseenheid: doos a100st
Zeskanttapbout,
Materiaalsoort: staal,
Kwaliteitsklasse: 8.8,
Draadsoort: M10 (volledig),
Steekcirkel: 17 mm,
Lengte steel: 80 mm,
Oppervlaktebehandeling: thermisch verzinkt,
DIN 933, ISO 4017
Doos a 100 stuks.
</t>
  </si>
  <si>
    <t xml:space="preserve">Isolatiekap met kortsluitverklikker voor Magnefix MD,
geschikt voor aansluiting op de GSM unit.
Kortsluitverklikker 250/450A ingesteld op 250A.
Set bestaat uit:
Horstmann artikel 34.0501.001,
plus Eaton/Holec Magnefix kapje.
</t>
  </si>
  <si>
    <t xml:space="preserve">Isolatiekap met kortsluitverklikker voor Magnefix MD,
geschikt voor aansluiting op de GSM unit.
Kortsluitverklikker 250/450A ingesteld op 450A.
Set bestaat uit:
Horstmann artikel 34.501.001,
plus Eaton/Holec Magnefix kapje.
</t>
  </si>
  <si>
    <t xml:space="preserve">Isolatiekap met kortsluitverklikker voor Magnefix MF,
geschikt voor aansluiting op de GSM unit.
Kortsluitverklikker 250/450A ingesteld op 250A.
Set bestaat uit:
Horstmann artikel 34.0501.002,
plus Eaton/Holec Magnefix kapje.
</t>
  </si>
  <si>
    <t xml:space="preserve">Isolatiekap met kortsluitverklikker voor Magnefix MF,
geschikt voor aansluiting op de GSM unit.
Kortsluitverklikker 250/450A ingesteld op 450A.
Set bestaat uit:
Horstmann artikel 34.501.002,
plus Eaton/Holec Magnefix kapje.
</t>
  </si>
  <si>
    <t xml:space="preserve">Kunststof beschermdop voor gasmeter G10- met 1.1/4" aansluitdraad.
</t>
  </si>
  <si>
    <t xml:space="preserve">Kunststof beschermdop voor gasmeter G10/G16- met 1.1/2" aansluitdraad.
</t>
  </si>
  <si>
    <t xml:space="preserve">Kunststof beschermdop voor gasmeter G25- met 2" aansluitdraad.
</t>
  </si>
  <si>
    <t>Hangslot, beugel in RVS,
Beugelhoogte = 30mm,
Code 2.7.44 (gas-grootverbruik),
inclusief 2 sleutels nr 44.
Fabr: Lips, Type: Trivium S4051.
---------------------------------------
Toepassing:
Alleen daar waar gelijksluitende sloten
vereist zijn.
---------------------------------------</t>
  </si>
  <si>
    <t>Dubbelzijdige cilinder Europrofiel 17mm,
standaard uitvoering,
Lengte: 30,5 mm (buitenzijde) + 30,5 mm (binnenzijde),
Cataloguslengte = 60 mm,
Code 2.7.x (gas-grootverbruikers),
Inclusief 2 sleutels,
Fabr. Lips, Type Trivium S8461A00B00.</t>
  </si>
  <si>
    <t>Hangslot, beugel in RVS,
Beugelhoogte = 30mm,
Code 2.2 (gasunie)
Fabr: Lips, Type: Trivium S4051.</t>
  </si>
  <si>
    <t>Dubbelzijdige cilinder Europrofiel 17 mm,
verlengde uitvoering,
Lengte: 30,5 mm (buitenzijde) + 30,5 mm (binnenzijde),
Cataloguslengte = 60 mm,
Code 2.2 (GASUNIE),
Fabr. Lips, Type Trivium S8462A00B00.</t>
  </si>
  <si>
    <t>Enkelzijdige cilinder Europrofiel 17 mm,
verlengde uitvoering,
Lengte: 85,5 mm (buitenzijde) + 9,5 mm (binnenzijde),
Cataloguslengte = 85 mm,
Code 2.2 (GASUNIE),
Fabr. Lips, Type Trivium S8461A55.</t>
  </si>
  <si>
    <t>Enkelzijdige cilinder Europrofiel 17mm,
standaard uitvoering,
Lengte: 80,5 mm (buitenzijde) + 9,5 mm (binnenzijde),
Cataloguslengte = 80 mm,
Code 2.1 (gas),
Fabr. Lips, Type Trivium S8461A50.</t>
  </si>
  <si>
    <t>Enkelzijdige cilinder Europrofiel 17mm,
standaard uitvoering,
Lengte: 85,5 mm (buitenzijde) + 9,5 mm (binnenzijde),
Cataloguslengte = 85 mm,
Code 2.1 (gas),
Fabr. Lips, Type Trivium S8461A55.</t>
  </si>
  <si>
    <t>Dubbelzijdige cilinder Europrofiel 17mm,
standaard uitvoering,
Lengte: 30,5 mm (buitenzijde) + 30,5 mm (binnenzijde),
Cataloguslengte = 60 mm,
Code 1.3 (LS)
Fabr. Lips, Type Trivium S8462A00B00.</t>
  </si>
  <si>
    <t>Dubbelzijdige cilinder Europrofiel 17mm,
standaard uitvoering,
Lengte: 30,5 mm (buitenzijde) + 30,5 mm (binnenzijde),
Cataloguslengte = 60 mm,
Code 1.6.x (E-grootverbruikers),
Inclusief 2 sleutels,
Fabr. Lips, Type Trivium S8462A00B00.</t>
  </si>
  <si>
    <t>Enkelzijdige cilinder Europrofiel 17 mm,
standaard uitvoering,
Lengte: 80,5 mm (buitenzijde) + 9,5 mm (binnenzijde),
Cataloguslengte = 80 mm,
Code 1.2 (HS),
Fabr. Lips, Type Trivium S8461A50.</t>
  </si>
  <si>
    <t>Enkelzijdige cilinder Europrofiel 17 mm,
standaard uitvoering,
Lengte: 85,5 mm (buitenzijde) + 9,5 mm (binnenzijde),
Cataloguslengte = 85 mm,
Code 1.2 (HS),
Fabr. Lips, Type Trivium S8461A55.</t>
  </si>
  <si>
    <t>Enkelzijdige cilinder Europrofiel 17 mm,
standaard uitvoering,
Lengte: 65,5 mm (buitenzijde) + 9,5 mm (binnenzijde),
Cataloguslengte = 65 mm,
Code 1.3 (E-LAAGSPANNING)
Fabr. Lips, Type Trivium S8461A35.</t>
  </si>
  <si>
    <t>Enkelzijdige cilinder Europrofiel 17 mm,
standaard uitvoering,
Lengte: 80,5 mm (buitenzijde) + 9,5 mm (binnenzijde),
Cataloguslengte = 80 mm,
Code 1.3 (E-LAAGSPANNING)
Fabr. Lips, Type Trivium S8461A50.</t>
  </si>
  <si>
    <t>Enkelzijdige cilinder Europrofiel 17 mm,
standaard uitvoering,
Lengte: 85,5 mm (buitenzijde) + 9,5 mm (binnenzijde),
Cataloguslengte = 85 mm,
Code 1.3 (E-LAAGSPANNING)
Fabr. Lips, Type Trivium S8461A55.</t>
  </si>
  <si>
    <t>Enkelzijdige cilinder Europrofiel 17 mm,
standaard uitvoering,
Lengte: 80,5 mm (buitenzijde) + 9,5 mm (binnenzijde),
Cataloguslengte = 80 mm,
Code 1.6.x (E-grootverbruikers),
Inclusief 2 sleutels,
Fabr. Lips, Type Trivium S8461A50.</t>
  </si>
  <si>
    <t>Enkelzijdige cilinder Europrofiel 17 mm,
standaard uitvoering,
Lengte: 85,5 mm (buitenzijde) + 9,5 mm (binnenzijde),
Cataloguslengte = 85 mm,
Code 1.6.x (E-grootverbruikers),
Inclusief 2 sleutels,
Fabr. Lips, Type Trivium S8461A55.</t>
  </si>
  <si>
    <t>Dubbelzijdige cilinder Europrofiel 17mm,
standaard uitvoering,
Lengte: 30,5 mm (buitenzijde) + 30,5 mm (binnenzijde),
Cataloguslengte = 60 mm,
Code 1.6.29 (E-grootverbruikers),
Inclusief 2 sleutels,
Fabr. Lips, Type Trivium S846200B00.
Alleen toepassen daar waar gelijksluitende sloten
benodigd zijn.</t>
  </si>
  <si>
    <t>Enkelzijdige cilinder Europrofiel 17mm,
standaard uitvoering,
Lengte: 30,5 mm (buitenzijde) + 9,5 mm (binnenzijde),
Cataloguslengte = 30 mm,
Code 1.6.29 (E-grootverbruikers),
Inclusief 2 sleutels,
Fabr. Lips, Type Trivium S8461A00.
Alleen toepassen daar waar gelijksluitende sloten
vereist zijn.</t>
  </si>
  <si>
    <t>Enkelzijdige cilinder Europrofiel 17mm,
standaard uitvoering,
Lengte: 55,5 mm (buitenzijde) + 9,5 mm (binnenzijde),
Cataloguslengte = 55 mm,
Code 1.6.29 (E-grootverbruikers),
Inclusief 2 sleutels,
Fabr. Lips, Type Trivium S8461A25.
Alleen toepassen daar waar gelijksluitende sloten
vereist zijn.</t>
  </si>
  <si>
    <t xml:space="preserve">Hangslot, beugel in RVS,
Beugelhoogte = 30mm,
Code 1.6.29 (E-grootverbruik),
inclusief 2 sleutels.
Fabr: Lips, Type: Trivium S4051.
Alleen toepassen waar gelijksluitende sloten zijn
vereist.
</t>
  </si>
  <si>
    <t>Dubbelzijdige cilinder Europrofiel 17mm,
standaard uitvoering,
Lengte: 30,5 mm (buitenzijde) + 30,5 mm (binnenzijde),
Cataloguslengte = 60 mm,
Code 2.1 (gas),
Fabr. Lips, Type Trivium S8461A00B00.</t>
  </si>
  <si>
    <t>Enkelzijdige cilinder Europrofiel 17 mm,
verlengde uitvoering,
Lengte: 75,5 mm (buitenzijde) + 9,5 mm (binnenzijde),
Cataloguslengte = 75 mm,
Code 2.2 (GASUNIE),
Fabr. Lips, Type Trivium S8461A45.</t>
  </si>
  <si>
    <t>Enkelzijdige cilinder Europrofiel 17mm,
verlengde uitvoering,
Lengte: 80,5 mm (buitenzijde) + 9,5 mm (binnenzijde),
Cataloguslengte = 80 mm,
Code 2.7.x (gas-grootverbruikers),
Inclusief 2 sleutels,
Fabr. Lips, Type Trivium S8461A50.</t>
  </si>
  <si>
    <t>Enkelzijdige cilinder Europrofiel 17mm,
verlengde uitvoering,
Lengte: 85,5 mm (buitenzijde) + 9,5 mm (binnenzijde),
Cataloguslengte = 85 mm,
Code 2.7.x (gas-grootverbruikers),
Inclusief 2 sleutels,
Fabr. Lips, Type Trivium S8461A55.</t>
  </si>
  <si>
    <t>Dubbelzijdige cilinder Europrofiel 17mm,
standaard uitvoering,
Lengte: 30,5 mm (buitenzijde) + 30,5 mm (binnenzijde),
Cataloguslengte = 60 mm,
Code 2.7.37 (gas-grootverbruikers),
Inclusief 2 sleutels,
Fabr. Lips, Type Trivium S8462A00B00.
Alleen gebruiken daar waar gelijksluitende sloten vereist
zijn.</t>
  </si>
  <si>
    <t>Enkelzijdige cilinder Europrofiel 17mm,
verlengde uitvoering,
Lengte: 30,5 mm (buitenzijde) + 9,5 mm (binnenzijde),
Cataloguslengte = 30 mm,
Code 2.7.37 (gas-grootverbruikers),
Inclusief 2 sleutels,
Fabr. Lips, Type Trivium S8461A00.
Alleen gebruiken als gelijksluitende sloten nodig zijn.</t>
  </si>
  <si>
    <t>Enkelzijdige cilinder Europrofiel 17mm,
verlengde uitvoering,
Lengte: 55,5 mm (buitenzijde) + 9,5 mm (binnenzijde),
Cataloguslengte = 55 mm,
Code 2.7.37 (gas-grootverbruikers),
Inclusief 2 sleutels,
Fabr. Lips, Type Trivium S8461A25.
Alleen gebruiken als gelijksluitende sloten nodig zijn.</t>
  </si>
  <si>
    <t>Hangslot, beugel in RVS,
Beugelhoogte = 30mm,
Code 2.7.37 (gas-grootverbruik),
inclusief 2 sleutels.
Fabr: Lips, Type: Trivium S4051.
Alleen gebruiken als gelijksluitende sloten nodig zijn.</t>
  </si>
  <si>
    <t xml:space="preserve">Enkelzijdige cilinder Europrofiel 17 mm,
standaard uitvoering,
Lengte: 80 mm (buitenzijde) + 9,5 mm (binnenzijde),
Cataloguslengte = 80 mm,
Code A.1.2.3 E/G/W voor gemeenschappelijke toegang.
Fabr. Lips, Type Trivium S8461
</t>
  </si>
  <si>
    <t>Enkelzijdige cilinder Europrofiel 17 mm,
standaard uitvoering,
Lengte: 85,5 mm (buitenzijde) + 9,5 mm (binnenzijde),
Cataloguslengte = 85 mm,
Code A.1.2.3 E/G/W voor gemeenschappelijke toegang.
Fabr. Lips, Type Trivium S8461A50.</t>
  </si>
  <si>
    <t xml:space="preserve">Aftakzadel elektrolas PE100 SDR11 63x63mm, monoblock.
Diameter doorgaande leiding 63mm, aftakking 63mm spie-eind.
</t>
  </si>
  <si>
    <t xml:space="preserve">Trilstamper Wacker BS302 (ALL)
Wacker Neuson Trilstamper BS 30  De BS 30 is met zijn eigen gewicht van
32 kg en het extra handvat aan de stampersteel uitermate geschikt om ook
horizontaal te trillen (bijvoorbeeld om de stellaag van rioolbuizen
zijdelings te verdichten).  Bedrijfsgewicht (kg): 32  Afmetingen
stampvoet (lxb) (mm): 280 x 150  Motor/brandstof: Wacker Neuson 2-takt
Benzinemotor  Vermogen (kW): 2,3  Startinrichting: repeteerstarter
</t>
  </si>
  <si>
    <t>Schroef Torx DIN7981 RVS-A2 3,9x25 T15.
Doos a 1.000 stuks.</t>
  </si>
  <si>
    <t xml:space="preserve">Drukspuit 2L tbv lekzoekvloeistof (ALL)
Handsproeiapparaat Pressol  2L 06 902.
Materiaal kunststof met een pompje om, de lekzoekvloeistof op druk te
brengen.
Inclusief een beweegbare spuitmond.
Inhoud ca 2 liter.
</t>
  </si>
  <si>
    <t>Bitverlengstuk  217199 1/4"x50mm m.          ALL.20.034938
-</t>
  </si>
  <si>
    <t>Aardingsstok Middenspanning tbv kogelbouten. (ALL)
Aardingstok 510205
Toepassing is het vast draaien van fase klemmen in middenspanning
installaties.
Lengte van de stok zorgt voor een veilige werk afstand.
Handen dienen ten alle tijden achter de handbeschermingschijf te zijn.
Type: 510 205
Aardstok voor nominale spanningen van meer dan 1 kV.
- Volgens VDE 0683 deel 1.
- Wandhouder en draagtas op aanvraag.
Technische Informatie:
Totale lengte: 1000 mm.
Buis diameter: 30 mm.
Kogelkoppeling: Spring bajonet.</t>
  </si>
  <si>
    <t xml:space="preserve">Boorbit Völkel 3,0 mm x 1/4 HSS-G
Boorbit Völkel 3,0 mm x 1/4 HSS-G HSS-G boor 3.3mm (M4) 1/4" zeskant.
Uitvoering: 1/4: zeskant bit-aansluiting, geslepen. Toepassing: Voor
boorwerk in de meest voorkomende plaatstaalmaterialen. Völkel HSS-G
boorbits met 1/4” aansluiting, kort.
</t>
  </si>
  <si>
    <t xml:space="preserve">Boorbit Völkel 6,0 mm x 1/4 HSS-G
Boorbit Völkel 6,0 mm x 1/4 HSS-G HSS-G boor 6.0mm 1/4"" zeskant.
Uitvoering: 1/4: zeskant bit-aansluiting, geslepen. Toepassing: Voor
boorwerk in de meest voorkomende plaatstaal materialen. Völkel HSS-G
boorbits met 1/4” aansluiting
</t>
  </si>
  <si>
    <t xml:space="preserve">Aanboorzadel toepasbaar als aftakzadel of blaasgatzadel 188-210mmx2"
Polsafe materiaal: RVS met NBR rubber.
</t>
  </si>
  <si>
    <t xml:space="preserve">Aanboorzadel toepasbaar blaasgatzadel 370-390mmx2½" Polsafe materiaal:
RVS met NBR rubber.
</t>
  </si>
  <si>
    <t xml:space="preserve">Bit 1/4" kruiskop PH-1 L=25mm . Bit ten behoeve van kruiskop-schroeven
(PH) voorzien van 1/4" aandrijfvierkant, kort model.
Type 216559
Lengte: 25 mm.
Maat: PH1.
Zak a 10 stuks.
</t>
  </si>
  <si>
    <t xml:space="preserve">Bit 1/4" kruiskop PH-2 L=25mm . Bit ten behoeve van kruiskop-schroeven
(PH) voorzien van 1/4" aandrijfzeskant, kort model.
Type: 216561
Lengte: 25 mm.
Maat: PH2.
Zak a 10 stuks.
</t>
  </si>
  <si>
    <t xml:space="preserve">Metaalboor Dormer A002 1,00mm HSS TiN
HSS, met TiN-tip coating. De TiN coating op de blanke boor biedt extra
weerstand tegen slijtage, verlaagt de wrijvingsweerstand en biedt de
mogelijkheid om de snijsnelheden te verhogen. Ook in tiende maten
leverbaar.DIN 338.
</t>
  </si>
  <si>
    <t xml:space="preserve">Metaalboor Dormer A002 1,50mm HSS TiN
HSS, met TiN-tip coating. De TiN coating op de blanke boor biedt extra
weerstand tegen slijtage, verlaagt de wrijvingsweerstand en biedt de
mogelijkheid om de snijsnelheden te verhogen. Ook in tiende maten
leverbaar.DIN 338.
</t>
  </si>
  <si>
    <t xml:space="preserve">Metaalboor Dormer A002 2,00mm HSS TiN
HSS, met TiN-tip coating. De TiN coating op de blanke boor biedt extra
weerstand tegen slijtage, verlaagt de wrijvingsweerstand en biedt de
mogelijkheid om de snijsnelheden te verhogen. Ook in tiende maten
leverbaar.DIN 338.
</t>
  </si>
  <si>
    <t xml:space="preserve">Metaalboor Dormer A002 2,50mm HSS TiN
HSS, met TiN-tip coating. De TiN coating op de blanke boor biedt extra
weerstand tegen slijtage, verlaagt de wrijvingsweerstand en biedt de
mogelijkheid om de snijsnelheden te verhogen. Ook in tiende maten
leverbaar.DIN 338.
</t>
  </si>
  <si>
    <t xml:space="preserve">Metaalboor Dormer A002 3,00mm HSS TiN
HSS, met TiN-tip coating. De TiN coating op de blanke boor biedt extra
weerstand tegen slijtage, verlaagt de wrijvingsweerstand en biedt de
mogelijkheid om de snijsnelheden te verhogen. Ook in tiende maten
leverbaar.DIN 338.
</t>
  </si>
  <si>
    <t xml:space="preserve">Metaalboor Dormer A002 3,30mm HSS TiN
HSS, met TiN-tip coating. De TiN coating op de blanke boor biedt extra
weerstand tegen slijtage, verlaagt de wrijvingsweerstand en biedt de
mogelijkheid om de snijsnelheden te verhogen. Ook in tiende maten
leverbaar.DIN 338.
</t>
  </si>
  <si>
    <t xml:space="preserve">Metaalboor Dormer A002 3,50mm HSS TiN
HSS, met TiN-tip coating. De TiN coating op de blanke boor biedt extra
weerstand tegen slijtage, verlaagt de wrijvingsweerstand en biedt de
mogelijkheid om de snijsnelheden te verhogen. Ook in tiende maten
leverbaar.DIN 338.
</t>
  </si>
  <si>
    <t xml:space="preserve">Metaalboor Dormer A002 4,00mm HSS TiN
HSS, met TiN-tip coating. De TiN coating op de blanke boor biedt extra
weerstand tegen slijtage, verlaagt de wrijvingsweerstand en biedt de
mogelijkheid om de snijsnelheden te verhogen. Ook in tiende maten
leverbaar.DIN 338.
</t>
  </si>
  <si>
    <t xml:space="preserve">Touw 4mm (a 100m) nylon
Touw 4mm
Materiaal Nylon
Rol a 100m
</t>
  </si>
  <si>
    <t xml:space="preserve">Metaalboor Dormer A002 4,20mm HSS TiN
HSS, met TiN-tip coating. De TiN coating op de blanke boor biedt extra
weerstand tegen slijtage, verlaagt de wrijvingsweerstand en biedt de
mogelijkheid om de snijsnelheden te verhogen. Ook in tiende maten
leverbaar.DIN 338.
</t>
  </si>
  <si>
    <t xml:space="preserve">Metaalboor Dormer A002 4,30mm HSS TiN
HSS, met TiN-tip coating. De TiN coating op de blanke boor biedt extra
weerstand tegen slijtage, verlaagt de wrijvingsweerstand en biedt de
mogelijkheid om de snijsnelheden te verhogen. Ook in tiende maten
leverbaar.DIN 338.
</t>
  </si>
  <si>
    <t xml:space="preserve">Metaalboor Dormer A002 4,50mm HSS TiN
HSS, met TiN-tip coating. De TiN coating op de blanke boor biedt extra
weerstand tegen slijtage, verlaagt de wrijvingsweerstand en biedt de
mogelijkheid om de snijsnelheden te verhogen. Ook in tiende maten
leverbaar.DIN 338.
</t>
  </si>
  <si>
    <t xml:space="preserve">Metaalboor Dormer A002 5,00mm HSS TiN
HSS, met TiN-tip coating. De TiN coating op de blanke boor biedt extra
weerstand tegen slijtage, verlaagt de wrijvingsweerstand en biedt de
mogelijkheid om de snijsnelheden te verhogen. Ook in tiende maten
leverbaar.DIN 338.
</t>
  </si>
  <si>
    <t xml:space="preserve">Metaalboor Dormer A002 5,50mm HSS TiN
HSS, met TiN-tip coating. De TiN coating op de blanke boor biedt extra
weerstand tegen slijtage, verlaagt de wrijvingsweerstand en biedt de
mogelijkheid om de snijsnelheden te verhogen. Ook in tiende maten
leverbaar.DIN 338.
</t>
  </si>
  <si>
    <t xml:space="preserve">Metaalboor Dormer A002 6,00mm HSS TiN
HSS, met TiN-tip coating. De TiN coating op de blanke boor biedt extra
weerstand tegen slijtage, verlaagt de wrijvingsweerstand en biedt de
mogelijkheid om de snijsnelheden te verhogen. Ook in tiende maten
leverbaar.DIN 338.
</t>
  </si>
  <si>
    <t xml:space="preserve">Metaalboor Dormer A002 6,50mm HSS TiN
HSS, met TiN-tip coating. De TiN coating op de blanke boor biedt extra
weerstand tegen slijtage, verlaagt de wrijvingsweerstand en biedt de
mogelijkheid om de snijsnelheden te verhogen. Ook in tiende maten
leverbaar.DIN 338.
</t>
  </si>
  <si>
    <t xml:space="preserve">Metaalboor Dormer A002 6,80mm HSS TiN
HSS, met TiN-tip coating. De TiN coating op de blanke boor biedt extra
weerstand tegen slijtage, verlaagt de wrijvingsweerstand en biedt de
mogelijkheid om de snijsnelheden te verhogen. Ook in tiende maten
leverbaar.DIN 338.
</t>
  </si>
  <si>
    <t xml:space="preserve">Metaalboor Dormer A002 7,00mm HSS TiN
HSS, met TiN-tip coating. De TiN coating op de blanke boor biedt extra
weerstand tegen slijtage, verlaagt de wrijvingsweerstand en biedt de
mogelijkheid om de snijsnelheden te verhogen. Ook in tiende maten
leverbaar.DIN 338.
</t>
  </si>
  <si>
    <t xml:space="preserve">Metaalboor Dormer A002 7,50mm HSS TiN
HSS, met TiN-tip coating. De TiN coating op de blanke boor biedt extra
weerstand tegen slijtage, verlaagt de wrijvingsweerstand en biedt de
mogelijkheid om de snijsnelheden te verhogen. Ook in tiende maten
leverbaar.DIN 338.
</t>
  </si>
  <si>
    <t xml:space="preserve">Metaalboor Dormer A002 8,00mm HSS TiN
HSS, met TiN-tip coating. De TiN coating op de blanke boor biedt extra
weerstand tegen slijtage, verlaagt de wrijvingsweerstand en biedt de
mogelijkheid om de snijsnelheden te verhogen. Ook in tiende maten
leverbaar.DIN 338.
</t>
  </si>
  <si>
    <t xml:space="preserve">Metaalboor Dormer A002 8,50mm HSS TiN
HSS, met TiN-tip coating. De TiN coating op de blanke boor biedt extra
weerstand tegen slijtage, verlaagt de wrijvingsweerstand en biedt de
mogelijkheid om de snijsnelheden te verhogen. Ook in tiende maten
leverbaar.DIN 338.
</t>
  </si>
  <si>
    <t xml:space="preserve">Metaalboor Dormer A002 9,00mm HSS TiN
HSS, met TiN-tip coating. De TiN coating op de blanke boor biedt extra
weerstand tegen slijtage, verlaagt de wrijvingsweerstand en biedt de
mogelijkheid om de snijsnelheden te verhogen. Ook in tiende maten
leverbaar.DIN 338.
</t>
  </si>
  <si>
    <t xml:space="preserve">Metaalboor Dormer A002 9,50mm HSS TiN
HSS, met TiN-tip coating. De TiN coating op de blanke boor biedt extra
weerstand tegen slijtage, verlaagt de wrijvingsweerstand en biedt de
mogelijkheid om de snijsnelheden te verhogen. Ook in tiende maten
leverbaar.DIN 338.
</t>
  </si>
  <si>
    <t xml:space="preserve">Metaalboor Dormer A002 10,00mm HSS TiN
HSS, met TiN-tip coating. De TiN coating op de blanke boor biedt extra
weerstand tegen slijtage, verlaagt de wrijvingsweerstand en biedt de
mogelijkheid om de snijsnelheden te verhogen. Ook in tiende maten
leverbaar.DIN 338.
</t>
  </si>
  <si>
    <t xml:space="preserve">Metaalboor Dormer A002 10,50mm HSS TiN
HSS, met TiN-tip coating. De TiN coating op de blanke boor biedt extra
weerstand tegen slijtage, verlaagt de wrijvingsweerstand en biedt de
mogelijkheid om de snijsnelheden te verhogen. Ook in tiende maten
leverbaar.DIN 338.
</t>
  </si>
  <si>
    <t xml:space="preserve">Metaalboor Dormer A002 11,00mm HSS TiN
HSS, met TiN-tip coating. De TiN coating op de blanke boor biedt extra
weerstand tegen slijtage, verlaagt de wrijvingsweerstand en biedt de
mogelijkheid om de snijsnelheden te verhogen. Ook in tiende maten
leverbaar.DIN 338.
</t>
  </si>
  <si>
    <t xml:space="preserve">Metaalboor Dormer A002 11,50mm HSS TiN
HSS, met TiN-tip coating. De TiN coating op de blanke boor biedt extra
weerstand tegen slijtage, verlaagt de wrijvingsweerstand en biedt de
mogelijkheid om de snijsnelheden te verhogen. Ook in tiende maten
leverbaar.DIN 338.
</t>
  </si>
  <si>
    <t xml:space="preserve">Metaalboor Dormer A002 12,00mm HSS TiN
HSS, met TiN-tip coating. De TiN coating op de blanke boor biedt extra
weerstand tegen slijtage, verlaagt de wrijvingsweerstand en biedt de
mogelijkheid om de snijsnelheden te verhogen. Ook in tiende maten
leverbaar.DIN 338.
</t>
  </si>
  <si>
    <t xml:space="preserve">Metaalboor Dormer A002 12,50mm HSS TiN
HSS, met TiN-tip coating. De TiN coating op de blanke boor biedt extra
weerstand tegen slijtage, verlaagt de wrijvingsweerstand en biedt de
mogelijkheid om de snijsnelheden te verhogen. Ook in tiende maten
leverbaar.DIN 338.
</t>
  </si>
  <si>
    <t xml:space="preserve">Metaalboor Dormer A002 13,00mm HSS TiN
HSS, met TiN-tip coating. De TiN coating op de blanke boor biedt extra
weerstand tegen slijtage, verlaagt de wrijvingsweerstand en biedt de
mogelijkheid om de snijsnelheden te verhogen. Ook in tiende maten
leverbaar.DIN 338.
</t>
  </si>
  <si>
    <t xml:space="preserve">Metaalborencassette 1-10x0,5mm HSS-CO geslepen 19-delig
Metaalboorset gesl. 5% Co. 1-10mm 0,5 oplopend
BOO.SE.11005GC
</t>
  </si>
  <si>
    <t xml:space="preserve">Borencassette Phantom 1-13mm HSSE-CO
Borencassette Phantom 1-13mm HSSE-CO DIN 338N,
met kruisaanslijping vanaf 2 mm,
in kunststof cassette,
gevuld met boren 1-13mm.
</t>
  </si>
  <si>
    <t xml:space="preserve">Bit 1/4" Kruiskop PZ-1 L=25mm . Bit ten behoeve van kruiskop-schroeven
(PZ) voorzien van 1/4" aandrijfzeskant, kort model.
Type: 216571
Lengte: 25 mm.
Maat: PZ1.
</t>
  </si>
  <si>
    <t xml:space="preserve">Bit 1/4" Kruiskop PZ-2 L=25mm. Bit ten behoeve van kruiskop-schroeven
(PZ) voorzien van 1/4" aandrijfzeskant, kort model. Type: 216573
Lengte: 25 mm.
Maat: PZ2.
</t>
  </si>
  <si>
    <t>PH FLUOR LAMP TL 36W 840/4000K</t>
  </si>
  <si>
    <t xml:space="preserve">Montagerail C-profiel 34x20mm  L=200cm.
</t>
  </si>
  <si>
    <t>KABELBUNDELBAND 146X3,5MM TRANSPARANT
1 zak=100stuks</t>
  </si>
  <si>
    <t>Vochtfilter v gaslekzoeker fabr GMI; Vochtfilter (Hydrofobic filter)
Lengte ca 20 mm, Diameter ca 30 mm. Beide zijden een O-ring en
aansluittule ca 12 mm, Huis doorzichtig kunststof. Te plaatsen in
aanzuigleiding, tussen slang en gaslektoestel om te voorkomen, dat
vloeistoffen in het meettoestel terecht komen.</t>
  </si>
  <si>
    <t xml:space="preserve">Klem 940000666 50mm ronddruk tbv PE (ALL)
Ronddruk klem  tbv buis PE met de klassen:
SDR 11 en 17,6.
Diameter van 50 mm.
</t>
  </si>
  <si>
    <t xml:space="preserve">Klem 940000651 63mm ronddruk tbv PE (ALL)
Ronddruk klem tbv buis PE met de klassen:
SDR 11 en 17,6.
Diameter van 63 mm.
</t>
  </si>
  <si>
    <t>Klem 940000652 75mm ronddruk tbv PE (ALL)
Ronddruk klem  tbv buis PE met de klassen:
SDR 11 en 17,6.
Diameter van 75 mm.</t>
  </si>
  <si>
    <t>Mespatroon 125A DIN 2
met middenmelder,
karakteristiek gFF,
type LNH2S125MGFF</t>
  </si>
  <si>
    <t xml:space="preserve">Dispenser Dreumex 24005 standaard tbv 4,5ltr
Dispenser Dreumex 24005 standaard tbv 4,5ltr
</t>
  </si>
  <si>
    <t xml:space="preserve">Draagriem Esders Leck Omio vervaardigd van leder, geschikt voor
gaslekzoek/drukmeter Esders Leckomio.
</t>
  </si>
  <si>
    <t xml:space="preserve">Kruisadapter v gaslekzoeker; Esders Leckomio tbv gaslekzoeker
</t>
  </si>
  <si>
    <t xml:space="preserve">Autolader Esders Leckomio Ex 12V DC tbv gaslekzoeker (20035101) (ALL)
</t>
  </si>
  <si>
    <t xml:space="preserve">Beschermhoes leer gaslekzoeker,
Lederen beschermhoes tbv gaslekzoeker,
Leck-omio type HMG 2 (20035101)
</t>
  </si>
  <si>
    <t xml:space="preserve">Laadstation Esders Leckomio Ex 230V AC 1vaks
tbv gaslekzoeker (20035101) (ALL)
</t>
  </si>
  <si>
    <t>Handpomp Esders Leckomio Ex tbv gaslekzoeker (20035101) (ALL)
Incl snelkoppeling.</t>
  </si>
  <si>
    <t xml:space="preserve">Lassok,
materiaal: staal,
nominale diameter: 1/4",
volgens DIN 2986,
bi-draad volgens DIN 2999. nr 16.
</t>
  </si>
  <si>
    <t>Letterblokje, zwarte opdruk "P", achtergrond geel, afmetingen: 26 x 16
mm. Conform NEN 1184.</t>
  </si>
  <si>
    <t>Revisie set bestaat uit de volgende onderdelen:
1. ERIKS pakking, Du=101mm  Di=77mm d=1,4mm
2. Gasket spiral wound, 1R3297X0112
3. Gasket, 1R3296X0042
4. O-ring, 1V326906562
5. Port  seal, 10A7762X012
6. Ring piston, 1V325905092
7. Upper seal, 13A3762X012</t>
  </si>
  <si>
    <t xml:space="preserve">Revisie set bestaat uit de volgende onderdelen:
1. ERIKS pakking, Du=129mm  Di=105mm d=1,4mm
2. Gasket spiral wound, 1R348299422
3. Gasket, 1R3481X0052
4. O-ring, 1V330306562
5. Port  seal, 10A7768X012
6. Ring piston, 1V329405092
7. Upper seal, 13A3764X012
</t>
  </si>
  <si>
    <t xml:space="preserve">Schraapband Kleiss tbv metaalbuis (ALL)
Buizenschraapband van leder,
met metalen handvatten en vonkvrije schraapmessen,
voor het uitwendig reinigen van metalen leidingen.
</t>
  </si>
  <si>
    <t xml:space="preserve">Haaltrekmes Kleiss voor buizen (ALL)
Haaltrekmes van metaal met houten handvatten, voor het uitwendig
reinigen van metalen leidingen.
</t>
  </si>
  <si>
    <t xml:space="preserve">Koppeling, mof-blind, met RVS (A2) bouten.
Nom. diam.: DN 225.
Aansluitmaten: mof 230-268 met Uni-Fiksers
Werkdruk: 8 bar (gas), 16 bar (water)
NBR-afdichtingen.
Huis: Nodulair Gietijzer (GGG40)
Inbouwlengte: 211 - 242 mm.
Fabrikant: Georg Fischer
Type : Multi-joint 3207+, trekvast
</t>
  </si>
  <si>
    <t>omschrijving drukwerk desk: DB02, HR. Pdf.
voorlopige afpraakbevestiging
(geschakelde bouw)</t>
  </si>
  <si>
    <t>omschrijving drukwerk desk:
DB 03 – definitieve afspraakbevestiging
(geschakelde bouw)
in verpakking van 50 stuks</t>
  </si>
  <si>
    <t>Flenspakking DN300 PN-16 #PERMATIGHT
DN 300 / PN 16  maat 325x385x3</t>
  </si>
  <si>
    <t xml:space="preserve">Afschermingslab VDE 1000V 1,6mm dik rubber per meter (ALL)
Rubber afschermingslab
Bescherming: VDE 1000V  Niet transparant, soepel 1,6 mm dik met langs
beide kanten, op de zelfde zijde de tekst VDE 1000V, aaneensluitend en
doorlopend over de gehele lengte, van de rol.
Bestelling p/m.
</t>
  </si>
  <si>
    <t>Stoffilter Esders carbonprobe tbv gaslekzoeker (a25st) (ALL)
Stoffilter ten behoeve Carbonprobe,
bij gaslekzoektoestel bijv David.
Inhoud 25 stuks per verpakking.</t>
  </si>
  <si>
    <t>Filter Esders hydrofoob a10st tbv gaslekzoeker (20035101) (ALL)
Hydrofoobfilter ten behoeve gaslekzoektoestel,
bijv David.
Inhoud 10 stuks per verpakking.</t>
  </si>
  <si>
    <t>Filter Esders v sleepmat a1st tbv gaslekzoeker (20035101) (ALL)
Filter ten behoeve sleepmat gaslekzoektoestel,
bijv David.
Inhoud 1 stuks per verpakking.</t>
  </si>
  <si>
    <t xml:space="preserve">Stoffilter Esders sleepmat tbv gaslekzoeker (a25st) (ALL)
Stoffiltertje ten behoeve sleepmat gaslekzoektoestel,
bijv David.
Inhoud 25 stuks per verpakking.
</t>
  </si>
  <si>
    <t xml:space="preserve">Filter Esders hydrof v sleepmat a1st tbv gaslekzoeker (20035101) (ALL)
Filter Hydrofoob ten behoeve sleepmat gaslekzoektoestel,
bijv bij David.
Inhoud 1  stuks per verpakking.
</t>
  </si>
  <si>
    <t xml:space="preserve">Bocht, 90 graden,
materiaal: roodkoper,
aansluiting: pers 15mm x pers 15 mm.
Viega, Profipress G (Gastec QA), model 2616.
</t>
  </si>
  <si>
    <t>Hydropomp op accu(36V) tbv kabelknip app. Hydropomp Cembre B70M-MP36 36V
accu incl lader/afst.bed.
Set bestaat o.a. uit: Portable pompunit met accu 36 V / 700 bar
Afstandbediening Acculader (accu, bediening en lader) Hydraulische pomp
700 bar accu, gevoed met pneumatische handbediening.</t>
  </si>
  <si>
    <t xml:space="preserve">Accu Makita BH2433 24V-3,3Ah NiMH
Onder andere geschikt voor Makita BHR200
Specificaties:
- Voltage: 24 Volt Ni-MH
- Ampère: 3.3 Ah
</t>
  </si>
  <si>
    <t xml:space="preserve">Dummie DIN00 m. klemafscherming (ALL)
</t>
  </si>
  <si>
    <t xml:space="preserve"> Doos tbv vervoer ADR-goederen,
verpakkingsgroep II en III.
Afmetingen: L=32,5, B=24,5 en H=30cm.
UN eisen/codering moet ingeslagen of opgedrukt zijn.
UN 4G/X17/Y25/Z35
</t>
  </si>
  <si>
    <t>Kaartje onderbreking Elektriciteitstransport,
ivm werkzaamheden.
Bloc a 50 vel.</t>
  </si>
  <si>
    <t xml:space="preserve">"Verzoek om afspraak
datum / tijd / objectnr
geachte heer/mevrouw.
Wij zijn bij u aan de deur geweest .... troffen wij u niet thuis"
etc"
Omvang: 1 pagina
Formaat: 148 x 210 mm
Omvang: 50 vel in blok
Kwaliteit: 160 grams promail plus
Bedrukking: eenzijdig in full colour
Afwerking: kopgelijmd op grijsbord
Blok a 50 vel
</t>
  </si>
  <si>
    <t xml:space="preserve">Reinigingsdoek tbv PE (a100st) (ALL)
Tangit/Henkel
Bus met reinigingsdoekjes speciaal voor PE-lassen.
Inhoud bus is 100 stuks.
</t>
  </si>
  <si>
    <t xml:space="preserve"> Etiket
Zelfklevend papier, extra lijm, 105 x 74 mm.
Rol a 500 ex.
BEH 011 PIJLETIKET
</t>
  </si>
  <si>
    <t xml:space="preserve"> Etiket
Zelfklevend papier, extra lijm, 100 x 100 mm.
Rol a 500 ex.
ADR 9 miscellaneous
</t>
  </si>
  <si>
    <t xml:space="preserve"> Etiket
Zelfklevend papier, extra lijm, 100 x 100 mm.
Rol a 500 ex.
ADR 8 corrosive
</t>
  </si>
  <si>
    <t xml:space="preserve">  Etiket
Zelfklevend papier, extra lijm, 100 x 100 mm.
Rol a 500 ex.
ADR 4.1 flammable solid
</t>
  </si>
  <si>
    <t xml:space="preserve"> Etiket
Zelfklevend papier, extra lijm, 100 x 100 mm.
Rol a 500 ex
ADR 3.0 flammable liquid
</t>
  </si>
  <si>
    <t xml:space="preserve"> Etiket
Zelfklevend papier, extra lijm, 100 x 100 mm.
Rol a 500 ex.
ADR 2.2 …….
</t>
  </si>
  <si>
    <t xml:space="preserve"> Etiket
Zelfklevend papier, extra lijm, 100 x 100 mm.
Rol a 500 ex.
ADR 2.1 …….
</t>
  </si>
  <si>
    <t xml:space="preserve">Klem 940000654 110mm ronddruk tbv PE (ALL)
Ronddruk klem tbv buis PE met de klassen:
SDR 11 en 17,6.
Diameter van 110 mm.
</t>
  </si>
  <si>
    <t>Schakelaar/WCD bodemdeel enkel m 1xPG16 WD</t>
  </si>
  <si>
    <t>Strooizout
v glad wegdek.
Emmer a 7,5 kg.</t>
  </si>
  <si>
    <t>Kabel YMeKrvaslqwd 12/20kV 1x630Cu + as 50 volgens HD620 S2:2016 S2:2016
pages 10-J-38 and 10-J-40. Brandklasse Fca. Haspels van 500m.</t>
  </si>
  <si>
    <t xml:space="preserve">Set van drie kappen met opbergkist,
en een geïsoleerde dopsleutel 17mm.
Soort verpakking: Houten kist.
</t>
  </si>
  <si>
    <t xml:space="preserve">1 stuk Hoffmankap, set van 3 stuks.
</t>
  </si>
  <si>
    <t xml:space="preserve">Koevoet Facom 269 400mm
Koevoet  Type: 269 Merk: Facom  Koevoeten, extra-gebogen haak, ronde
steel  Lengte: 400mm Gewicht: 0,95kg  Gesmeed model met een uiteinde in
de vorm van een priem eneen plat uiteinde, gehard op 45 HRc. Uitvoering
: rood gelakt ; gepolijste en geverniste uiteinden.
</t>
  </si>
  <si>
    <t xml:space="preserve">Stootijzer vierkant lichtgewicht 1400mm (ALL)
Stootijzer vierkant lichtgewicht  Lengte: 1400mm  In een standaard RAL
kleur, gemoffeld. zwart.  Alum. stootijzer met een hardstalen sok, en
een gewicht van 3.8 kg (GC10-420).
</t>
  </si>
  <si>
    <t>Handdrukballon Esders Leckomio Ex Balg tbv gaslekzoeker (20035101) (ALL)
Handbalg met koppelingen.
Handdrukballon voor afpersen voor gaslekzoeker,
incl drukmeter fabr Esders type Leckomio Ex,
(zie SAP art 20035101).</t>
  </si>
  <si>
    <t>Slang meetnippel Esders Leckomio Ex afpersset tbv gaslekzoeker
(20035101) (ALL)
Afpers slangenset naar meetnippel.
Slang met snelkoppeling naar meetnippel,
voor gaslekzoeker incl drukmeter fabr Esders,
type Leckomio Ex (zie SAP art 20035101).</t>
  </si>
  <si>
    <t xml:space="preserve">Adapter flexkopp Esders Leckomio Ex G4/G6 7/8inch uitw.gas.dr.
tbv gaslekzoeker (ALL)
Adapter gasdraad 7/8” voor gaslekzoeker,
incl drukmeter fabr Esders type Leckomio Ex,
(zie SAP art 20035101).
Uitwendig voor aansluiting aan ¾”flexslang,
(voor het aansluiten van de handbalg of kruisadapter).
</t>
  </si>
  <si>
    <t xml:space="preserve">Adapter gasmeter Esders Leckomio Ex G4/G6 7/8inch inw.gas.dr.
tbv gaslekzoeker (ALL)
Adapter gasdraad 7/8” voor gaslekzoeker,
incl drukmeter fabr Esders type Leckomio Ex,
(zie SAP art 20035101).
Inwendig voor aansluiting aan gasmeter/meterbeugel,
(voor het aansluiten van de handbalg of kruisadapter).
</t>
  </si>
  <si>
    <t xml:space="preserve">Voeding Esders Leckomio 230V tbv gaslekzoeker (20035101) (ALL)
</t>
  </si>
  <si>
    <t>HR04 Liander kaart:
‘Voor het maken van een afspraak troffen wij niemand thuis’.
Bloc a 50 vel.</t>
  </si>
  <si>
    <t>Koppeling, mof-steek, met RVS(A2) bouten.
Nom. diam.: DN 50 x DN 50,
Aansluitmaten: 46-71 x 63,
Pmax gas = 200 mbar;
afdichtingen: NBR, (zonder fiksers)
Huis: Nodulair Gietijzer (GGG40)
Inbouwlengte: 204 - 219 mm.
Fabrikant: Georg Fischer,
Type : Multi-joint 3080+</t>
  </si>
  <si>
    <t>Koppeling, mof-steek, met RVS(A2) bouten,
Nom. diam.: DN 80 x DN 110,
Aansluitmaten: 84-105 x 110,
Pmax gas = 200 mbar;
afdichtingen: NBR, (zonder fiksers)
Huis: Nodulair Gietijzer (GGG40)
Inbouwlengte: 240 - 254 mm.
Fabrikant: Georg Fischer,
Type : Multi-joint 3180+ (reductie).</t>
  </si>
  <si>
    <t>Koppeling, mof-steek, met RVS(A2) bouten.
Nom. diam.: DN 100 x DN 100,
Aansluitmaten: 104-132 x 110,
Pmax gas = 200 mbar;
afdichtingen: NBR, (zonder fiksers)
Huis: Nodulair Gietijzer (GGG40)
Inbouwlengte: 258 - 277 mm.
Fabrikant: Georg Fischer,
Type : Multi-joint 3080+.</t>
  </si>
  <si>
    <t>Koppeling, mof-steek, met RVS(A2) bouten.
Nom. diam.: DN 150 x DN 150,
Aansluitmaten: 154-192 x 160,
Pmax gas = 200 mbar;
afdichtingen: NBR, (zonder fiksers)
Huis: Nodulair Gietijzer (GGG40)
Inbouwlengte: 289 - 317 mm.
Fabrikant: Georg Fischer,
Type : Multi-joint 3080+.</t>
  </si>
  <si>
    <t>Koppeling, mof-mof, met RVS (A2) bouten,
NBR-afdichtingen en Uni-Fiksers,
Nom. diam.: DN 150 x DN 150
Aansluitmaten: 154-192 x 154-192
Werkdruk: 8 bar (gas)
Huis: PN16
Inbouwlengte: ....
Gewicht: 13,2 kg.
Fabrikant: Georg Fischer
Type : Multi-joint 3007+ trekvast.</t>
  </si>
  <si>
    <t>Koppeling, mof-mof, met RVS bouten,
NBR-afdichtingen en Uni-Fiksers,
Nom. diam.: DN 100 x DN 100
Aansluitmaten: 104-132 x 104-132
Werkdruk: 8 bar (gas)
Huis: PN16 / Nodulair Gietijzer (GGG40).
Inbouwlengte: 230 - 268 mm.
Fabrikant: Georg Fischer
Type : Multi-joint 3007+ trekvast.</t>
  </si>
  <si>
    <t>Koppeling, mof-mof, met RVS (A2) bouten,
NBR-afdichtingen en Uni-Fiksers,
Nom. diam.: DN 50 x DN 50
Aansluitmaten: 46-71 x 46-71
Werkdruk: 8 bar (gas)
Huis: PN16 / Nodulair Gietijzer (GGG40)
Inbouwlengte: 220 - 250 mm
Fabrikant: Georg Fischer
Type : Multi-joint 3007+ trekvast.</t>
  </si>
  <si>
    <t>Koppeling, mof-mof, met RVS (A2) bouten,
NBR-afdichtingen en Uni-Fiksers,
Nom. diam.: DN 80 x DN 80
Aansluitmaten: 84-105 x 84-105
Werkdruk: 8 bar (gas),
Huis: PN16 / Nodulair Gietijzer (GGG40)
Inbouwlengte: 234 - 262 mm.
Fabrikant: Georg Fischer
Type : Multi-joint 3007+ trekvast.</t>
  </si>
  <si>
    <t>Straatmakershamer De Wit 0004 7cm 2000gr 70mm blad
Type: 4
Straathamer met houten essen steel.
Gewicht: 2000 gram.
Steel: 7 cm.</t>
  </si>
  <si>
    <t>Koppeling, mof-mof, met RVS (A2) bouten,
NBR-afdichtingen en Uni-Fiksers,
Nom. diam.: DN 65 x DN 65
Aansluitmaten: 69-90 x 69-90
Werkdruk: 8 bar (gas)
Huis: PN16 / Nodulair Gietijzer (GGG40)
Inbouwlengte: 209 - 233 mm
Fabrikant: Georg Fischer
Type : Multi-joint 3007+ trekvast.</t>
  </si>
  <si>
    <t xml:space="preserve">Koppeling mof-flens (E-stuk), met RVS (A2) bouten.
Nom. diam.: DN 50 x DN 50
Aansluitmaten: mof 46-710 x flens DN 50 / Boring: PN10/16
Werkdruk: 8 bar (gas)
Huis: PN16 / Nodulair Gietijzer (GGG40)
NBR-afdichtingen.
Mof met Uni-Fiksers.
Inbouwlengte: 179 - 194 mm.
Fabrikant: Georg Fischer
Type : Multi-joint 3057+ trekvast.
</t>
  </si>
  <si>
    <t xml:space="preserve">Koppeling mof-flens (E-stuk), met RVS (A2) bouten.
Nom. diam.: DN 80 x DN 80
Aansluitmaat: mof 84-105 x flens DN 80 / boring PN10/16
Werkdruk: 8 bar (gas)
Huis: PN16 / Nodulair Gietijzer (GGG40)
NBR-afdichtingen.
Mof met Uni-Fiksers.
Inbouwlengte: 183 - 197 mm.
Fabrikant: Georg Fischer
Type : Multi-joint 3057+ trekvast.
</t>
  </si>
  <si>
    <t xml:space="preserve">Koppeling mof-flens (E-stuk), met RVS (A2) bouten.
Nom. diam.: DN 100 x DN 100
Aansluitmaat: mof 104-132 x flens DN 100 / boring PN10/16
Werkdruk: 8 bar (gas)
Huis: PN16 / Nodulair Gietijzer (GGG40)
NBR-afdichtingen.
Mof met Uni-Fiksers.
Inbouwlengte: 181 - 200 mm.
Fabrikant: Georg Fischer
Type : Multi-joint 3057+ trekvast.
</t>
  </si>
  <si>
    <t xml:space="preserve">Koppeling: E-stuk, met RVS bouten.
Nom. diam.: DN 150 x DN 150
Aansluitmaat: mof 154-192 x flens DN 150 / boring PN10/16
Werkdruk: 8 bar (gas)
Huis: PN16 / Nodulair Gietijzer (GGG40)
NBR-afdichtingen.
Mof met Uni-Fiksers
Inbouwlengte: 194 - 222 mm.
Fabrikant: Georg Fischer
Type : Multi-joint 3057+ trekvast
</t>
  </si>
  <si>
    <t xml:space="preserve">Verloopkoppeling, mof-mof, met RVS bouten.
Nom. diam.: DN 125 x DN 100
Aansluitmaten: 132-155 x 104-132
Werkdruk: 8 bar (gas)
NBR-afdichtingen.
Huis: Nodulair Gietijzer (GGG40)
Uni-Fiksers x Uni-Fiksers
Inbouwlengte: 238 - 275 mm.
Fabrikant: Georg Fischer
Type : Multi-joint 3107+ trekvast.
</t>
  </si>
  <si>
    <t xml:space="preserve">Verloopkoppeling, mof-mof, met RVS bouten.
Nom. diam.: DN 100 x DN 80
Aansluitmaten: 104-132 x 84-105
Werkdruk: 8 bar (gas)
NBR-afdichtingen
Huis: Nodulair Gietijzer (GGG40)
Uni-Fiksers x Uni-Fiksers
Inbouwlengte: 232 - 265 mm.
Fabrikant: Georg Fischer
Type : Multi-joint 3107+ trekvast.
</t>
  </si>
  <si>
    <t xml:space="preserve">Verloopkoppeling, mof-mof, met RVS bouten.
Nom. diam.: DN 150 x DN 125
Aansluitmaten: 154-192 x 132-155
Werkdruk: 8 bar (gas)
NBR-afdichtingen.
Huis: Nodulair Gietijzer (GGG40)
Uni-Fiksers x Uni-Fiksers
Inbouwlengte: 276 - 322 mm.
Fabrikant: Georg Fischer
Type : Multi-joint 3107+ trekvast.
</t>
  </si>
  <si>
    <t>Koppeling, mof-blind, met RVS (A2) bouten.
Nom. diam.: DN 100.
Aansluitmaten: mof 104-132
Mof met Uni-Fiksers
Werkdruk: 8 bar (gas)
NBR-afdichtingen.
Huis: Nodulair Gietijzer (GGG40)
Inbouwlengte: 144 - 163 mm.
Fabrikant: Georg Fischer
Type : Multi-joint 3207+, trekvast.</t>
  </si>
  <si>
    <t>Koppeling, mof-blind, met RVS (A2) bouten.
Nom. diam.: DN 150.
Aansluitmaten: mof 154-192
Mof met Uni-Fiksers
Werkdruk: 8 bar (gas)
NBR-afdichtingen.
Huis: Nodulair Gietijzer (GGG40)
Inbouwlengte: 149 - 177 mm.
Fabrikant: Georg Fischer
Type : Multi-joint 3207+, trekvast.</t>
  </si>
  <si>
    <t>Bindtouw nylon 0,4x2,16mm rol van 1000 meter</t>
  </si>
  <si>
    <t xml:space="preserve">Omschrijving drukwerk:
Evaluatieformulier Brinck..C1176.06.10
</t>
  </si>
  <si>
    <t>Omschrijving drukwerk:
"uw energiemeter is niet verwisseld"
Blok a 50 vel</t>
  </si>
  <si>
    <t>Omschrijving drukwerk:
Afspraak geannuleerd kaart
0-0016.</t>
  </si>
  <si>
    <t xml:space="preserve">Stalen lasweldolet, 114,3mm aftak, 8"x 4".
</t>
  </si>
  <si>
    <t>Bundel van 3 glasvezels met stekkers,
gemerkt L1, L2 en L3 met een lengte van 10 meter,
tbv GSM-unit voor kortsluitverklikkers.
Verpakt per plastic zakje.</t>
  </si>
  <si>
    <t>Schroevendraaier met zeskante soksleutel 10 mm,
GEEN VDE-keur.
Toepassing:
Speciale dopsleutel vooor M10 meterbordboutjes.</t>
  </si>
  <si>
    <t xml:space="preserve">Metaalzaagblad Bahco 3906 300mm 18tpi HSS vpe=10/100
Type: 3906   Voor handzaagbeugel 12”.  Bi-metaal, dus praktisch
onbreekbaar Versplintert niet en is geschikt voor het zagen van allerlei
staalsoorten Lange standtijd Extreem hoge verspaningscapaciteit en
slijtvastheid Precisie geslepen tanden. Lengte: 300 mm.  Breedte: 13 mm.
Dikte: 0,65 mm. Tandsteek: T18.
</t>
  </si>
  <si>
    <t xml:space="preserve">Verloop PVC-slagvast (CPE / PVC-A) buitendraad 1.1/2" x binnendraad 2"
Polsafe.
</t>
  </si>
  <si>
    <t xml:space="preserve">Densoleen WP40 kit is een blijvend plastische kitsoort op butylrubber
basis. Opvulling van holle ruimtes bij stalen leidingen en hulpstukken,
die beschermd worden met DENSOLEN®-Wikkelband. Afmetingen breed 40mm x
dikte 4mm. Lengte = 2,5 mtr. Eenheid = rol.
</t>
  </si>
  <si>
    <t xml:space="preserve">DN100 - mechanisch bereik 104-132 op PE 110mm.
Maximale werkdruk MOP 8 bar.
Materiaal: behuizing nodulair gietijzer GGG45.
Klemring: Nodulair gietijzer GGG45.
Coating: resicoat epoxy poedercoating.
Type: RT Varioseal ring.
NBR volgens EN 682.
Unifiksring: Progressieve afdichting POM en glasvezel Uni fiksers.
RVS A4 (AISI 316)
Bouten: RVS A2 voorzien van teflon.
Moeren: gegalvaniseerd en gepassiveerd.
Onderlegring: RVS A2 (AISI 316)
PE spie-eind: PE100 SDR11.
</t>
  </si>
  <si>
    <t>DN150 - mechanisch bereik 154-192 op PE 160mm
Maximale werkdruk GAS 8 bar.
Behuizing: nodulair gietijzer GGG45.
Klemring: nodulair gietijzer GGG45.
Coating: resicoat epoxy poedercoating type RT
Varioseal ring: NBR volgens EN 682
Unifiksring: progressieve afdichting POM en glasvezel
Uni fiksers: RVS A4 (AISI 316)
Bouten: RVS A2 voorzien van teflon
Moeren: gegalvaniseerd en gepassiveerd
Onderlegring: RVS A2 (AISI 316)
PE spie-eind: PE100 SDR11</t>
  </si>
  <si>
    <t>DN200 - mechanisch bereik 192-232 op PE 200mm
Maximale werkdruk GAS 8 bar.
Behuizing: nodulair gietijzer GGG45.
Klemring: nodulair gietijzer GGG45.
Coating: resicoat epoxy poedercoating type RT
Varioseal ring: NBR volgens EN 682
Unifiksring: progressieve afdichting POM en glasvezel
Uni fiksers RVS A4 (AISI 316)
Bouten: RVS A2 voorzien van teflon
Moeren: gegalvaniseerd en gepassiveerd
Onderlegring: RVS A2 (AISI 316)
PE spie-eind: PE100 SDR11</t>
  </si>
  <si>
    <t>DN250 - mechanisch bereik 267-310 op PE 250mm
Maximale werkdruk: GAS 8 bar.
Behuizing: Nodulair gietijzer GGG45.
Klemring: Nodulair gietijzer GGG45.
Coating: Resicoat epoxy poedercoating type RT
Varioseal ring: NBR volgens EN 682
Unifiksring: progressieve afdichting POM en glasvezel
Uni fiksers: RVS A4 (AISI 316)
Bouten: RVS A2 voorzien van teflon
Moeren: gegalvaniseerd en gepassiveerd
Onderlegring: RVS A2 (AISI 316)
PE spie-eind: PE100 SDR11</t>
  </si>
  <si>
    <t>DN300 - mechanisch bereik 315-356 op PE 315mm
Maximale werkdruk GAS: 5 Bar.
Behuizing: Nodulair gietijzer GGG45.
Klemring: Nodulair gietijzer GGG45.
Coating: Resicoat epoxy poedercoating type RT
Varioseal ring: NBR volgens EN 682
Unifiksring: Progressieve afdichting POM en glasvezel
Uni fiksers: RVS A4 (AISI 316)
Bouten: RVS A2 voorzien van teflon
Moeren: RVS A2 verzinkt en gepassiveerd
Onderlegring: RVS A4 (AISI 304)
PE spie-eind: PE100 SDR11</t>
  </si>
  <si>
    <t xml:space="preserve">Nieten v kabel tot 6mm a 1000st tbv 20035611 (ALL)
Kabelnieten tbv Handtacker
Voor kabels tot 6mm.
Doos = 1000st
</t>
  </si>
  <si>
    <t>Lasafsluiter DN 25 gegalvaniseerd staal met RVS kogel,
en handel t.b.v. hoogbouw.
Type afsluiter       : kogel
Merk                 : Vexve
Diameter             : DN25 / 33,7mm
Draairichting        : rechts
Aantal slagen        : 1/4 slag
Nominale drukklasse  : PN 40
Verbindingstechniek 1: las
Verbindingstechniek 2: las
Afsluiter bekleed    : nee
Inbouwmaat           : 230
Afsluiter bediening  : handsteel
Materiaal            : Staal
Spindelmaat          : -</t>
  </si>
  <si>
    <t>Lasafsluiter DN 32 gegalvaniseerd staal met RVS kogel,
en handel t.b.v. hoogbouw.
Type afsluiter       : kogel
Merk                 : Vexve
Diameter             : DN32 / 42,4mm
Draairichting        : rechts
Aantal slagen        : 1/4 slag
Nominale drukklasse  : PN 40
Verbindingstechniek 1: las
Verbindingstechniek 2: las
Afsluiter bekleed    : nee
Inbouwmaat           : 260
Afsluiter bediening  : handsteel
Materiaal            : Staal
Spindelmaat          : -</t>
  </si>
  <si>
    <t>Lasafsluiter DN 40 gegalvaniseerd staal met RVS kogel,
en handel t.b.v. hoogbouw.
Type afsluiter       : kogel
Merk                 : Vexve
Diameter             : DN40 / 48,3mm
Draairichting        : rechts
Aantal slagen        : 1/4 slag
Nominale drukklasse  : PN 40
Verbindingstechniek 1: las
Verbindingstechniek 2: las
Afsluiter bekleed    : nee
Inbouwmaat           : 260
Afsluiter bediening  : handsteel
Materiaal            : Staal
Spindelmaat          : -</t>
  </si>
  <si>
    <t>Lasafsluiter DN 50 gegalvaniseerd staal met RVS kogel,
en handel t.b.v. hoogbouw.
Type afsluiter       : kogel
Merk                 : Vexve
Diameter             : DN50 / 60,3mm
Draairichting        : rechts
Aantal slagen        : 1/4 slag
Nominale drukklasse  : PN 40
Verbindingstechniek 1: las
Verbindingstechniek 2: las
Afsluiter bekleed    : nee
Inbouwmaat           : 300
Afsluiter bediening  : handsteel
Materiaal            : Staal
Spindelmaat          : -</t>
  </si>
  <si>
    <t>Afstandmeter digitaal; De groene lasertechnologie garandeert uitstekende
zichtbaarheid voor metingen over lange afstanden onder fel verlichte
omstandigheden binnen. Ideaal voor ruw werk door bestendigheid tegen een
val vanaf een hoogte van 1,5 meter, IP 65-beschermklasse en
schokabsorberende rubber behuizing Apparatuur en toepassing.
Is voorzien van feedback door zowel geluid als trillingen om het succes
van metingen te bevestigen en een verbeterde acculooptijd (in
vergelijking met het voorgaande model GLM 50 C Professional).</t>
  </si>
  <si>
    <t xml:space="preserve">Kabelbinder Raltec 540N 365x7,8mm zwart PA6.6 a100st
Kabelbinder Raltec
- Kleur: zwart.
- Afmeting: 365 x 7,8 mm.
- Treksterkte: 540N
- Bestand tegen UV, oliÙn en vetten.
- Materiaal: PA 6.6.
- Werktemperatuur: - 40 t/m 85?
- Vuurbestendig volgens UL 94 class V2.
</t>
  </si>
  <si>
    <t xml:space="preserve">Kabelbundelband 540x13  zwart (zak=50st)
Kabelbinder Hellermann LK5 W BKL1 5
KBB.54.013ZW
verpakkingseenheid 50 stuks
</t>
  </si>
  <si>
    <t xml:space="preserve">Kabelbinder Raltec 700N 780x9,0mm wit PA6,6 a100st
Kabelbinders vervaardigd uit hoogwaardig polyamide (klasse 6.6).
Vuurbestendig volgens UL 94 class V2, bestand tegen UV-straling, oliën
en vetten.
Werktemperatuur: - 40 t/m 85°C.
Afmeting: 780 x 9,0 mm.
Treksterkte: 700N.
Kleur: wit.
Inhoud: zak a 100 stuks.
</t>
  </si>
  <si>
    <t>Knelkoppeling instelbare knie 12mm – 18x1,5. DIN2353, materiaal
staal-verzinkt.</t>
  </si>
  <si>
    <t>Kabelafdekdoek Liander set 750x60cm op haspel (ALL)
Kabelafdekdoek ID Set a 2 750x65cm zwart moq100 Velcro/ zonder logo.
Afdekdoek voor kabel op haspel BKA zwart.
Set bestaat uit twee doeken.
Per doek: lengte: 750cm, breedte: 65cm, omgezoomd. 2 zijden voorzien van
2 stroken klittenband: lengte 375cm.</t>
  </si>
  <si>
    <t>Hangslot, beugel in RVS,
Beugelhoogte = 30mm,
Beugeldikte = 7mm,
Code 1.8.1 (E-bouwkast),
inclusief 1 sleutels.
Fabr: Lips, Type: Trivium S4051.</t>
  </si>
  <si>
    <t xml:space="preserve">Amperetang open bek 14,7mm max 0-200A; Stroomtang, Type UT256B,
Uni-Trend. TRMS AC/DC vorkstroomtang 200A. Automatische bereikkeuze,
Automatische uitschakeling. Inclusief extra functies als o.a. diodetest,
doorbeltest, Data Hold, achtergrondverlichting, relatieve mode,
contactloze spanningsdetectie etc.
Veiligheidscategorie: CAT III 600V.
</t>
  </si>
  <si>
    <t xml:space="preserve">Uitbreidingssets systeemkoppelingen voor dubbelstraats gasstation
(art.nr. Kamstrup O20090)
Bestaande uit:
3 beveiligde diagnoseaansluitingen type BDA 10 voorzien van 12mm
snijringkoppelingen. (art.nr. Kamstrup O43100)
1 beveiligde meetaansluiting type BMA 04 , incl aansluiting met conische
gasbuitendraad G1/4” (art.nr. Kamstrup O68200)
</t>
  </si>
  <si>
    <t xml:space="preserve">Kopersulfaat v KB 3218 100 gr v meetelektrode (ALL)
Verpakking met 100 gram kopersulfaat
(artikelnummer 3218).
tbv de meetelectrode v Kathodische Bescherming (3211).
Doosje dient goed te kunnen worden afgesloten
en indien van toepassing
voorzien te worden van de gestandaardiseerde
gevarenstickers en veiligheids (MSDS)-blad(en).
</t>
  </si>
  <si>
    <t>Verzorgende creme Deb/Stokolan Light Pure 100ml.</t>
  </si>
  <si>
    <t xml:space="preserve">Koppeling, mof-steek, met RVS(A2) bouten
Nom. diam.: DN 200 x DN 200
Aansluitmaten: 192 - 232x 200
Pmax gas = 200 mbar; water = 16 bar
afdichtingen: NBR, zonder fiksers
Huis: Nodulair Gietijzer (GGG40)
Inbouwlengte: 335-362 mm
Fabrikant: Georg Fischer
Type : Multi-joint 3080+
</t>
  </si>
  <si>
    <t xml:space="preserve">Snijring koppeling recht, 12mm x BSP3/8 buitendraad, DIN2353. Materiaal
Staal-verzinkt.
</t>
  </si>
  <si>
    <t xml:space="preserve">Snijring koppeling recht, 12mm x 12mm, DIN2353. Materiaal
Staal-verzinkt.
</t>
  </si>
  <si>
    <t xml:space="preserve">Snijring koppeling haaks 12mm x 12mm. DIN2353, materiaal staal-verzinkt.
</t>
  </si>
  <si>
    <t xml:space="preserve">Snijring koppeling recht, 12mm x 10mm, DIN2353. Materiaal
Staal-verzinkt.
</t>
  </si>
  <si>
    <t xml:space="preserve">Snijring koppeling T-stuk, 12mm x bsp1/4 buitendraad x 12mm, DIN2353.
Materiaal Staal-verzinkt.
</t>
  </si>
  <si>
    <t xml:space="preserve">Stalen verloopring 3/8" buitendraad x 1/4" bsp binnendraad (conisch),
materiaal Staal-verzinkt.
</t>
  </si>
  <si>
    <t xml:space="preserve">Stalen verloopring 1/2" buitendraad x 1/4" bsp binnendraad (conisch),
materiaal Staal-verzinkt.
</t>
  </si>
  <si>
    <t xml:space="preserve">Stalen verloopring 1/2" buitendraad x 3/8" bsp binnendraad (conisch),
materiaal Staal-verzinkt.
</t>
  </si>
  <si>
    <t xml:space="preserve">Stalen malleable dubbele nippel, uitwendige bsp (conische) draad, 1/4"x
1/4". Materiaal staal-verzinkt.
</t>
  </si>
  <si>
    <t>Stalen malleable dubbele verloop nippel, uitwendige bsp (conische)
draad, 1/4"x 3/8". Materiaal staal-verzinkt.</t>
  </si>
  <si>
    <t>Stalen malleable dubbele verloop nippel, uitwendige bsp (conische)
draad, 1/4"x 1/2". Materiaal staal-verzinkt.</t>
  </si>
  <si>
    <t>Stalen malleable dubbele nippel, uitwendige bsp (conische) draad, 3/8"x
3/8". Materiaal staal-verzinkt.</t>
  </si>
  <si>
    <t xml:space="preserve">Jerrycan 10 liter met kraan + vuldop. Jerrycan met brede hals en
schroefdraad, sluiting is verzegelbaar. Vooral geschikt voor drinkwater
en levensmiddelen.
Materiaal: HDPE polyethyleen.
Vulopening: 88 mm.
Afmeting: 154 x 302 x 397 mm.
Gewicht: 0,91 kg.
Inhoud: 10 liter
Kraan = 22 mm hoekventiel met brede schroefdraad. Axiaal, natuur. Met
koppeling voor tuit. Is bestand tegen chemicaliën en zuren.
Materiaal: polyethyleen (HD-PE)
Maximum aantal bar: 1,5
Lengte: 118 mm
Extra informatie: voor levensmiddelen geschikt
</t>
  </si>
  <si>
    <t xml:space="preserve">beveiligde meetaansluiting type BMA 04,
incl aansluiting met conische gasbuitendraad G1/4”
(art.nr. Kamstrup O68200)
</t>
  </si>
  <si>
    <t xml:space="preserve">beveiligde meetaansluiting type BMA 10,
incl aansluiting met conische gasbuitendraad G1/4”
(art.nr. Kamstrup 082200)
</t>
  </si>
  <si>
    <t xml:space="preserve">MI36953
Kunststof meterinvoerconstructie (MIC)
Type VZ-75-50, WD=3, L=2x 600mm
IT36104   muurbeugel 70-76mm, met rubber inlaag.
</t>
  </si>
  <si>
    <t>Zeep t.b.v. Tork-dispensers,
vierkante flacons a 1000 ml,
extra hygiene (anti-bacterieel).
Fabr. Tork; Type: Mevon 88, art.nr. 420810.
Toepassing voor de S1-dispenser Alliander nr 20010217.</t>
  </si>
  <si>
    <t xml:space="preserve">Aanboorzadel elektrolas toepasbaar als blaasgatzadel 90mm x 1½" polsafe,
materiaal: PE100 SDR11.
</t>
  </si>
  <si>
    <t xml:space="preserve">Beschermband polytheen. Kleur geel. Opschrift "GAS". Afm.: 200 x 2mm,
rollengte = 50 m.
</t>
  </si>
  <si>
    <t xml:space="preserve">Snijring koppeling T-stuk, 12mm x bsp1/4 binnendraad x 12mm, DIN2353.
Materiaal Staal-verzinkt.
</t>
  </si>
  <si>
    <t xml:space="preserve">Buigtang Ridgid 412M 12mm
Ontworpen voor het buigen van koper, staal en roestvaststaal tot 180°.
Heeft een unieke luchtabsorptieschoen om de buiginspanning tot een
minimum te beperken. Ver uit elkaar staande ergonomische handgrepen.
Capaciteit 12mm
</t>
  </si>
  <si>
    <t xml:space="preserve">Gereedschapsetui Redgrip TC0042 zwart canvas 20 vaks
Dit veelzijdig product kan worden gebruikt om beitels,
schroevendraaiers, moersleutels of andere kleine voorwerpen in op te
bergen. Handige etui voor diverse gereedschappen.
</t>
  </si>
  <si>
    <t xml:space="preserve">Datalogger PWB N6/5 80x80x60 ip67 voor druk 10bar
20035828  Datalogger voor druk  10 bar:     2-kanaalslogger PWB logg
N6/5 aan met 1 Druk en 1 Temp sensor   Datalogger PWB- logg N6/5 (1 x
TS, 1 x DS) 1 Type: N6/5     Behuizing: Aluminium, 80x80x60mm, IP67.
Resolutie: 8 bit Geheugen: 496 kB (ca. 507.000 Meetpunten bij 8 Bit)
Scherm: LCD met transparant toetsenbord, Vol menu (NL)   Voeding: Litium
batterij BP4.2N5 (4.200mAh)   Interface: Online-Aansluiting
Uitvoering: Ex II3G Ex nA II B T4 (zone 2)     Ingang 1: Temperatuur
sensor PWB-TS2/6 MB*: -20°C tot +60°C   Nauwkeurigheid: +/- 1°C Elekt
Aansluiting:  Plugbaar Type 67L, met beschermkap, 1 m kabel ** Proc. –
Aansluiting:  Voeler, Ø 6 mm     Ingang 2: Druksensor DS 1/40 MB*: 0 –
10,0 bar, rel.   Nauwkeurigheid: 1.0% v. E. Elekt     Aansluiting:
Plugbaar, Type 67L met beschermkap, 1 m kabel ** Proc. –   Aansluiting:
G ½” A (Inox).
</t>
  </si>
  <si>
    <t xml:space="preserve">Datalogger PWB N6/5 80x80x60 ip67 voor druk 50mbar (ALL)
Type: Datalogger PWB N6/5 80x80x60 ip67 voor druk 50mbar 2-kanaalslogger
PWB logg N6/5 aan met 1 Druk en 1 Temp sensor  Datalogger PWB- logg N6/5
(1 x TS, 1 x DS) 1 Type: N6/5 Behuizing: Aluminium, 80x80x60mm, IP67.
Resolutie: 8 bit  Geheugen: 496 kB (ca. 507.000 Meetpunten bij 8 Bit)
Scherm: LCD met transparant
2-kanaalslogger PWB logg N6/5 aan met 1 Druk en 1 Temp sensor
Datalogger PWB- logg N6/5 (1 x TS, 1 x DS) 1
Type: N6/5
Behuizing: Aluminium, 80x80x60mm, IP67,
Resolutie: 8 bit
Geheugen: 496 kB (ca. 507.000 Meetpunten bij 8 Bit)
Scherm: LCD met transparant toetsenbord, Vol menu (NL)
Voeding: Litium batterij BP4.2N5 (4.200mAh)
Interface: Online-Aansluiting
Uitvoering: Ex II3G Ex nA II B T4 (zone 2)
Ingang 1: Temperatuur sensor PWB-TS2/6
MB*: -20°C tot +60°C
Nauwkeurigheid: +/- 1°C
Elekt Aansluit..: Plugbaar Type 67L, met beschermkap, 1 m kabel **
Proc. - Aansluit..: Voeler, Ø 6 mm
Ingang 2: Druksensor DS 1/40
MB*: 0 – 50,0 mbar, rel.
Nauwkeurigheid: 1.0% v. E.
Elekt Aansluit..: Plugbaar, Type 67L met beschermkap, 1 m kabel **
Proc. - Aansluit..: G ½” A (Inox)
</t>
  </si>
  <si>
    <t xml:space="preserve">Datalogger PWB N6/5 voor druk 200 Mbar:
Type: N6/5
Behuizing: Aluminium, 80x80x60mm, IP67,
Resolutie: 12 bit
Geheugen: 1 MB (ca. 500.000 Meetpunten bij 12bit)
Scherm: LCD met transparant toetsenbord, Vol. Menu (NL)
Voeding: Lithium batterij BP2.4N5
Interface: Online-Aansluiting
Modemvoorb.: Intern
Uitvoering: Ex II3G Ex ec [ic Gc] IIC T4 Gc X (zone2)
Ingang 1: Temperatuursensor PWB-TS2/6
MB: -20° tot +60°C
Nauwkeurigheid: +/- 1K
Elekt Aansluit.: Stekker contactdoos, Type67L met beschermkap,
1 m kabel (PVC).
Proc. - Aansluit.: Voeler, ∅6 mm
Ingang 2: Druksensor DS 1/40
MB: 0 – 200,0 mbar
rel. Nauwkeurigheid: 1% v. E.
Elekt Aansluit.: Plugbaar, IP 67, met beschermkap, 1 m kabel
Proc. - Aansluit.: G1/2A (Edelstaal)
</t>
  </si>
  <si>
    <t xml:space="preserve">Datakabel USB v druk datalogger P (ALL)
PC Data kabel
met USB aansluiting met software Lengte 1,8 mtr
tbv datalogger PWB.
</t>
  </si>
  <si>
    <t>Montage beugel om alle XPLE kabels in de juiste montagepositie te
zetten.</t>
  </si>
  <si>
    <t>Pakking ingebouwd Filter en nok
toepassing:
huisdrukregelaar+B-klep en B-klep</t>
  </si>
  <si>
    <t xml:space="preserve">Draadstang DIN975 M16 x 1mtr RVS-A2 vpe=1
Draadeind metrisch.DIN 975.
Roestvaststaal A2.
</t>
  </si>
  <si>
    <t xml:space="preserve">Draadstang DIN975 M20 x 1mtr RVS-A2 vpe=1
Draadeind metrisch.DIN 975.
Roestvaststaal A2.
</t>
  </si>
  <si>
    <t xml:space="preserve">Blaas Kleiss nr0 50mm tbv MSD-500 (ALL)
Balafsluiter (gasblaas),
nr.0 voor Kleiss P3-systeem (gasloos aanboren)
Verbeterde uitvoering met drukmeting.
Type: Kleiss MDS-500-0D1b.
Tbv: zakpijp: nr.0
Opzetstuk: 1.1/2"
</t>
  </si>
  <si>
    <t xml:space="preserve">Rechte overgangskoppeling, malleable,
van PE naar staal,
PE 32 SDR 17,6 TV x staal 3/4"
inclusief steunbus.
Voldoet aan de NEN-EN 1555-2 (nieuwe uitvoering)
</t>
  </si>
  <si>
    <t xml:space="preserve">Vlaklamellenschijf Flexovit 125x22 K40 Alox conisch
Aluminium oxide met glasfiberdrager. Model: conisch. Bijzonder geschikt
voor het bewerken van laag- en hoog gelegeerde staalsoorten, verwijderen
van roest, licht ontbramen en vlakslijpen. Geringe warmteontwikkeling en
laag geluidsniveau. Toepassing: voor gebruik op diverse staalsoorten,
non-ferro metalen en hout.
</t>
  </si>
  <si>
    <t xml:space="preserve">Aansluitpin 8 mm soldeer, verpakking 100 stuks in een blik.
</t>
  </si>
  <si>
    <t xml:space="preserve">Aansluitplug met oog 10mm2 , verpakking 100stuks in een blik.
</t>
  </si>
  <si>
    <t xml:space="preserve">Ring keramisch  8mm, voor Pin Brazing, aansluiten van kabel.
</t>
  </si>
  <si>
    <t xml:space="preserve">Kabel PE/PVC 1x10mm2 zwart, op rol van 100m.
</t>
  </si>
  <si>
    <t xml:space="preserve">Kabel PE/PVC 1x10mm2 rood, op rol van 100m.
</t>
  </si>
  <si>
    <t xml:space="preserve">Overgangsstuk staal/PE, elektrolas PE100 1100 mm SDR11 las staal L245N
(volgens NEN-EN-ISO 3183) 114,3 x 3,6 mm (DN80) met PE ommanteling
(volgens de DIN 30670).
Afdichting: O-ring NBR 70 rubber. Pmax is 8 bar.
Verpakt volgens de NTA 8828 en op de verpakking is duidelijk aangegeven
de volgende gegevens: Fabrikant, nominale buitendiameters, SDR-waarde,
naam van het materiaal (PE100), productiedatum of -code, keurmerk van de
certificerende instantie (indien van toepassing).
</t>
  </si>
  <si>
    <t xml:space="preserve">Rechte overgangskoppeling, malleable,
van PE naar staal,
PE 63 SDR 17,6 TV x staal 2"
inclusief steunbus.
Voldoet aan de NEN-EN 1555-2 (nieuwe uitvoering)
</t>
  </si>
  <si>
    <t xml:space="preserve">PeCu prefab gasdienstleiding met  PE 40  mantelbuis -Zachtkoper Cu
35mmx1,5mm. Lengte 2,50 meter. -Aansluiting op PE40 mm SDR 17,6.
Pipelife overgangskoppeling PE-koper -Leiding zonder steunbus enkel
geschikt voor persfitting Met QA-keur. Toepassingsgebied klasse 0 tot
0A.
Fabrikaat: OCI
Of
Peko dienstleiding PE 40 SDR17,6 mantelbuis met Cu 28 mm. Lengte 2,50
meter. Geschikt voor aansluiting op dienstleiding PE 40. Met PE-
koppeling. QA-keur Trekvast. ** buigzame PEKO met Pipelife-koppeling
**Toepassingsgebied klasse 0 tot 0A.
Fabrikaat: HSF
</t>
  </si>
  <si>
    <t xml:space="preserve">Inbussleutelset Facom 83R.JP6 2-6mm met gat 7dlg in houder
Inbussleutelset  Type: 83R.JP6 Merk: Facom  Set van 6 inbussleutels 83R
voor 6-kantveiligheidsschroeven met stift  'Wordt geleverd in kunststof
houder inhoud: Inbussleutel:2 - 2,5 - 3 - 4 - 5 - 6mm
</t>
  </si>
  <si>
    <t>Kunststof huisaansluitkast DIN00,
100A KH00/KU6/2 speciaal,
kleur RAL 7035 deksel grijs.</t>
  </si>
  <si>
    <t xml:space="preserve">Filterelement voor gas.
Afmetingen: Bu = 106 x Bi = 72 x L = 138 mm.
Metaaldelen: Geëpoxeerd staal
Filtermedium: Polyesternaaldvilt 3um / 570gram op gegalvaniseerd
staalgaas genaaid.
Verlijming: polyethaanhars
Afdichting: Vilt (4mm dik). Merk, Golden Super (GSF), type GS-5401.
</t>
  </si>
  <si>
    <t xml:space="preserve">PeCu prefab gasdienstleiding met  PE 40 SDR17,6 mantelbuis -Zachtkoper
Cu 28mmx1,2mm. Lengte 1,20meter. -Aansluiting op PE40 mm SDR 17,6.
Pipelife overgangskoppeling PE-koper -Leiding zonder steunbus enkel
geschikt voor persfitting Met QA-keur. Toepassingsgebied klasse 0 tot 2.
Fabricaat: OCI
Of
Peko dienstleiding PE 40 SDR17,6 mantelbuis met Cu 28 mm. Lengte 1,20
meter. Geschikt voor aansluiting op dienstleiding PE 40. Met PE-
koppeling. QA-keur Trekvast. ** buigzame PEKO met Pipelife-koppeling
**Toepassingsgebied klasse 0 tot 0A.
Fabricaat: HSF
</t>
  </si>
  <si>
    <t xml:space="preserve">Dopsleutel Magna 217047 1/4"-10x48mm 6-kant aansluiting magnetisch
Om schroeven en bouten met zeskante kop machinaal aan te draaien.
Magnetisch.Opname 1/4" buitenzeskant. Zwart gefosfateerd.
</t>
  </si>
  <si>
    <t xml:space="preserve">Dopsleutel Elzet 996523 1/4"-13x55mm
Type: 996523
Magnetische zeskant dopsleutel voorzien van 1/4" aansluiting.
Lengte: 55 mm.
Maat: 13 mm.
</t>
  </si>
  <si>
    <t xml:space="preserve"> Doos tbv vervoer ADR goederen (klein),
Verpakkingsgroep II en III.
afmetingen: L=11,5 x B=11,5 x H=27 cm
UN#201*10, 4G X 2.8  / Y 4.25
</t>
  </si>
  <si>
    <t xml:space="preserve">Aanboorzadel toepasbaar als aftakzadel 420-440mmx1½" Polsafe materiaal:
RVS met NBR rubber.
</t>
  </si>
  <si>
    <t xml:space="preserve">Aanboorzadel toepasbaar als aftakzadel 420-440mmx2" Polsafe materiaal:
RVS met NBR rubber.
</t>
  </si>
  <si>
    <t xml:space="preserve">Aanboorzadel toepasbaar als aftakzadel 520-540mmx1½" Polsafe materiaal:
RVS met NBR rubber.
</t>
  </si>
  <si>
    <t xml:space="preserve">Aanboorzadel toepasbaar als aftakzadel 520-540mmx2" Polsafe materiaal:
RVS met NBR rubber.
</t>
  </si>
  <si>
    <t>KABELBUNDELBAND
PAN TY 99X2.5  ZW UV     ZK100
1 ZAK = 100 stuks</t>
  </si>
  <si>
    <t xml:space="preserve">Adereindmarkeringdispencer 3M nrs.0t/m9 adereind markering (ALL)
3M™ ScotchCode™ STD Draad Markeringstape  Adereind markering, nrs 0 t/m9
In dispencer
</t>
  </si>
  <si>
    <t xml:space="preserve">Doorslijpschijf Flexovit A60T-BF41 115x1,0x22 Staal/RVS
Geschikt voor: staal, RVS. Voordelen: IJzer-, zwavel- en chloorvrij,
braamvrije en schone sneden, hoge stabiliteit. Afmeting: 115x1,0 mm.
Specificatie: A60T/BF41. Inhoud: 25 stuks.
</t>
  </si>
  <si>
    <t xml:space="preserve"> Projectcontainer 1 m3.</t>
  </si>
  <si>
    <t xml:space="preserve"> Projectcontainer 5FT
Maatvoering LxBrxH intern
2,04 x 1,5 x 2,2 meter
</t>
  </si>
  <si>
    <t xml:space="preserve"> Projectcontainer 8/10 ft.
Maatvoering LxBrxH intern
2,83 x 2,34 x 2,37 meter
</t>
  </si>
  <si>
    <t xml:space="preserve"> Projectcontainer 20 FT
Maatvoering LxBrxH intern
6,05 x 2,43 x 2,59 m.
</t>
  </si>
  <si>
    <t>Sleepmat Esders reserve tbv gaslekzoeker (20034315) (ALL)
Kunstofmat, bijbehorend bij 20034315, dient na slijtage
vervangen te worden.</t>
  </si>
  <si>
    <t xml:space="preserve">Schroevendraaier Wiha 3241 1x80mm slimfix VDE
SoftFinish electric slimFix Pozidriv-schroevendraaier. Isolatie 1.000 V
AC, VDE- en GS-getest. Schacht: Direct op de schacht aangespoten
isolatie die aan de voorzijde volledig in de schacht is geïntegreerd.
Normen: DIN ISO 8764. Gemaakt conform IEC 60900:2004. Extra: Door de
geïntegreerde isolatie kunnen diepliggende schroef- en veerelementen
worden bereikt en bediend.
</t>
  </si>
  <si>
    <t xml:space="preserve">Schroevendraaier Wiha 3241 2x100mm slimfix VDE
SoftFinish electric slimFix Pozidriv-schroevendraaier. Isolatie 1.000 V
AC, VDE- en GS-getest. Schacht: Direct op de schacht aangespoten
isolatie die aan de voorzijde volledig in de schacht is geïntegreerd.
Normen: DIN ISO 8764. Gemaakt conform IEC 60900:2004. Extra: Door de
geïntegreerde isolatie kunnen diepliggende schroef- en veerelementen
worden bereikt en bediend.
</t>
  </si>
  <si>
    <t xml:space="preserve">Zaagblad fein recipro 400mm st/gy (ALL)
Fein Recipro zaagblad
Lengte: 400mm
Geschikt voor staal / gietijzer
</t>
  </si>
  <si>
    <t xml:space="preserve">Zaagblad fein recipro 500mm st/gy (ALL)
Fein Recipro zaagblad
Lengte: 500mm
Geschikt voor staal / gietijzer
</t>
  </si>
  <si>
    <t xml:space="preserve">Zaagblad fein recipro 600mm st/gy (ALL)
Fein Recipro zaagblad
Lengte: 600mm
Geschikt voor staal / gietijzer
</t>
  </si>
  <si>
    <t xml:space="preserve">Verlichtingset polyester dak ms station:
Verlichtingset polyester dak ms station:
20005450 (Slagvaste buis 5/8") 1mtr
20019149 (klemzadel 5/8") 3x
XVMvK kabel 3x2,5mm2  2mtr  (Solar)
Bocht 5/8" 2x (Solar)
20019026 (schakelaar/wcc m randaard waterdicht)  1x
HMPE Plaat 5mm Afm 1200x140x5mm 1x (komt van DS Kunststoffen)
Solar EP2 1x18W I/C 3F-DVB IP65 1x (komt van Solar)
Osram l18W/840 Lumilux Fluorlamp 1x (komt van Solar)
</t>
  </si>
  <si>
    <t xml:space="preserve">Rotatieschraper 790.163.003 63mm tbv PE (ALL)
Rotatieschraper  tbv PE  63mm
</t>
  </si>
  <si>
    <t xml:space="preserve">Rotatieschraper 790.163.004 75mm tbv PE (ALL)
Rotatieschraper  tbv PE  75mm
</t>
  </si>
  <si>
    <t xml:space="preserve">Rotatieschraper 790.163.006 110mm tbv PE (ALL)
Rotatieschraper  tbv PE  110mm
</t>
  </si>
  <si>
    <t xml:space="preserve">Rotatieschraper 790.163.007 125mm tbv PE (ALL)
Rotatieschraper  tbv PE  125mm
</t>
  </si>
  <si>
    <t xml:space="preserve">Rotatieschraper 790.163.009 160mm tbv PE (ALL)
Rotatieschraper  tbv PE  160mm
</t>
  </si>
  <si>
    <t xml:space="preserve">Rotatieschraper 790.163.011 200mm tbv PE (ALL)
Rotatieschraper  tbv PE  200mm
</t>
  </si>
  <si>
    <t xml:space="preserve">Rotatieschraper 790.163.013 250mm tbv PE (ALL)
Rotatieschraper  tbv PE  250mm
</t>
  </si>
  <si>
    <t xml:space="preserve">Rotatieschraper 790.163.015 315mm tbv PE (ALL)
Rotatieschraper  tbv PE  315mm
</t>
  </si>
  <si>
    <t xml:space="preserve">Inbouwgarnituur, compleet met verlengspindel, schutbuis,spindelkop en
afdekkap. Geschikt voor afsluiter type 2635 (compleet met breukstuk).
Spindelkop: geel Hawle, type 9053.
</t>
  </si>
  <si>
    <t>Buis staal met pe-coating, diam. 33,7 x 3,2mm, HSR-langsnaadgelaste
stalen draadbuizen volgens NEN-EN-ISO 3183, materiaal L 245 GA (1.0459),
in lengten van 6 meter, met afgeschuinde einden en
fabriekskeuringscertifikaat EN 10204-3.1, uitwendige pe-coating volgens
DIN30670-N-n, kleur geel, afgedekt met kunststof kappen.</t>
  </si>
  <si>
    <t>Buis staal met pe-coating, diam. 42,4 x 3,2mm, HSR-langsnaadgelaste
stalen draadbuizen volgens NEN-EN-ISO 3183, materiaal L 245 GA (1.0459),
in lengten van 6 meter, met afgeschuinde einden en
fabriekskeuringscertifikaat EN 10204-3.1, uitwendige pe-coating volgens
DIN30670-N-n, kleur geel, afgedekt met kunststof kappen.</t>
  </si>
  <si>
    <t>Aardkabel geisoleerd 50mm2 lng 480mm gat 13mm</t>
  </si>
  <si>
    <t xml:space="preserve">Buis staal met pe-coating, diam. 48,3 x 3,2mm, HSR-langsnaadgelaste
stalen draadbuizen volgens NEN-EN-ISO 3183, materiaal L 245 GA (1.0459),
in lengten van 6 meter, met afgeschuinde einden en
fabriekskeuringscertifikaat EN 10204-3.1, uitwendige pe-coating volgens
DIN30670-N-n, kleur geel,afgedekt met kunststof kappen.
</t>
  </si>
  <si>
    <t>Buis staal met pe-coating, diam. 60,3 x 3,2mm, HFI-langsnaadgelaste
stalen buizen volgens NEN-EN-ISO 3183, materiaal L 245 GA (1.0459), in
lengten van 12 meter, met afgeschuinde einden en
fabriekskeuringscertifikaat EN 10204-3.1, uitwendige pe-coating volgens
DIN30670-N-n, kleur geel, afgedekt met kunststof kappen.</t>
  </si>
  <si>
    <t>Buis staal met pe-coating, diam. 88,9 x 3,6mm, HFI-langsnaadgelaste
stalen buizen volgens NEN-EN-ISO 3183, materiaal L 245 GA (1.0459), in
lengten van 12 meter, met afgeschuinde einden en
fabriekskeuringscertifikaat EN 10204-3.1, uitwendige pe-coating volgens
DIN30670-N-n, kleur geel, afgedekt met kunststof kappen.</t>
  </si>
  <si>
    <t xml:space="preserve">Buis staal met pe-coating, diam. 114,3 x 3,6mm, HFI-langsnaadgelaste
stalen buizen volgens NEN-EN-ISO 3183, materiaal L 245 GA (1.0459), in
lengten van 12 meter, met afgeschuinde einden en
fabriekskeuringscertifikaat EN 10204-3.1, uitwendige pe-coating volgens
DIN30670-N-n, kleur geel, afgedekt met kunststof kappen.
</t>
  </si>
  <si>
    <t xml:space="preserve">Buis staal met pe-coating, diam. 168,3 x 4,0mm, HFI-langsnaadgelaste
stalen buizen volgens NEN-EN-ISO 3183, materiaal L 245 GA (1.0459), in
lengten van 12 meter, met afgeschuinde einden en
fabriekskeuringscertifikaat EN 10204-3.1, uitwendige pe-coating volgens
DIN30670-N-n, kleur geel, afgedekt met kunststof kappen.
</t>
  </si>
  <si>
    <t xml:space="preserve">Buis staal met pe-coating, diam. 219,1 x 4,5 mm, HFI-langsnaadgelaste
stalen buizen volgens NEN-EN-ISO 3183, materiaal L 245 GA (1.0459), in
lengten van 12 meter, met afgeschuinde einden en
fabriekskeuringscertifikaat EN 10204-3.1, uitwendige pe-coating volgens
DIN30670-N-n, kleur geel, afgedekt met kunststof kappen.
</t>
  </si>
  <si>
    <t xml:space="preserve">Buis staal met pe-coating, diam.273,0 x 5,0mm, HFI-langsnaadgelaste
stalen buizen volgens NEN-EN-ISO 3183, materiaal L 245 GA (1.0459), in
lengten van 12 meter, met afgeschuinde einden en
fabriekskeuringscertifikaat EN 10204-3.1, uitwendige pe-coating volgens
DIN30670-N-n, kleur geel, afgedekt met kunststof kappen.
</t>
  </si>
  <si>
    <t xml:space="preserve">Buis staal met pe-coating, diam.323,9 x 5,6mm, HFI-langsnaadgelaste
stalen buizen volgens, NEN-EN-ISO 3183, materiaal L 245 GA (1.0459), in
lengten van 12 meter, met afgeschuinde einden en
fabriekskeuringscertifikaat EN 10204-3.1, uitwendige pe-coating volgens
DIN30670-N-n, kleur geel, afgedekt met kunststof kappen.
</t>
  </si>
  <si>
    <t>Buis staal met pe-coating, diam 406,4 x 6,3mm, HFI-langsnaadgelaste
stalen buizen volgens, NEN-EN-ISO 3183 , materiaal L 245 GA (1.0459), in
lengten van 12 meter, met afgeschuinde einden en
fabriekskeuringscertifikaat EN 10204-3.1, uitwendige pe-coating volgens
DIN30670-N-n, kleur geel, afgedekt met kunststof kappen.</t>
  </si>
  <si>
    <t>Fasevergelijker.
Fabr: Horstmann
Type: Orion Compare 3.0
Bestaande:
- koffer
- fasevergelijker
- adapterset
- verloopsnoeren</t>
  </si>
  <si>
    <t xml:space="preserve">Schuifafsluiter ST 406,0mm PN16 L-L
Type afsluiter:         schuif
Merk:                       AVK
Diameter:                DN400 / 406,0 mm
Draairichting        : rechts
Aantal slagen        : 59
Nominale drukklasse  : PN 16
Verbindingstechniek 1: las
Verbindingstechniek 2: las
Afsluiter bekleed    : epoxy
Inbouwmaat           : 670
Afsluiter bediening  : spindel
Materiaal            : staal
Spindelmaat          : 32
</t>
  </si>
  <si>
    <t xml:space="preserve">Isolatiedop conisch 1-6qmm l=50mm v meterwisseling (ALL)
Isolatiedop conisch tbv meterwisseling
Geschikt voor: 1-6qmm
Lengte: 50mm
</t>
  </si>
  <si>
    <t xml:space="preserve">Beveiligde diagnose BDA 10 aansluiting
type incl 10 mm snijringkoppeling
(art.nr. Kamstrup O43110).
</t>
  </si>
  <si>
    <t xml:space="preserve">Set systeemkoppelingen voor enkelstraats gasstation (art.nr. Kamstrup
O20081)
Bestaande uit:
3 beveiligde diagnoseaansluitingen type BDA 10 voorzien van 10mm
snijringkoppelingen. (art.nr. Kamstrup O43110)
1 beveiligde meetaansluiting type BMA 10, incl aansluiting met conische
gasbuitendraad G1/4” (art.nr. Kamstrup O82200)
1 beveiligde meetaansluiting type BMA 04 , incl aansluiting met conische
gasbuitendraad G1/4” (art.nr. Kamstrup O68200)
</t>
  </si>
  <si>
    <t xml:space="preserve">Kabel VO or VG-YMvKas 0.6/1kV - 4 x 10 Cu + as10 volgens NEN3616.
Aderkleuren rood, geel, blauw en geel/blauw.
Brandklasse Dca-s2,d2,a3.
Haspels met 500m.
</t>
  </si>
  <si>
    <t>Kabel VO of VG-YMvKasmb 0.6/1kV - 4 x 16Cu + as16 Cu volgens NEN3617.
Aderkleuren rood, geel, blauw en geel/blauw. Brandklasse Dca-s2,d2,a3.
Haspels van 500m.</t>
  </si>
  <si>
    <t xml:space="preserve">Afsluitdop met O-ring afdichting, B3-107602-1/4bsp buitendraad, DIN2353,
leverancier Bosma-control, Leverancierscode B3-107602-1/4bsp
buitendraad. Materiaal Staal-verzinkt.
</t>
  </si>
  <si>
    <t xml:space="preserve">Overgangsadapter met O-ring afdichting, Stud standpipe adaptor 10mm x
1/4 bsp buitendraad, DIN2353, leverancier Bosma-control, Lever
ancierscode B3-101106-10mm x 1/4bsp buitendraad. Stud standpipe adaptor 10mm x bu BSP1/4". Materiaal Staal-verzinkt.
</t>
  </si>
  <si>
    <t xml:space="preserve">Overgangsadapter met O-ring afdichting, Stud standpipe adaptor 12mm x
1/4 bsp buitendraad, DIN2353, leverancier Bosma-control, Lever
ancierscode B3-101107-12mm x 1/4bsp buitendraad. Stud standpipe adaptor 12mm x bu BSP1/4". Materiaal Staal-verzinkt.
</t>
  </si>
  <si>
    <t>VIAG formulier G22.23
"Rapport ten behoeve van het beproeven,
op sterkte en dichtheid van LD- en HD-leidingen,
en HD-aansluitleidingen"
Pak à 50 sets:
VIAG G22.23: 2 formulieren per set
Afgewerkt formaat: A4
Bedrukking vel 1: eenzijdig zwart + PMS 376
Bedrukking vel 2: eenzijdig zwart, wisselende tekstjes onderaan pagina’s
Papiersoort: Idem, alle vellen wit
Afwerking: kopgelijmd, verlengd doorlopend onderbord
1 pak = 1 blok van 50 x 2 formulieren!</t>
  </si>
  <si>
    <t xml:space="preserve">Enveloppe "let op!"
"let op! - Belangrijke informatie over werkzaamheden,
aan uw energieaansluting"
Verpakt per 500 stuks.
</t>
  </si>
  <si>
    <t xml:space="preserve">Hardsoldeerapparaat Easybond v. Pinbrazing (ALL)
Type: EasyBond 2
Geschikt voor alle soorten kleine installatie- en
onderhoudswerkzaamheden. Het apparaat is draagbaar en gemakkelijk te
vervoeren. Het soldeerproces wordt geregeld door middel van de
zekeringdraad op de soldeerpen. De capaciteit is tot 30 hardsoldeer met
het kleinste type soldeerpen en kan eenvoudig worden vergroot door een
batterijlader in een voertuig, waarbij de batterijen worden opgeladen t
ijdens transport tussen werkplekken. Wordt geleverd excl. accupack.
</t>
  </si>
  <si>
    <t xml:space="preserve">Aderisolatiesnijder IMS primair universeel (ALL)
Snijapparaat om de primaire Middenspanning PE isolatie,
van een ader te verwijderen t/m een diameter van 52mm.
AFMANTELINGSSET IMS II BINNENMANTEL UNI
Inhoud:
1x Koffer 275x220x65 128940
1x IMS 244641
1x TUBE 244702                                               1x
INBUSSLEUTEL 2,5mm 244643
</t>
  </si>
  <si>
    <t xml:space="preserve">Reservemes IMS tbv aderisolatiesnijder (ALL)
</t>
  </si>
  <si>
    <t>Sticker drukdaling gas
(1 pak=250stuks)</t>
  </si>
  <si>
    <t>Filter GLZ tbv stolpsonde(20034313) (ALL)
Filter tbv Stolp sonde SAP art 20034313,
met diameter 75 mm.</t>
  </si>
  <si>
    <t xml:space="preserve">Steekbats 00 schop 35mm dul (ALL)
Steekbats 00 schop 35mm dul (ALL)
</t>
  </si>
  <si>
    <t xml:space="preserve">Bitumenband AV-G4 100 mm, merk Denso, materiaal glasweefsel,
geïmpregneerd en omhuld met een bitumenmassa.
</t>
  </si>
  <si>
    <t xml:space="preserve">Bitumenband AV-G4 200 mm, merk Denso, materiaal glasweefsel,
geïmpregneerd en omhuld met een bitumenmassa.
</t>
  </si>
  <si>
    <t xml:space="preserve">Momentsleutel Drehmaster 40-200NM (ALL)
Type: DMSE 200 Momentsleutel Dremaster SE 20-400 N•m / 15-300 lbf•ft
Toepassing:  Gecontroleerd aandraaien van schroeven in het bereik van 20
- 400 N•m / 15 - 300 lbf•ft (richtwaarden schroeven M7-10,9 tot M20-6,9)
Verstelbare, hoor- en voelbaar uitschakelende en robuuste momentsleutel
met penopname voor industrie en ambacht  Uitvoering:  Geclassificeerd
volgens DIN EN ISO 6789:2003 type II klasse A, met een herleidbaar
fabriekscertificaat. Gekalibreerd op een toegestane afwijking van +/- 3
% en beter. De richtlijn van de norm (+/- 4%) wordt voor uw veiligheid
overtroffen.  Voor het gecontroleerd rechts- en linksom aandraaien
Robuuste, zijdemat verchroomde stalen-buisconstructie met verchroomde
rechthoek-opname (9 x 12 mm, resp. 14 x 18 mm) en hoogwaardige kunststof
delen. Ergonomisch gevormde 2-componenten-kunststofgreep met
kalibreerhulp Omschakeling tussen hoofdschaal N•m en secundaire schaal
lbf•ft voor vermijding van afleesfouten bij het instellen van het
gewenste draaimoment.  Met micrometerschaal voor N•m-hoofdschaal voor
het instellen van schaaltussenwaarden Ontkoppelsysteem zorgt voor een
voel- en hoorbaar ontgrendelsignaal Ergonomisch systeem voor
draaimomentverstelling met instructiesymbool Mogelijkheid voor
snelverstelling door haakse stiftsleutel, niet meegeleverd Beveiligd
verstel-afstellingssysteem Fabriekssteekmaat: 17,5 mm (9 x 12 mm) resp.
25 mm (14 x 18 mm)  Bediening alleen met insteekgereedschappen met
uniforme steekmaat - anders kunnen er waardeverschuivingen optreden.
Afhankelijk van gereedschapsgebruik kan zowel naar voren (bijv. opsteek-
steeksleutel) of zijdelings (bijv. omschakelbare ratel en dopsleutel)
worden gewerkt.  Aangemeld voor octrooi
</t>
  </si>
  <si>
    <t xml:space="preserve">Opsteeksleutel Gedore 7118 14x18mm 24mm tbv 20036312 tbv 20036312 (ALL)
Opsteeksleutel 24mm tbv Momentsleutel recht 40-200Nm (A349007)
</t>
  </si>
  <si>
    <t xml:space="preserve">Opsteeksleutel Gedore 001769126 14x18mm 30mm tbv 20036312 tbv 20036312
(ALL)
Opsteeksleutel 30mm tbv Momentsleutel recht 40-200Nm (A349007)
</t>
  </si>
  <si>
    <t xml:space="preserve">Vertinde platte litze 8mm2
Rol a 25 meter
</t>
  </si>
  <si>
    <t>Haspels a 50 m koperlitzedraad 16 mm2,
litzekous, blank/ geplet, 15,5 x 1,7 mm
Gewicht: ca. 16 kg/ 100m.</t>
  </si>
  <si>
    <t>Haspels a 50 m koperlitzedraad 25 mm2
Litzekous blank/ geplet. 18,5 x 2,4 mm.
Gewicht ca. 25 kg/100 m.</t>
  </si>
  <si>
    <t>Kaart "tot maandag!"
Verpakt per 50 stuks.</t>
  </si>
  <si>
    <t xml:space="preserve">Litze plat 35qmm vertind (rol a25mtr) (ALL)
Vertinde platte litze 35mm2
Rol a 25 meter
</t>
  </si>
  <si>
    <t>Poster "niet vergeten"
Verpakt per 50 stuks.</t>
  </si>
  <si>
    <t>Kaart "tot morgen!"
Verpakt per 50 stuks.</t>
  </si>
  <si>
    <t>Handout monteurs "de slimme meter"(50st)
Verpakt per 50 stuks.</t>
  </si>
  <si>
    <t xml:space="preserve">Schuifafsluiter,
materiaal: Nodulair gietijzer (GGG50),
uitwendig voorzien van Polyurethaan coating,
PE100 lasuiteinden SDR11,
drukklasse PN10,
Schuif: NBR gevulkaniseerd,
Aansluiting 75 mm
Lengte: 900 mm ;
hoogte: 271 mm ;
spindelmaat:17 mm;
spieeind lengte L1 mm.: 250 mm.
DVGW-keur
14 omwentelingen open / dicht.
</t>
  </si>
  <si>
    <t>Handleiding aflezen energiestanden meter:
sticker meterkaart A1211 (pak = 50st).</t>
  </si>
  <si>
    <t>Handleiding aflezen energiestanden meter:
sticker meterkaart B0112 (pak = 50st).</t>
  </si>
  <si>
    <t>Handleiding aflezen energiestanden meter:
sticker meterkaart C0212 (pak = 50st).</t>
  </si>
  <si>
    <t xml:space="preserve"> Verpakkingstape met opschrift Liander Logistiek.
Formaat: 50 mm. x 66 meter
Kwaliteit: wit PVC
Bedrukking: zwart, pms 313, pms 2425
</t>
  </si>
  <si>
    <t xml:space="preserve">Kentekenbord, achtergrond geel, afmeting 105 x 57 mm, 2 regels voor 12
posities om letterblokjes aan te brengen, letterblokjes met de afmeting
15 x 7mm.
</t>
  </si>
  <si>
    <t>Geisoleerde schroefverbinder, groen,
ISI-CONNECTA 25-150SM/50-185SE.
Fabrikant: Pfisterer.
Type:      Isiconnecta 3332710001.</t>
  </si>
  <si>
    <t>Temperatuurmeter Fluke 62 -30 - +500°C infrarood pistoolmod.
Type: Temperatuurmeter Fluke 62 Contactloos voor de professional Meest
nauwkeurige thermometer in zijn klasse die een snelle en betrouwbare
temperatuurmeting biedt van oppervlakken. Met dit compacte en draagbare
gereedschap kunnen professionals verwarmings- en ventilatieproblemen
vaststellen en de temperatuur van elektrische motoren en elektrische
panelen contactloos bewaken.
Groot temperatuurbereik: -30 tot 500 graden.
Eénpunts-offsetlaserzichtsysteem.
De nauwkeurigste in zijn klasse: + 1% van meetwaarde.
Houdt temperatuuraflezingen 7 seconden vast.
Display met dubbele uitlezing van actuele en Max waarde.
Display met achtergrondverlichting voor gebruik in schaars verlichte
omgevingen.
Comfortabele ergonomische hendel met beschermende rubbermanchet voor een
langere levensduur.
Compleet uitgerust draagkoffertje.</t>
  </si>
  <si>
    <t xml:space="preserve">Gasgebrekklep  haaks. Type WMG6i-Haaks -Inlaat Aansluiting 3/4" MK. Met
verlijmde nippel t.b.v. meterkoppelingen draad -Uitlaat aansluiting 3/4
" MK wartelmoer. Blauwe dop.
</t>
  </si>
  <si>
    <t xml:space="preserve">Verlopende dubbele nippel;
materiaal: messing;
aansluiting 1: rechte kraankoppeling buitendraad 1", volgens NEN-En –Iso
228-1.
aansluiting 2: conisch afdichtende buitendraad,  R 3/4", volgens NEN
3258.
Vormt met  artikel 20028676 samen een 3 delige koppeling.
</t>
  </si>
  <si>
    <t xml:space="preserve">Universalix sorteerkoffer FP letterplaatjes
aanwijsborden alu #ALL# nieuw
De sorteerkoffer is licht, vervaardigd uit hoogwaardig Aluminium, heeft
uitschuifbare laden, is stabiel, heeft hoekbescherming en is eenvoudig
te dragen.
</t>
  </si>
  <si>
    <t>Schuifafsluiter,
materiaal: Nodulair gietijzer (GGG50),
uitwendig voorzien van Polyurethaan coating,
PE100 lasuiteinden SDR11,
drukklasse PN10,
Schuif: NBR gevulkaniseerd,
Aansluiting 315 mm (DN 300)
Lengte: 1350;
hoogte: 740;
spindelmaat: 27.</t>
  </si>
  <si>
    <t xml:space="preserve">Drukspuit Gloria 89 1L
Gloria drukspuit 1 liter Type: 89  Een professionele oliebestendige
drukspuit, wendbare messing sproeikop, precisiepomp, stevige stand door
voetring, max. werkdruk 3 bar.
</t>
  </si>
  <si>
    <t xml:space="preserve">Brandblusser MP-2 ABC 2 kg poeder
Type: M-P2
De poederblusser is geschikt voor de brandklassen A,B en C.
Dat houdt in dat de poederblusser inzetbaar is voor vaste, vloeibare en
gas branden.
De M-P2 is voorzien van een overdruk ventiel, slagvaste manometer, ketel
aan binnenkant voorzien van een coating voor een hoge bescherming tegen
corrosie. En ten slotte heeft de M-P2 ook een stevige beugel die
geschikt is voor transport.
Materiaal: Staal.
Brandklasse: A B C.
Hoogte: 380 mm.
Breedte: 110 mm.
Capaciteit: 2 kg.
Volledig gewicht: 3.8 kg.
Spuitduur: 10 sec.
</t>
  </si>
  <si>
    <t xml:space="preserve">Krimptang Greenlee RJ-11/12/45 modulair
tbv connectoren (ALL)
Telefoontang Geïntegreerde snijder en draad stripper voor telefoon en
data kabel Voor modulaire RJ10, RJ11, RJ12 en RJ45 connectoren
Eigenschappen Het ratelmechanisme zorgt voor constante druk bij iedere
werking De vergrendeling zorgt voor een constante beëindiging per
werking Rechte toegang zorgt voor een gelijkmatige krimp Ergonomische
handgrepen voor het bedieningscomfort.
</t>
  </si>
  <si>
    <t xml:space="preserve">Mespatroon 361A DIN 3
met middenmelder,
karakteristiek gTr,
type LNH30361M4T
voor trafo 250 kVA
</t>
  </si>
  <si>
    <t xml:space="preserve">Mespatroon 577A DIN 3
met middenmelder,
karakteristiek gTr,
type LNH30577M4T
voor trafo 400 kVA
</t>
  </si>
  <si>
    <t xml:space="preserve">Mespatroon 909A DIN 3
met middenmelder,
karakteristiek gTr,
type LNH30910M4T
voor trafo 630 kVA
</t>
  </si>
  <si>
    <t>Draadflens, materiaal: staalsoort P250GH zijn volgens NEN EN 10027-1,
nominale druk PN16 bar, nominale diameter DN80,  uitwendige diameter
200x 20mm, boutgaten 8x18mm. Draadgat: RP2" volgens de NEN EN 10226.</t>
  </si>
  <si>
    <t>Draadflens, materiaal: staalsoort P250GH zijn volgens NEN EN 10027-1,
nominale druk PN16 bar, nominale diameter DN 100, uitwendige diameter
220x 20mm, boutgaten 8x18mm. Draadgat: RP2" volgens de NEN EN 10226.</t>
  </si>
  <si>
    <t>T-stuk volgens DIN2615;
Materiaal St.35.8 klasse 1 volgens DIN 17175;
Aansluiting doorgang inwendig 88.9 x aftakking uitwendig 88.9;
Wanddikte3.2mm;
Geen QA-keur.</t>
  </si>
  <si>
    <t>T-stuk volgens DIN2615;
Materiaal St.35.8 klasse 1 volgens DIN 17175;
Aansluiting doorgang inwendig 114.3 x aftakking uitwendig 114.3;
Wanddikte 3.6mm;
Geen QA-keur.</t>
  </si>
  <si>
    <t>T-stuk volgens DIN2615;
Materiaal St.35.8 klasse 1 volgens DIN 17175;
Aansluiting doorgang inwendig 168.3 x aftakking uitwendig 168.3;
Wanddikte 4.5mm;
Geen QA-keur.</t>
  </si>
  <si>
    <t>T-stuk volgens DIN2615;
Materiaal St.35.8 klasse 1 volgens DIN 17175;
Aansluiting doorgang inwendig 219.1 x aftakking uitwendig 219.1;
Wanddikte 6.3mm;
Geen QA-keur.</t>
  </si>
  <si>
    <t>T-stuk volgens DIN2615;
Materiaal St.35.8 klasse 1 volgens DIN 17175;
Aansluiting doorgang inwendig 273.0 x aftakking uitwendig 273.0;
Wanddikte 6.3mm;
Geen QA-keur.</t>
  </si>
  <si>
    <t>T-stuk volgens DIN2615;
Materiaal St.35.8 klasse 1 volgens DIN 17175;
Aansluiting doorgang inwendig 323.9 x aftakking uitwendig 323.9;
Wanddikte 7.1mm;
Geen QA-keur.</t>
  </si>
  <si>
    <t>T-stuk volgens DIN2615;
Materiaal St.35.8 klasse 1 volgens DIN 17175;
Aansluiting doorgang inwendig 406.4 x aftakking uitwendig 406.4;
Wanddikte 8.8mm;
Geen QA-keur.</t>
  </si>
  <si>
    <t>Verf Rust-Oleum 2193 500ml wit RAL9010 zijdeglans
Type: 2193 Gebaseerd op een sneldrogende magere sojaolie alkydhars.
Eén HARD HAT® spuitbus is gelijk aan 2 of meer standaard spuitbussen dus
meer vierkante meters: 3-4 m2.
Een dikkere verflaag zonder zakkers. In één spuitgang, een kruisgang
volstaat over het algemeen.
Sneller droog: 10-15 minuten.
Hoge kwaliteit pigmenten zorgen voor een langer glans en kleurbehoud.
De licht-elastische verflaag voorkomt voortijdig barsten, scheuren en
afbladderen.
Inhoud: Spuitbus 500ml.
Kleur: Wit zijdeglans (RAL 9010).</t>
  </si>
  <si>
    <t xml:space="preserve">Etiket
afmetingen: 12 x 7 cm.
Opdruk Liander-logo.
Verpakt per 25 stuks (geseald of sluitzak).
(van kunststof, olievast &lt;(&gt;&amp;&lt;)&gt; lichtbestendig)
</t>
  </si>
  <si>
    <t>Etiket
afmetingen: 12 x 7 cm.
Opdruk Liander-logo.
Verpakt per 25 stuks (geseald of sluitzak).
(van kunststof, olievast &lt;(&gt;&amp;&lt;)&gt; lichtbestendig)</t>
  </si>
  <si>
    <t>Letterblokje, zwarte opdruk "C", achtergrond geel, afmetingen: 15 x 7
mm.</t>
  </si>
  <si>
    <t>Letterblokje, zwarte opdruk "C", achtergrond geel, afmetingen: 26 x 16
mm. Conform NEN 1184.</t>
  </si>
  <si>
    <t xml:space="preserve">Gasmeterkoppeling: Materiaal: messing. Uitvoering:S-koppeling/
zwanehals.  Aansluitingen: 1: Gasmeterwartelmoer GM 3/4" 2: buitendraad
GM 3/4" Hoogte: 58 mm. Met NBR-pakking.
</t>
  </si>
  <si>
    <t xml:space="preserve">Aanboorzadel toepasbaar als aftakzadel of blaasgatzadel 50mmx1 ½"
Polsafe materiaal: PVC/SV. Gastec QA-merk.
</t>
  </si>
  <si>
    <t xml:space="preserve">Reservemes Jokari 19000-3 set a 3st. Jokari
Materiaal niet roestvrij/carbon staal. Lengte 11,5 cm, gewicht 2 gram,
geschikt voor kabeldiameter 4,8 - 7,5mm.
</t>
  </si>
  <si>
    <t>VIAG formulier G07/12 - Beproeving gasleiding/-installatie.
Rapport ten behoeve van het beproeven op dichtheid van
binneninstallaties bij meteropstellingen ≤ G25, en op sterkte dichtheid
van LD-aansluitleidingen".
Pak à 50 sets: VIAG G07/12: 2 formulieren per set.
Afgewerkt formaat: A4
Bedrukking vel 1: eenzijdig zwart + PMS 376
Bedrukking vel 2 doordruk eenzijdig zwart, wisselende tekstjes onderaan
pagina’s
Papiersoort: Idem, alle vellen wit
Afwerking: kopgelijmd, verlengd doorlopend onderbord
Invulinstructie op achterzijde van voorblad.
1 pak = 1 blok van 50 x 2 formulieren.</t>
  </si>
  <si>
    <t>Kogelkraan, kogelafsluiter recht voor gas met vleugelknopbediening;
materiaal: messing; werkdruk MOP 0.2;
aansluiting: cilindrisch afdichtend binnendraad Rp3/4" x
wartelbuitendraad G1".
1"ISO 228/1
Doorlaat: 16mm/DN20.
Keur:QA. H2 ready</t>
  </si>
  <si>
    <t xml:space="preserve">Jumo
608550/1080-643-00-0-874-8-106-26-46-150-21/430,477,522
</t>
  </si>
  <si>
    <t xml:space="preserve">KB meetpaal kunststof diam 110 mm lengte 2000 mm, kleur geel, merk
Kettner, type 1K, materiaal PVC met PMMA coating, isolatiedikte 6 mm, 1
afdichtkap, zeskantslot, reflecterende folie, inclusief aansluitklem,
driepoot als verankering.
</t>
  </si>
  <si>
    <t xml:space="preserve">Onderplaat v meetpaal Kunststof, merk kettner,materiaal PVC-PMMA.
</t>
  </si>
  <si>
    <t xml:space="preserve">Metaalschroef DIN7985H M6x30 4.8 elvz CK PH  a200st (ALL)
Metaalschroef DIN7985H Afmeting: M6x30 Klasse: 4.8 Opp. Bescherming:
elvz Uitvoering: CilinderKop Aansluiting: PH  Verpakkingseenheid: doos
a200st
</t>
  </si>
  <si>
    <t xml:space="preserve">Metaalschroef DIN7985H M6x40 4.8 elvz CK PH  a200st (ALL)
Metaalschroef DIN7985H Afmeting: M6x40 Klasse: 4.8 Opp. Bescherming:
elvz Uitvoering: CilinderKop Aansluiting: PH  Verpakkingseenheid: doos
a200st
</t>
  </si>
  <si>
    <t xml:space="preserve">Metaalschroef DIN7985H M8x20 4.8 elvz CK PH  a200st (ALL)
Metaalschroef DIN7985H Afmeting: M8x20 Klasse: 4.8 Opp. Bescherming:
elvz Uitvoering: CilinderKop Aansluiting: PH  Verpakkingseenheid: doos
a200st
</t>
  </si>
  <si>
    <t xml:space="preserve">Metaalschroef DIN7985H M8x25 elvz CK PH a200st (ALL)
Metaalschroef DIN7985H Afmeting: M8x25 Klasse: 4.8 Opp. Bescherming:
elvz Uitvoering: CilinderKop Aansluiting: PH  Verpakkingseenheid: doos
a200st
</t>
  </si>
  <si>
    <t xml:space="preserve">-PeCu prefab gasdienstleiding met  PE 32 SDR17,6 mantelbuis -Zachtkoper
Cu 22mmx1,1mm. Lengte 2,50 meter. -Aansluiting op PE32 mm SDR 17,6.
Pipelife overgangskoppeling PE-koper -Leiding zonder steunbus enkel
geschikt voor persfitting Met QA-keur. Toepassingsgebied klasse 0 tot 2.
Fabrikaat: OCI
Of
PeKo dienstleiding PE 32 SDR17,6 mantelbuis met Cu 22x1.1mm. Lengte 2,50
meter. Geschikt voor aansluiting op dienstleiding PE32 mm. SDR17,6.
Buigzame PEKO met aangelaste trekvaste multifunctionele koppeling
voorzien van SDR17,6 steunbusset, afgeschermd met rode dop Keur: QA
Fabricaat: HSF Toepassingsgebied klasse 0 tot 0A
</t>
  </si>
  <si>
    <t xml:space="preserve">PeCu prefab gasdienstleiding met  PE 32 SDR17,6 mantelbuis -Zachtkoper
Cu 22mmx1,1mm. Lengte 3,75 meter. -Aansluiting op PE32 mm SDR 17,6.
Pipelife overgangskoppeling PE-koper -Leiding zonder steunbus enkel
geschikt voor persfitting Met QA-keur. Toepassingsgebied klasse 0 tot 2
E13
Fabricaat: OCI
of
PeKo dienstleiding PE 32 SDR17,6 mantelbuis met Cu 22x1.1mm. Lengte
23,75 meter. Geschikt voor aansluiting op dienstleiding PE32 mm.
SDR17,6. Buigzame PEKO met aangelaste trekvaste multifunctionele
koppeling voorzien van SDR17,6 steunbusset, afgeschermd met rode dop
Keur: QA Fabricaat: HSF Toepassingsgebied klasse 0 tot 2
</t>
  </si>
  <si>
    <t xml:space="preserve">PeCu prefab gasdienstleiding met  PE 32 SDR17,6 mantelbuis -Zachtkoper
Cu 22mmx1,1mm. Lengte 5,00 meter. -Aansluiting op PE32 mm SDR 17,6.
Pipelife overgangskoppeling PE-koper -Leiding zonder steunbus enkel
geschikt voor persfitting Met QA-keur. Toepassingsgebied klasse 0 tot 2
Fabricaat OCI
of
PeKo dienstleiding PE 32 SDR17,6 mantelbuis met Cu 22x1.1mm. Lengte 5,00
meter. Geschikt voor aansluiting op dienstleiding PE32 mm. SDR17,6.
Buigzame PEKO met aangelaste trekvaste multifunctionele koppeling
voorzien van SDR17,6 steunbusset, afgeschermd met rode dop Keur: QA
Fabricaat: HSF Toepassingsgebied klasse 0 tot 2
</t>
  </si>
  <si>
    <t xml:space="preserve">-PeCu prefab gasdienstleiding met  PE 32 SDR17,6 mantelbuis -Zachtkoper
Cu 22mmx1,1mm. Lengte 6,25 meter. -Aansluiting op PE32 mm SDR 17,6.
Pipelife overgangskoppeling PE-koper -Leiding zonder steunbus enkel
geschikt voor persfitting Met QA-keur. Toepassingsgebied klasse 0 tot 2
Fabricaat: OCI
of
PeKo dienstleiding PE 32 SDR17,6 mantelbuis met Cu 22x1.1mm. Lengte 6,25
meter. Geschikt voor aansluiting op dienstleiding PE32 mm. SDR17,6.
Buigzame PEKO met aangelaste trekvaste multifunctionele koppeling
voorzien van SDR17,6 steunbusset, afgeschermd met rode dop Keur: F16QA
Fabricaat: HSF Toepassingsgebied klasse 0 tot 2.
</t>
  </si>
  <si>
    <t xml:space="preserve">PeCu prefab gasdienstleiding met  PE 32 SDR17,6 mantelbuis -Zachtkoper
Cu 22mmx1,1mm. Lengte 7,50 meter. -Aansluiting op PE32 mm SDR 17,6.
Pipelife overgangskoppeling PE-koper -Leiding zonder steunbus enkel
geschikt voor persfitting Met QA-keur. Toepassingsgebied klasse 0..
Fabricaat: OCI
Of
PeKo dienstleiding PE 32 SDR17,6 mantelbuis met Cu 22x1.1mm. Lengte 7,50
meter. Geschikt voor aansluiting op dienstleiding PE32 mm. SDR17,6.
Buigzame PEKO met aangelaste trekvaste multifunctionele koppeling
voorzien van SDR17,6 steunbusset, afgeschermd met rode dop Keur: QA
Fabricaat: HSF. Toepassingsgebied klasse 0 tot 2.
</t>
  </si>
  <si>
    <t xml:space="preserve">PeCu prefab gasdienstleiding met  PE 32 SDR17,6 mantelbuis -Zachtkoper
Cu 22mmx1,1mm. Lengte 8,25 meter. -Aansluiting op PE32 mm SDR 17,6.
Pipelife overgangskoppeling PE-koper -Leiding zonder steunbus enkel
geschikt voor persfitting Met QA-keur. Toepassingsgebied klasse 0 tot 2.
Fabricaat: OCI
Of
PeKo dienstleiding PE 32 SDR17,6 mantelbuis met Cu 22x1.1mm. Lengte 8,25
meter. Geschikt voor aansluiting op dienstleiding PE32 mm. SDR17,6.
Buigzame PEKO met aangelaste trekvaste multifunctionele koppeling
voorzien van SDR17,6 steunbusset, afgeschermd met rode dop Keur: QA
Fabricaat: HSF Toepassingsgebied klasse 0 tot 2.E19
</t>
  </si>
  <si>
    <t xml:space="preserve">PeCu prefab gasdienstleiding met  PE 32 SDR17,6 mantelbuis -Zachtkoper
Cu 22mmx1,1mm. Lengte 10,00 meter. -Aansluiting op PE32 mm SDR 17,6.
Pipelife overgangskoppeling PE-koper -Leiding zonder steunbus enkel
geschikt voor persfitting Met QA-keur. Toepassingsgebied klasse 0 tot 2
Fabricaat: OCI
of
PeKo dienstleiding PE 32 SDR17,6 mantelbuis met Cu 22x1.1mm. Lengte
10,00 meter. Geschikt voor aansluiting op dienstleiding PE32 mm.
SDR17,6. Buigzame PEKO met aangelaste trekvaste multifunctionele
koppeling voorzien van SDR17,6 steunbusset, afgeschermd met rode dop
Keur: QA Fabricaat: HSF Toepassingsgebied klasse 0 tot 2.
</t>
  </si>
  <si>
    <t xml:space="preserve">Batterij Energizer R6 AA Penlite NiMH 2500mAh oplaadbaar blister a 4st
Verschil zit echter wel in de capaciteit, maar ik heb de garantie
gekregen dat deze batterijen  zelfs beter zouden moeten zijn!
Zie onderstaande opmerking van de leverancier:
vanuit de fabrikant heb ik nog een toelichting op het verschil tussen de
aangeboden 2500mAh en de door jou aangevraagde 2700mAh capaciteit,
in de praktijk zit hierin geen verschil qua opbrengst, maar kennen de
aangeboden Energizer oplaadbare batterijen een laadcyclus 1000 cycli.
Dit is parade paardje van Energizer oplaadbare serie. Kwaliteit is top!
2500 is ook daadwerkelijk 2500.
Aanduidingen in het verleden van 2700, 2750 en meer, waren niet juist cq
waren ver bezijden de waarheid.
Deze zog. hoog capaciteit accu’s hadden/hebben ook nog de vervelende
eigenschap dat ze slechts een beperkt aantal cycli meegaan/meegingen; in
sommige gevallen maar enkele tientallen cycli.
M.a.w. hoe hoger de capaciteit hoe kleiner het aantal (laad-) cycli.
</t>
  </si>
  <si>
    <t xml:space="preserve">Automaatbekers Cup2Paper 7oz 210ml wit Karton(recycle) a1000st
De oplossing: cup2paper. Lekker én duurzaam koffie drinken!
De 10 USP’s van cup2paper
• Lekkere koffie: uitgebreid getest op geur en smaak!
• Gegarandeerd de laagste milieu-impact (LCA)
• 100% recycling van papier
• Minder bekers nodig door stimulering hergebruik
• 100% FSC- of PEFC-papier
• Geen aparte afvalinzameling nodig
• 100% CO2-neutraal
• Besparing op restafval
• 100% gebruik van gecertificeerd niet gemodificeerd mais
• Duurzame uitstraling naar klanten én eigen medewerkers.
</t>
  </si>
  <si>
    <t>Automaatbekerinzamelbox Cup2Paper</t>
  </si>
  <si>
    <t>Trafo-aansluitvlag, recht, voor 630 kVA.
L=230, B=60, dkt=10 mm. Gaten 14 mm.
Het gat van 6 mm moet zijn voorzien van M6 schroefdraad.
Set van 4 strips volgens bijgaande tekening.
1 set = 4 strips.
GE (O&lt;(&gt;&amp;&lt;)&gt;K), nr 30-3137.</t>
  </si>
  <si>
    <t xml:space="preserve">Sluitring DIN125A M6 6,4x12x1,6 elvz a100st (ALL)
Sluitring DIN125A  Afmeting: M6 6,4x12x1,6  Opp. Bescherming: elvz
Verpakkingseenheid: doos a100st.
</t>
  </si>
  <si>
    <t xml:space="preserve">Sluitring DIN125A M8 8,4x16x1,6 elvz a100st (ALL)
Sluitring DIN125A  Afmeting: M8 8,4x16x1,6  Opp. Bescherming: elvz
Verpakkingseenheid: doos a100st
</t>
  </si>
  <si>
    <t xml:space="preserve">Sluitring DIN125A M10 10,5x20x2 elvz a100st (ALL)
Sluitring DIN125A  Afmeting: M10 10,5x20x2  Opp. Bescherming: elvz
Verpakkingseenheid: doos a100st
</t>
  </si>
  <si>
    <t xml:space="preserve">Keilbouthuls met ankerstang M10x60x30 elvz a25st (ALL) Keilbout
Klasse: 8.8
Afmeting: M10x60x30
Opp. Bescherming: elvz
Verpakkingseenheid: doos a25st
</t>
  </si>
  <si>
    <t>Zeskanttapbout DIN933 M10x16 8.8 thvz ISO ds a200st
Zeskantbout voorzien van metrische schroefdraad. ISO passend.
Afmeting: M10 x 16 mm.
Norm: DIN933.
Materiaal: staal thermisch verzinkt.
Verpakkingseenheid: doos à 200 stuks.</t>
  </si>
  <si>
    <t xml:space="preserve">Zeskanttapbout DIN933 M10x20 thvz ISO ds a100st (ALL)
Type: Zeskanttapbout DIN933  ISO  Afmeting: M10x25 Klasse:  8.8  Opp.
Bescherming: thvz Verpakkingseenheid: doos a100st
</t>
  </si>
  <si>
    <t>Zeskanttapbout DIN933 M10x25 thvz ISO ds a200st (ALL)
Type: Zeskanttapbout DIN933  ISO  Afmeting: M10x25 Klasse:  8.8  Opp.
Bescherming: thvz Verpakkingseenheid: doos a200st</t>
  </si>
  <si>
    <t xml:space="preserve">PeCu prefab gasdienstleiding met  PE 32 SDR17,6 mantelbuis -Zachtkoper
Cu 22mmx1,1mm. Lengte 12,50 meter. -Aansluiting op PE32 mm SDR 17,6.
Pipelife overgangskoppeling PE-koper -Leiding zonder steunbus enkel
geschikt voor persfitting Met QA-keur. Toepassingsgebied klasse 0 tot 2.
Fabricaat: OCI
Of
PeKo dienstleiding PE 32 SDR17,6 mantelbuis met Cu 22x1.1mm. Lengte
12,50 meter. Geschikt voor aansluiting op dienstleiding PE32 mm.
SDR17,6. Buigzame PEKO met aangelaste trekvaste multifunctionele
koppeling voorzien van SDR17,6 steunbusset, afgeschermd met rode dop
Keur: QA Fabricaat: HSFToepassingsgebied klasse 0 tot 2.
</t>
  </si>
  <si>
    <t xml:space="preserve">-PeCu prefab gasdienstleiding met  PE 32 SDR17,6 mantelbuis -Zachtkoper
Cu 22mmx1,1mm. Lengte 1,20 meter. -Aansluiting op PE32 mm SDR 17,6.
Pipelife overgangskoppeling PE-koper -Leiding zonder steunbus enkel
geschikt voor persfitting Met QA-keur. Toepassingsgebied klasse 0 tot 2.
Fabricaat: OCI
Of
PeKo dienstleiding PE 32 SDR17,6 mantelbuis met Cu 22x1.1mm. Lengte 1,20
meter. Geschikt voor aansluiting op dienstleiding PE32 mm. SDR17,6.
Buigzame PEKO met aangelaste trekvaste multifunctionele koppeling
voorzien van SDR17,6 steunbusset, afgeschermd met rode dop Keur: QA
Fabricaat: HSF
</t>
  </si>
  <si>
    <t xml:space="preserve">Carrosseriering M8 8,4x30x1 elvz a100st (ALL)
Carrosseriering Afmeting: M8 8,4x30x1 Opp. Bescherming: elvz
Verpakkingseenheid: doos a100st
</t>
  </si>
  <si>
    <t>Schuifmoer Flamco S M8 elvz a50st
Flam schuifmoer M8S ZK 50
Oppervlaktebescherming: Elektrolytisch
verzinkt Uitvoeringsvorm: Zonder veer
Rechtse draad: Ja</t>
  </si>
  <si>
    <t xml:space="preserve">Schuifmoer Flamco S M10 ELVZ a50st
Schuifmoer Flamco S M10 ELVZ a50st
</t>
  </si>
  <si>
    <t xml:space="preserve">Veerring met vlakke einden,
Materiaalsoort: staal,
Afmeting: M6,
Diameter ring: 11,8,
Diameter gat: 6,1 mm,
Oppervlaktebehandeling: elektrolytisch  verzinkt,
DIN 127B, NEN 1197B
Doos a 100 stuks
Lasaulec:
Veerring platst. DIN127B M6 6,1x11,8x1,6 elvz a100st(ALL)
Veerring  DIN127B Afmeting: M6 6,1x11,8x1,6 Opp. Bescherming: elvz
Verpakkingseenheid: doos a100st
</t>
  </si>
  <si>
    <t xml:space="preserve">Veerring met vlakke einden,
Materiaalsoort: staal,
Afmeting: M8,
Diameter ring: 14,8,
Diameter gat: 8,1 mm,
Oppervlaktebehandeling: elektrolytisch  verzinkt,
DIN 127B, NEN 1197B
Doos a 100 stuks
Lasaulec:
Veerring platst. DIN127B M8 8,1x14,8x2 elvz a100st (ALL)
Veerring  DIN127B Afmeting: M8 8,1x14,8x2 Opp. Bescherming: elvz
Verpakkingseenheid: doos a100st
</t>
  </si>
  <si>
    <t xml:space="preserve">Veerring platst. DIN127B M10 10,2x18,1x2,2 elvz a100(ALL)
Veerring  DIN127B Afmeting: M10 10,2x18,1x2,2 Opp. Bescherming: elvz
Verpakkingseenheid: doos a100st
</t>
  </si>
  <si>
    <t xml:space="preserve">Keilbout St8.8 M8x50x45
Keilbout
Klasse: 8.8
Afmeting: M8x50x45
Opp. Bescherming: elvz
Verpakkingseenheid: doos a25st
</t>
  </si>
  <si>
    <t xml:space="preserve">Sluitring DIN125A M5 5,3x10x1 elvz a100st (ALL)
Sluitring DIN125A Afmeting: M5 5,3x10x1  Opp. Bescherming: elvz
Verpakkingseenheid: doos a100st
</t>
  </si>
  <si>
    <t xml:space="preserve">Veerring platst. DIN127B M5 5,1x9,2x1,2 elvz a100st (ALL)
Veerring  DIN127B Afmeting: M5 5,1x9,2x1,2 Opp. Bescherming: elvz
Verpakkingseenheid: doos a100st
</t>
  </si>
  <si>
    <t xml:space="preserve">Blindklinkmoer MFX 2O-CO M6 0,5-3,0 al a 250st
Vervangen door: MFX 20-CO
</t>
  </si>
  <si>
    <t>Glijmoer Erico UM608 M8 verzinkt vpe=100st.</t>
  </si>
  <si>
    <t xml:space="preserve">Metaalschroef DIN7985H M5x30 4.8 elvz CK PH  a200st (ALL)
Metaalschroef DIN7985H Afmeting: M5x30 Klasse: 4.8 Opp. Bescherming:
elvz Uitvoering: CilinderKop Aansluiting: PH  Verpakkingseenheid: doos
a200st.
</t>
  </si>
  <si>
    <t xml:space="preserve">Metaalschroef DIN7985H M5x40 4.8 elvz CK PH  a200st (ALL)
Metaalschroef DIN7985H Afmeting: M5x40 Klasse: 4.8 Opp. Bescherming:
elvz Uitvoering: CilinderKop Aansluiting: PH  Verpakkingseenheid: doos
a200st
</t>
  </si>
  <si>
    <t xml:space="preserve">Metaalschroef DIN7985H M6x20 4.8 elvz CK PH  a200st (ALL)
Metaalschroef DIN7985H Afmeting: M6x20 Klasse: 4.8 Opp. Bescherming:
elvz Uitvoering: CilinderKop Aansluiting: PH  Verpakkingseenheid: doos
a200st
</t>
  </si>
  <si>
    <t xml:space="preserve">Metaalschroef DIN7985H M6x25 4.8 elvz CK PH  a200st (ALL)
Metaalschroef DIN7985H Afmeting: M6x25 Klasse: 4.8 Opp. Bescherming:
elvz Uitvoering: CilinderKop Aansluiting: PH  Verpakkingseenheid: doos
a200st
</t>
  </si>
  <si>
    <t xml:space="preserve">Metaalschroef DIN7985H M8x40 elvz CK PH a200st (ALL)
Metaalschroef DIN7985H Afmeting: M8x40 Klasse: 4.8 Opp. Bescherming:
elvz Uitvoering: CilinderKop Aansluiting: PH  Verpakkingseenheid: doos
a200st
</t>
  </si>
  <si>
    <t xml:space="preserve">Spiritus 1 liter
Spiritus, is een alcohol die gebruikt wordt als schoonmaakmiddel en
brandstof.
</t>
  </si>
  <si>
    <t xml:space="preserve">Muurplug Wako M6x24 messing a250st (ALL)
Muurplug Wako Afmeting:  M6x24
Opp. Bescherming: messing
Verpakkingseenheid: doos a250st
</t>
  </si>
  <si>
    <t xml:space="preserve">Zeskanttapbout M6x16 8.8 thvz a500st (ALL)
Tapbout zeskant Klasse: 8.8  Afmeting: M6x16  Opp. Bescherming: THVZ
Verpakkingseenheid: doos a500st
</t>
  </si>
  <si>
    <t>Zeskanttapbout M6x20 8.8 thvz a500st (ALL)
Tapbout zeskant Klasse: 8.8  Afmeting: M6x20 Opp. Bescherming: THVZ
Verpakkingseenheid: doos a500st</t>
  </si>
  <si>
    <t>Zeskanttapbout M6x25 8.8 thvz a500st (ALL)
Tapbout zeskant Klasse: 8.8  Afmeting: M6x25 Opp. Bescherming: THVZ
Verpakkingseenheid: doos a500st.</t>
  </si>
  <si>
    <t>Zeskanttapbout M6x30 8.8 thvz a500st (ALL)
Tapbout zeskant Klasse: 8.8  Afmeting: M6x30 Opp. Bescherming: THVZ
Verpakkingseenheid: doos a500st.</t>
  </si>
  <si>
    <t xml:space="preserve">Vuursteentjes met schroefdraad 10 st.
Voor komgasaansteker. Verpakt per 10 stuks.
</t>
  </si>
  <si>
    <t>Dopsleutel Magna 2171181 1/4"-7x42mm 6-kant aansluiting magnetisch
Om schroeven en bouten met zeskante kop machinaal aan te draaien.
Magnetisch.Opname 1/4" buitenzeskant. Zwart gefosfateerd.</t>
  </si>
  <si>
    <t>Klepzitting tbv Fiorentini Reval 182 DN50.
Dit betreft een setje bestaande uit:
2 x Art. 7121252
1 x Art. 2620390 Klepzitting 2" Reval O-ring 82,15 x 3,55.</t>
  </si>
  <si>
    <t xml:space="preserve">Wega 1.2 voor SVS last en vermogenschak.
Spanningsindicator voor last en vermogen schakelaar van SVS 10-24 kV
toepasbaar in combinatie met ombouwset.
</t>
  </si>
  <si>
    <t xml:space="preserve">Batterij Varta ENERGY ALKALINE D/LR20 a2st
</t>
  </si>
  <si>
    <t xml:space="preserve">Knie elektrolas PE100 SDR11, 32 mm, 10 bar, inclusief 2 steunbussen 32
mm SDR 17,6.
</t>
  </si>
  <si>
    <t xml:space="preserve">Knie elektrolas PE100 SDR11, 40 mm, 10 bar gas, inclusief 2 steunbussen
40 mm SDR 17,6.
</t>
  </si>
  <si>
    <t xml:space="preserve">Knie elektrolas PE100 SDR11, 32 mm, 90 graden, 10 bar gas, inclusief 2
steunbussen 32 mm SDR 17,6.
</t>
  </si>
  <si>
    <t xml:space="preserve">Mof verloop elektrolas PE100 SDR11, 32 x 25 mm, 10 bar gas, inclusief
steunbus 32 mm en 25 mm SDR 17,6.
</t>
  </si>
  <si>
    <t xml:space="preserve">Mof verloop elektrolas PE100 SDR11,  40 x 32 mm, 10 bar gas, inclusief
steunbus 40 mm en 32 mm SDR 17,6.
</t>
  </si>
  <si>
    <t xml:space="preserve">Mof verloop elektrolas PE100 SDR11, 50 x 40 mm, 10 bar gas, inclusief
steunbus 40 mm SDR 17,6.
</t>
  </si>
  <si>
    <t xml:space="preserve">Mof verloop elektrolas PE100 SDR11, 63 x 32 mm, 10 bar gas, inclusief
steunbus 32 mm SDR 17,6.
</t>
  </si>
  <si>
    <t xml:space="preserve">Mof verloop elektrolas PE100 SDR11, 63 x 40 mm, 10 bar gas, inclusief
steunbus 40 mm SDR 17,6.
</t>
  </si>
  <si>
    <t>PeCu prefab gasdienstleiding met  PE 40 mantelbuis -Zachtkoper Cu
35mmx1,5mm. Lengte 1,20 meter. -Aansluiting op PE40 mm SDR 17,6.
Pipelife overgangskoppeling PE-koper -Leiding zonder steunbus enkel
geschikt voor persfitting Met QA-keur. Toepassingsgebied klasse 0 tot
0A.
Fabrikaat: OCI
Of
Peko dienstleiding PE 40 SDR17,6 mantelbuis met Cu 28 mm. Lengte 1,20
meter. Geschikt voor aansluiting op dienstleiding PE 40. Met PE-
koppeling. QA-keur Trekvast. ** buigzame PEKO met Pipelife-koppeling
**Toepassingsgebied klasse 0 tot 0A.
Fabrikaat: HSF</t>
  </si>
  <si>
    <t xml:space="preserve">Lekzoekspray Gaspruf 500ml kant&lt;(&gt;&amp;&lt;)&gt;klaar incl triggerflacon
-
</t>
  </si>
  <si>
    <t>Meetsnoerset Fluke TLK 291 incl 2x2A zekering rood/zwart
Type: TLK291 Fluke gezekerde meetprobeset
• Een paar gezekerde meetprobes (rood, zwart)
• Ontworpen conform de GS38-specificaties voor het Verenigd Koninkrijk
• Veiligheidscategorie: CAT III 1000V, 2,0 A
• Zekeringwaarde: 2 x 2A/1000V/FF/50 kA
incl. 2 stuks zekering 2A meegeleverd.</t>
  </si>
  <si>
    <t xml:space="preserve">Mof elektrolas PE100 SDR11, 32mm, 10 bar gas, inclusief 2 steunbussen 32
mm SDR 17,6.
</t>
  </si>
  <si>
    <t xml:space="preserve">Mof elektrolas PE100 SDR11, 40 mm, 10 bar gas, inclusief 2 steunbussen
40 mm SDR 17,6.
</t>
  </si>
  <si>
    <t xml:space="preserve">Eindkap elektrolas PE100 SDR11, 32 mm, 10 bar gas, inclusief 2
steunbussen 32 mm SDR 17,6.
</t>
  </si>
  <si>
    <t xml:space="preserve">Eindkap,
verbindingstechniek: elektrolas,
10 bar gas / 16 bar water,
Materiaal: PE 100, SDR11,
aansluitmaat: 40 mm,
inclusief  2 steunbussen  40 mm.
</t>
  </si>
  <si>
    <t xml:space="preserve">Aftakzadel elektrolas PE100 SDR11 63x40mm, monoblock. Diameter
doorgaande leiding 63mm, aftakking 40mm spie-eind.
</t>
  </si>
  <si>
    <t>Aftakzadel elektrolas PE100 SDR11 110x40mm, monoblock. Diameter
doorgaande leiding 110mm, aftakking 40mm spie-eind.</t>
  </si>
  <si>
    <t>Aftakzadel elektrolas PE100 SDR11 160x40mm, monoblock. Diameter
doorgaande leiding 160mm, aftakking 40mm spie-eind.</t>
  </si>
  <si>
    <t>Aftakzadel elektrolas PE100 SDR11 200x40mm, monoblock. Diameter
doorgaande leiding 200mm, aftakking 40mm spie-eind.</t>
  </si>
  <si>
    <t xml:space="preserve">Aftakzadel elektrolas PE100 SDR11 40x32mm, monoblock. Diameter
doorgaande leiding 40mm, aftakking 32mm spie-eind.
</t>
  </si>
  <si>
    <t>Richtingsindicator.
Type Wega 1.2
voor sectieveld 10-24kV SVS voor vervanging Led indicator
(in combinatie met ombouwset Allinader artikel no 20036888).</t>
  </si>
  <si>
    <t>Type: Wega 1.2
Spanningsindicator voor
zekeringveld SVS 10-24 kV
en
last en vermogen schakelaar van SVS 3-7,2 kV
toepasbaar in combinatie met ombouwset.</t>
  </si>
  <si>
    <t>Verwarmingselementen
incl. beugel, rolbout en instructiekaart.
{Per set als 1 geheel aan te leveren}</t>
  </si>
  <si>
    <t>Eindkap voor 40mm beschermbuis voor glasvezel
Eindkap Jason thyleen 40mm PE</t>
  </si>
  <si>
    <t>Koppelstuk (klemfitting) voor 40mm beschermbuis voor glasvezel
Verbindingskoppeling recht Jason thyleen 40mm PE</t>
  </si>
  <si>
    <t xml:space="preserve">Verloopring Rp 1.1/4" x G 1.1/2" bt volgens NEN2551.
Materiaal messing.
Aansluiting 1 : binnendraad lang voor conisch tegendeel.
Aansluiting 2: rechte buitendraad met kamer voor kraankoppeling.
QA-keur.
</t>
  </si>
  <si>
    <t xml:space="preserve">Verloopring Rp 1.1/2" x G 2" bt volgens NEN2551.
Materiaal messing;
Aansluiting 1: binnendraad lang voor conisch tegendeel;
Aansluiting 2: rechte buitendraad met kamer voor kraankoppeling.
QA-keur.
</t>
  </si>
  <si>
    <t>Vertinde koperen strip met 4* M10 bout en bevestigingsklem voor montage
op de aardrail van een magnefix met staand frame.
Voor het aansluiten van kabel aardschermen.</t>
  </si>
  <si>
    <t>RVS fundering voor aftakkast (Alliander art.no 20005002),
voor opstelling op betonnen funderingsplaat (niet mee geleverd).
Specificatie:
Fundatieframe t.b.v. een sektiekast AD603 bestaande
uit 3 mm RVS304 plaatwerk.
Afmetingen bxlxh = 725x745x1000mm.
De fundering loopt schuin uit naar vierkant 1000mm.
Het geheel wordt met bout en moer bevestigd
aan elkaar RVS is onbehandeld.
Set als geheel te leveren of per set tesamen verpakt.</t>
  </si>
  <si>
    <t xml:space="preserve">Beschermt tegen onderkoeling, hitte en vochtigheid.
De zilverkleurige zijde naar het lichaam vermijdt onderkoeling.
Met de goudkleurige zijde naar het lichaam werkt de deken als
hitteschild.
</t>
  </si>
  <si>
    <t xml:space="preserve">Verloop PE100 - SDR 17,6, dia. 110 x 90 mm, beide zijden verlengd met
500 mm geelgestreepte PE100 SDR17,6 buis, (volgens NEN EN 1555-2) ,tbv
Elektrolas/stuiklas.
</t>
  </si>
  <si>
    <t xml:space="preserve">Verloop PE100 - SDR 17,6, dia. 125 x 110 mm, beide zijden verlengd met
500 mm geelgestreepte PE100 SDR17,6 buis, (volgens NEN EN 1555-2) ,tbv
Elektrolas/stuiklas.
</t>
  </si>
  <si>
    <t>Speedboor Irwin 22x157mm
Voor hout en lichte bouwmaterialen. Zeer gemakkelijk te geleiden dankzij
de zelfcentrering en geslepen voorsnijders. Aansluiting: zeskant 6 mm</t>
  </si>
  <si>
    <t>Krachtdop DO2012-0-027 1/2"-24mm.
Voor het machinaal vast- en losdraaien van bouten en moeren.
Gefosfateerd.</t>
  </si>
  <si>
    <t xml:space="preserve">Spuitgegoten T-stuk, PE100 - SDR17,6, dia. 160 mm, 90 graden, zwart,
drie zijden verlengd met 500 mm geelgestreepte PE 100 SDR17,6 b
uis(volgens NEN EN 1555-2) tbv Elektrolas/stuiklas.
</t>
  </si>
  <si>
    <t xml:space="preserve">Spuitgegoten T-stuk, PE100 - SDR17,6, dia. 200 mm, 90 graden, zwart,
drie zijden verlengd met 500 mm geelgestreepte PE 100 SDR17,6 b
uis(volgens NEN EN 1555-2) tbv Elektrolas/stuiklas.
</t>
  </si>
  <si>
    <t xml:space="preserve">Spuitgegoten T-stuk, PE100 - SDR17,6, dia. 200 x 160 mm, 90 graden,
zwart, drie zijden verlengd met 500 mm geelgestreepte PE 100 SDR17,6
buis(volgens NEN EN 1555-2) tbv Elektrolas/stuiklas.
</t>
  </si>
  <si>
    <t xml:space="preserve">Eindkap, PE100 - SDR 17,6, dia. 110 mm, spuitgegoten kap zwart, verlengd
met 500 mm geelgestreepte PE100 SDR17,6 buis, tbv Elektrolas/stuiklas.
</t>
  </si>
  <si>
    <t xml:space="preserve">Eindkap, PE100 - SDR 17,6, dia. 160 mm, spuitgegoten kap zwart, verlengd
met 500 mm geelgestreepte PE100 SDR17,6 buis, tbv Elektrolas/stuiklas.
</t>
  </si>
  <si>
    <t xml:space="preserve">Lange voorlaskraag, PE100 - SDR17,6, dia 200 mm, lengte spie-eind: 165
mm. Verlengd met 500 mm geelgestreepte PE100 SDR17,6 buis, (volgens NEN
EN 1555-2) ,tbv Elektrolas/stuiklas.
</t>
  </si>
  <si>
    <t xml:space="preserve">Spuitgegoten bocht, PE100 - SDR17,6, dia. 75 mm, 30 graden. Beide zijden
verlengd met 500 mm geelgestreepte PE100 SDR17,6 buis (volgens NEN EN
1555-2), tbv Elektrolas/stuiklas
</t>
  </si>
  <si>
    <t xml:space="preserve">Spuitgegoten bocht, PE100 - SDR17,6, dia. 75 mm, 45 graden. Beide zijden
verlengd met 500 mm geelgestreepte PE100 SDR17,6 buis (volgens NEN EN
1555-2), tbv Elektrolas/stuiklas
</t>
  </si>
  <si>
    <t xml:space="preserve">Spuitgegoten bocht, PE100 - SDR17,6, dia. 75 mm, 90° (2x 45) Beide
zijden verlengd met 500 mm geelgestreepte PE100 SDR17,6 buis (volgens
NEN EN 1555-2), tbv Elektrolas/stuiklas
</t>
  </si>
  <si>
    <t xml:space="preserve">Spuitgegoten bocht, PE100 - SDR17,6, dia. 110 mm, 22,5 graden, beide
zijden verlengd met 500 mm geelgestreepte PE100 SDR17,6 buis (volgens
NEN EN 1555-2), tbv Elektrolas/stuiklas
</t>
  </si>
  <si>
    <t xml:space="preserve">Spuitgegoten bocht, PE100 - SDR17,6, dia. 110 mm, 30 graden, beide
zijden verlengd met 500 mm geelgestreepte PE100 SDR17,6 buis (volgens
NEN EN 1555-2), tbv Elektrolas/stuiklas.
</t>
  </si>
  <si>
    <t xml:space="preserve">Spuitgegoten bocht, PE100 - SDR17,6, dia. 110 mm, 90 graden, beide
zijden verlengd met 500 mm geelgestreepte PE100 SDR17,6 buis v, tbv
Elektrolas/stuiklas
</t>
  </si>
  <si>
    <t xml:space="preserve">Spuitgegoten bocht, PE100 - SDR17,6, dia. 160 mm, 22,5 graden, beide
zijden verlengd met 500 mm geelgestreepte  PE100 SDR17,6 buis (volgens
NEN EN 1555-2), tbv Elektrolas/stuiklas
</t>
  </si>
  <si>
    <t xml:space="preserve">Spuitgegoten bocht, PE100 - SDR17,6, dia. 160 mm, 30 graden, beide
zijden verlengd met 500 mm geelgestreepte PE100 SDR17,6 buis (volgens
NEN EN 1555-2), tbv Elektrolas/stuiklas.
</t>
  </si>
  <si>
    <t xml:space="preserve">Spuitgegoten bocht, materiaal PE100 - SDR17,6, diam. 160 mm, 45 graden,
beide zijden verlengd met 500 mmgeelgestreepte PE100 SDR17,6 buis
(volgens NEN EN 1555-2), tbv Elektrolas/stuiklas
</t>
  </si>
  <si>
    <t xml:space="preserve">Spuitgegoten bocht, PE100 - SDR17,6, dia. 160 mm, 90 graden, beide
zijden verlengd met 500 mm geelgestreepte  PE100 SDR17,6 buis (volgens
NEN EN 1555-2), tbv  Elektrolas/stuiklas
</t>
  </si>
  <si>
    <t>Verloop, materiaal PE100 - SDR11, geschikt voor overgang van SDR 11 naar
SDR 17,6 ,diam 110 mm, één zijde uitgedraaid naar SDR 17,6, materiaal
zwarte PE 100 SDR11 buis (volgens NEN EN 1555-2), tbv Stuiklas.</t>
  </si>
  <si>
    <t xml:space="preserve">Verloop, materiaal PE100 - SDR11, geschikt voor overgang van SDR 11 naar
SDR 17,6 ,diam 160 mm, één zijde uitgedraaid naar SDR 17,6, materiaal
zwarte PE 100 SDR11 buis (volgens NEN EN 1555-2), tbv Stuiklas.
</t>
  </si>
  <si>
    <t xml:space="preserve">Verloop, materiaal PE100 - SDR11, geschikt voor overgang van SDR 11 naar
SDR 17,6 ,diam 200 mm, één zijde uitgedraaid naar SDR 17,6, materiaal
zwarte PE 100 SDR11 buis (volgens NEN EN 1555-2), tbv Stuiklas.
</t>
  </si>
  <si>
    <t xml:space="preserve">Verloop, materiaal PE100 - SDR11, geschikt voor overgang van SDR 11 naar
SDR 17,6 ,diam 250 mm, één zijde uitgedraaid naar SDR 17,6, materiaal
zwarte PE 100 SDR11 buis (volgens NEN EN 1555-2), tbv Stuiklas.
</t>
  </si>
  <si>
    <t xml:space="preserve">Verloop, materiaal PE100 - SDR11, geschikt voor overgang van SDR 11 naar
SDR 17,6 ,diam 315 mm, één zijde uitgedraaid naar SDR 17,6, materiaal
zwarte PE 100 SDR11 buis (volgens NEN EN 1555-2), tbv Stuiklas.
</t>
  </si>
  <si>
    <t xml:space="preserve">Verloop, materiaal PE100 - SDR11, geschikt voor overgang van SDR 11 naar
SDR 17,6 ,diam 400 mm, één zijde uitgedraaid naar SDR 17,6, materiaal
zwarte PE 100 SDR11 buis (volgens NEN EN 1555-2), tbv Stuiklas.
</t>
  </si>
  <si>
    <t xml:space="preserve">PE-buis
Materiaal: PE 100
Afmetingen: diameter 63 x wanddikte 5,8 mm, in lengte van 12 meter.
Kleur: oranje 90/10
Klasse: SDR 11
QA-keurmerk, voldoet aan NEN-EN 1555-2 inclusief beschermdoppen.
</t>
  </si>
  <si>
    <t xml:space="preserve">PE-buis
Materiaal: PE 100
Afmetingen: diameter 75 x wanddikte 6,8 mm, in lengte van 12 meter.
Kleur: oranje 90/10
Klasse: SDR 11
QA-keurmerk, voldoet aan NEN-EN 1555-2 inclusief beschermdoppen.
</t>
  </si>
  <si>
    <t xml:space="preserve">PE-buis
Materiaal: PE 100
Afmetingen: diameter 110 x wanddikte 10,0 mm, in lengte van 12 meter.
Kleur: oranje 90/10
Klasse: SDR11
QA-keurmerk,voldoet aan NEN-EN 1555-2 inclusief beschermdoppen.
</t>
  </si>
  <si>
    <t xml:space="preserve">PE-buis
Materiaal: PE 100
Afmetingen: diameter 160 x wanddikte 14,6 mm, in lengte van 12 meter./
Kleur: oranje 90/10
Klasse: SDR 11
QA-keurmerk, voldoet aan NEN-EN 1555-2 inclusief beschermdoppen.
</t>
  </si>
  <si>
    <t xml:space="preserve">PE-buis
Materiaal: PE 100
Afmetingen: diameter 200 x wanddikte 18,2 mm, in lengte van 12 meter.
Kleur: oranje 90/10
Klasse: SDR 11
QA-keurmerk, voldoet aan NEN-EN 1555-2 inclusief beschermdoppen.
</t>
  </si>
  <si>
    <t xml:space="preserve">PE-buis
Materiaal: PE 100
Afmetingen: diameter 250 x wanddikte 22,8 mm, in lengte van 12 meter.
Kleur: oranje 90/10
Klasse: SDR 11
QA-keurmerk, voldoet aan NEN-EN 1555-2 inclusief beschermdoppen.
</t>
  </si>
  <si>
    <t xml:space="preserve">PE-buis
Materiaal: PE 100
Afmetingen: diameter 315 x wanddikte 28,7 mm, in lengte van 12 meter.
Kleur: oranje 90/10
Klasse: SDR 11
QA-keurmerk, voldoet aan NEN-EN 1555-2 inclusief beschermdoppen.
</t>
  </si>
  <si>
    <t xml:space="preserve">PE-buis
Materiaal: PE 100
Afmetingen: diameter 400 x wanddikte 36,3 mm, in lengte van 12 meter.
Kleur:oranje 90/10
Klasse: SDR 11
QA-keurmerk, voldoet aan NEN-EN 1555-2 inclusief beschermdoppen.
</t>
  </si>
  <si>
    <t>Kogelkraan, kogelafsluiter recht voor gas met vleugelknopbediening;
materiaal: messing; werkdruk MOP 0.2;
aansluiting: cilindrisch afdichtend binnendraad Rp 1" x
wartelbuitendraad G1". Doorlaat: DN25.
DVGW Keur: QA</t>
  </si>
  <si>
    <t>Dummie DIN1 m. klemafscherming,
voor het afschermen van DIN1 mespatroonhouder en aansluitklem,
in aansluitkasten.</t>
  </si>
  <si>
    <t xml:space="preserve">Afdichtring / Dichtring/ Pakkingring, hard materiaal; KLINGERSIL C-4400.
Afmetingen: 56-0,2 x 46,2+0,2 x 2mm.
</t>
  </si>
  <si>
    <t xml:space="preserve">PE-buis
Materiaal: PE 100
Afmetingen: diameter 32 x wanddikte 3,0 mm, rol van 100 meter.
Kleur: oranje 90/10
Klasse: SDR 11
QA-keurmerk, voldoet aan NEN-EN 1555-2 inclusief beschermdoppen.
</t>
  </si>
  <si>
    <t xml:space="preserve">PE-buis
Materiaal: PE 100
Afmetingen: diameter 63 x wanddikte 5,8 mm, rol van 100 meter.
Kleur: oranje 90/10
Klasse: SDR 11
QA-keurmerk, voldoet aan NEN-EN 1555-2 inclusief beschermdoppen.
</t>
  </si>
  <si>
    <t xml:space="preserve">PE-buis
Materiaal: PE 100
Afmetingen: diameter 75 x wanddikte 6,8 mm, rol van 100 meter.
Kleur: oranje 90/10
Klasse: SDR 11
QA-keurmerk, voldoet aan NEN-EN 1555-2 inclusief beschermdoppen.
</t>
  </si>
  <si>
    <t xml:space="preserve">PE-buis
Materiaal: PE 100
Afmetingen: diameter 110 x wanddikte 10,0 mm, rol van 100 meter.
Kleur: oranje 90/10
Klasse: SDR 11
QA-keurmerk, voldoet aan NEN-EN 1555-2 inclusief beschermdoppen.
</t>
  </si>
  <si>
    <t xml:space="preserve">PE-buis.
Materiaal: PE 100
Afmetingen: diameter 32 x wanddikte 3,0 mm, rol van 50 meter.
Kleur: oranje 90/10
Klasse: SDR 11
QA-keurmerk, voldoet aan NEN-EN 1555-2 inclusief beschermdoppen.
</t>
  </si>
  <si>
    <t xml:space="preserve">PE-buis
Materiaal: PE 100
Afmetingen: diameter 63 x wanddikte 5,8 mm, rol van 50 meter.
Kleur: oranje 90/10
Klasse: SDR 11
QA-keurmerk, voldoet aan NEN-EN 1555-2 inclusief beschermdoppen.
</t>
  </si>
  <si>
    <t xml:space="preserve">PE-buis
Materiaal: PE 100
Afmetingen: diameter 110 x wanddikte 10,0 mm, rol van 50 meter.
Kleur: oranje 90/10
Klasse: SDR 11
QA-keurmerk, voldoet aan NEN-EN 1555-2 inclusief beschermdoppen.
</t>
  </si>
  <si>
    <t xml:space="preserve">Mof, verlopend, verbindingstechniek: elektrolas, 10 bar gas / 16 bar
water, Materiaal: PE 100, SDR11, afmetingen: 50 mm x 32 mm, inclusief
steunbus 32 mm.
</t>
  </si>
  <si>
    <t>Schroevendraaier,
SL/PZ1x80 // VDE //  Sleuf/Pozidriv-schroevendraaier.
Isolatie 1.000 V AC,
VDE- en GS-getest.</t>
  </si>
  <si>
    <t>Schroevendraaier,
SL/PZ2x100 // VDE //  Sleuf/Pozidriv-schroevendraaier.
Isolatie 1.000 V AC,
VDE- en GS-getest.</t>
  </si>
  <si>
    <t xml:space="preserve">Aftakzadel elektrolas PE100 SDR11 50x32mm, monoblock. Diameter
doorgaande leiding 50mm, aftakking 32mm spie-eind.
</t>
  </si>
  <si>
    <t>Hulpstuk voor het afaarden van losse aders:
- 2,5 t/m 16 mm2.
Kan alleen worden gebruikt icm de LS koffer.</t>
  </si>
  <si>
    <t xml:space="preserve">Buis, materiaal: PVC-slagvast (CPE / PVC-A), SDR 41, kleur: geel,
maatvoering: 75 mm x 2,0 mm. Lengte 3 meter.
</t>
  </si>
  <si>
    <t>Voertuiginbouwer tbv Gassignalering meter Dräger.
Voertuiginbouwhouder 8318779 tbv,
oplaadstation van de Dräger X AM-5000 gassignaleringmeter.</t>
  </si>
  <si>
    <t xml:space="preserve">Autolader 12/24 volt Gassignalering meter Dräger.
Auto oplader 12/24 V (leveranciernummer 8318639),
tbv laadmodule die nodig is om de Dräger gassignaleringmeter,
X AM-5000 op te laden.
</t>
  </si>
  <si>
    <t xml:space="preserve">Bit m sleufkop 0,8x4.0 v momentschroevendraaier VDE.
Bit kan alleen worden gebruikt i.c.m.
met momentschroevendraaier, (art.nr. 20035760/20037958)
en
bithouder Slim torque v 6mm v (art.nr.20037146).
</t>
  </si>
  <si>
    <t>Bit m Pozidrive SL/PZ1 kop v Momentschroevendraaier VDE.
Bit kan alleen worden gebruikt i.c.m. met
momentschroevendraaier, (art. nr. 20035760/20037958)
en
bithouder Slim torque v 6mm v (art.nr.20037146).</t>
  </si>
  <si>
    <t>Bit Pozidrive SL/PZ2 kop v 20037958 VDE
Bit m Pozidrive SL/PZ2 kop v Momentschroevendraaier VDE.
Bit kan alleen worden gebruikt i.c.m. met
momentschroevendraaier, (art. nr. 20035760/20037958)
en
bithouder Slim torque v 6mm v (art.nr.20037146).</t>
  </si>
  <si>
    <t xml:space="preserve">Bithouder Slim torque bithouder voor 6mm v momentschroevendraaier
Bithouder kan alleen worden gebruikt icm met,
momentschroevendraaier met art. nr. 20035760/20037958.
</t>
  </si>
  <si>
    <t>Autoperf 3/4 “ staal.</t>
  </si>
  <si>
    <t>Blokkeerfilter tbv Pulsechometer Radiodetection T1660(TDR)
Accessoires tbv Kabelfoutlocator Radiodetection Lexxi T1660 + 25 Ohm
blok.filt</t>
  </si>
  <si>
    <t xml:space="preserve">Handlamp ATEX zone 0.
De Survivor® LED is een lichtgewicht oplaadbare handlamp met haakse kop,
ontworpen voor gebruik in explosiegevaarlijke locaties, gecertificeerd
volgens Atex Zone 0.
De Survivor is voorzien van een Li-Ion batterij. De LOW-PROFILE lensring
vermindert de kans om in de weg te zitten met de rest van uw uitrusting.
De LED-module is microprocessor gestuurd waardoor het lichtbeeld in alle
standen wordt geoptimaliseerd.
Type: LOW-PROFILE Ex ATEX
Afmetingen (l x b): 17,92 x 7,24 cm.
Gewicht (incl. batterij): 388 gram.
Laadspanning: 12 V, 24 V, 230 V.
Lichtbron: C4-LED.
Lichtopbrengst: 175 Lumen.
Lichtbundel: 405 m.
Levensduur lichtbron: 50.000 uur.
Batterij type: Li-Ion.
Laadtijd: 10 uur.
Maximale brandtijd Stand 1: 3,50 uur / Strobe: 10 uur.
Herladen Circa: 1500 cycli.
Atex Keur: FTZU 15 ATEX 0046X II 1G Ex ia IIB T3/T4 Ga; II 2G Ex ia IIC
T3/T4 Gb.
IP klasse: IP-66.
</t>
  </si>
  <si>
    <t xml:space="preserve">Overgangsstuk staal/PE,
elektrolas PE100 32 mm SDR11
las staal L245N (volgens NEN-EN-ISO 3183) 33,7 x 3,2 mm (DN25)
met PE ommanteling (volgens de DIN 30670).
Afdichting: O-ring NBR 70 rubber.
Pmax is 8 bar.
Verpakt volgens de NTA 8828 en op de verpakking is duidelijk aangegeven
de volgende gegevens:
Fabrikant,
nominale buitendiameters,
SDR-waarde,
naam van het materiaal (PE100),
productiedatum of -code,
keurmerk van de certificerende instantie (indien van toepassing).
</t>
  </si>
  <si>
    <t xml:space="preserve">Overgangsstuk staal/PE,
elektrolas PE100 40 mm SDR11
las staal L245N (volgens NEN-EN-ISO 3183) 42,4 x 3,2 mm (DN32)
met PE ommanteling (volgens de DIN 30670).
Afdichting: O-ring NBR 70 rubber.
Pmax is 8 bar.
Verpakt volgens de NTA 8828 en op de verpakking is duidelijk aangegeven
de volgende gegevens:
Fabrikant,
nominale buitendiameters,
SDR-waarde,
naam van het materiaal (PE100),
productiedatum of -code,
keurmerk van de certificerende instantie (indien van toepassing).
</t>
  </si>
  <si>
    <t xml:space="preserve">Overgangsstuk staal/PE,
elektrolas PE100 50 mm SDR11
las staal L245N (volgens NEN-EN-ISO 3183) 48,3 x 3,2 mm (DN40)
met PE ommanteling (volgens de DIN 30670).
Afdichting: O-ring NBR 70 rubber.
Pmax is 8 bar.
Verpakt volgens de NTA 8828 en op de verpakking is duidelijk aangegeven
de volgende gegevens:
Fabrikant,
nominale buitendiameters,
SDR-waarde,
naam van het materiaal (PE100),
productiedatum of -code,
keurmerk van de certificerende instantie (indien van toepassing).
</t>
  </si>
  <si>
    <t xml:space="preserve">Overgangsstuk staal/PE, elektrolas PE100 63 mm SDR11
las staal L245N (volgens NEN-EN-ISO 3183) 60,3 x 3,6 mm (DN50)
met PE ommanteling (volgens de DIN 30670).
Afdichting: O-ring NBR 70 rubber.
Pmax is 8 bar.
Verpakt volgens de NTA 8828 en op de verpakking is duidelijk aangegeven
de volgende gegevens:
Fabrikant,
nominale buitendiameters,
SDR-waarde,
naam van het materiaal (PE100),
productiedatum of -code,
keurmerk van de certificerende instantie (indien van toepassing).
</t>
  </si>
  <si>
    <t>Flexibele stroomtang t.b.v. stroomtang 367 0-1000 Amp.
met Alliander artikelnummer 20028846.</t>
  </si>
  <si>
    <t xml:space="preserve">Reinigingsdoek Ecowash Power Wipes(90st)
Reinigingsdoek voor verwijderen vet/teer op handschoen.
Teer, vet en olie wordt makkelijk van de handschoen af gereinigd met
deze reinigingsdoekjes.
Tips:
- Reinig de handschoenen na de werkzaamheden zodat er niet met vochtige
handschoenen wordt gewerkt.
- Druk de bus (waarin de reinigingsdoekjes zitten) goed dicht na
gebruik, zo wordt voorkomen dat de doekjes uitdrogen.
Betreft bus a 90 losse wipes
</t>
  </si>
  <si>
    <t xml:space="preserve">Verloop, materiaal PE100 - SDR 11, diam. 110 x 90 mm, beide zijden
verlengd met 500 mm met zwarte PE100 SDR11 buis, (volgens NEN EN 1555-2)
,tbv Elektrolas/stuiklas.
</t>
  </si>
  <si>
    <t xml:space="preserve">Voorgangers: 20031663 en 20037007
Verloop, materiaal PE100 - SDR 11, diam. 160 x 110 mm, beide zijden
verlengd met 500 mm met zwarte PE100 SDR11 buis, (volgens NEN EN 1555-2)
,tbv Elektrolas/stuiklas.
</t>
  </si>
  <si>
    <t xml:space="preserve">Verloop, materiaal PE100 - SDR 11, diam. 160 x 125 mm, beide zijden
verlengd met 500 mm met zwarte PE100 SDR11 buis, (volgens NEN EN 1555-2)
,tbv Elektrolas/stuiklas.
</t>
  </si>
  <si>
    <t xml:space="preserve">Verloop, materiaal PE100 - SDR 11, diam. 200 x 160 mm, beide zijden
verlengd met 500 mm met zwarte PE100 SDR11 buis, (volgens NEN EN 1555-2)
,tbv Elektrolas/stuiklas.
</t>
  </si>
  <si>
    <t xml:space="preserve">T-stuk spie, materiaal Spuitgegoten T-stuk, PE100 - SDR11, diam. 110 mm,
90 graden, kleur zwart, drie zijden verlengd met 500 mm zwarte PE 100
SDR11 buis (volgens NEN EN 1555-2), tbv Elektrolas/stuiklas.
</t>
  </si>
  <si>
    <t xml:space="preserve">T-stuk spie, materiaal Spuitgegoten T-stuk, PE100 - SDR11, diam. 160 mm,
90 graden, kleur zwart, drie zijden verlengd met 500 mm zwarte PE 100
SDR11 buis (volgens NEN EN 1555-2), tbv Elektrolas/stuiklas.
</t>
  </si>
  <si>
    <t xml:space="preserve">T-stuk spie, materiaal Spuitgegoten T-stuk, PE100 - SDR11, diam. 160 x
110 mm, 90 graden, kleur zwart, drie zijden verlengd met 500 mm zwarte
PE 100 SDR11 buis (volgens NEN EN 1555-2), tbv Elektrolas/stuiklas.
</t>
  </si>
  <si>
    <t xml:space="preserve">T-stuk spie, materiaal Spuitgegoten T-stuk, PE100 - SDR11, diam. 200 mm,
90 graden, kleur zwart, drie zijden verlengd met 500 mm zwarte PE 100
SDR11 buis (volgens NEN EN 1555-2), tbv Elektrolas/stuiklas.
</t>
  </si>
  <si>
    <t xml:space="preserve">T-stuk spie, materiaal Spuitgegoten T-stuk, PE100 - SDR11, diam. 200 x
110 mm, 90 graden, kleur zwart, drie zijden verlengd met 500 mm zwarte
PE 100 SDR11 buis (volgens NEN EN 1555-2), tbv Elektrolas/stuiklas.
</t>
  </si>
  <si>
    <t xml:space="preserve">T-stuk spie, materiaal Spuitgegoten T-stuk, PE100 - SDR11, diam. 200 x
160 mm, 90 graden, kleur zwart, drie zijden verlengd met 500 mm zwarte
PE 100 SDR11 buis (volgens NEN EN 1555-2), tbv Elektrolas/stuiklas.
</t>
  </si>
  <si>
    <t xml:space="preserve">Eindkap, PE100 - SDR11, dia. 110 mm, spuitgegoten kap zwart, verlengd
met 500 mm zwarte PE100 SDR11 buis(volgens NEN EN 1555-2), tbv
Elektrolas/stuiklas
</t>
  </si>
  <si>
    <t xml:space="preserve">Eindkap, PE100 - SDR11, dia. 160 mm, spuitgegoten kap zwart, verlengd
met 500 mm zwarte PE100 SDR11 buis(volgens NEN EN 1555-2), tbv
Elektrolas/stuiklas
</t>
  </si>
  <si>
    <t xml:space="preserve">Eindkap, PE100 - SDR11, dia. 200 mm, spuitgegoten kap zwart, verlengd
met 500 mm zwarte PE100 SDR11 buis(volgens NEN EN 1555-2), tbv
Elektrolas/stuiklas
</t>
  </si>
  <si>
    <t xml:space="preserve">Lange voorlaskraag, PE100 - SDR11, dia 200 mm, lengte spie-eind: 165 mm.
Verlengd met 500 mm zwarte PE100 SDR11 buis (volgens NEN EN 1555-2) tbv
Elektrolas/stuiklas.
</t>
  </si>
  <si>
    <t xml:space="preserve">Spuitgegoten bocht, PE100 - SDR11, dia. 110 mm, 90 graden, beide zijden
verlengd met 500 mm zwarte PE100 SDR11 buis (volgens NEN EN 1555-2), tbv
Elektrolas/stuiklas
</t>
  </si>
  <si>
    <t xml:space="preserve">Spuitgegoten bocht, PE100 - SDR11, dia. 160 mm, 90 graden, beide zijden
verlengd met 500 mm zwarte PE100 SDR11 buis (volgens NEN EN 1555-2), tbv
Elektrolas/stuiklas
</t>
  </si>
  <si>
    <t xml:space="preserve">Spuitgegoten bocht, PE100 - SDR11, dia. 110 mm, 22,5 graden, beide
zijden verlengd met 500 mm zwarte PE100 SDR11 buis (volgens NEN EN
1555-2), tbv Elektrolas/stuiklas
</t>
  </si>
  <si>
    <t xml:space="preserve">Spuitgegoten bocht, PE100 - SDR11, dia. 160 mm, 22,5 graden, beide
zijden verlengd met 500 mm zwarte PE100 SDR11 buis (volgens NEN EN
1555-2), tbv Elektrolas/stuiklas
</t>
  </si>
  <si>
    <t xml:space="preserve">Spuitgegoten bocht, PE100 - SDR11, dia. 110 mm, 30 graden, beide zijden
verlengd met 500 mm zwarte PE100 SDR11 buis (volgens NEN EN 1555-2), tbv
Elektrolas/stuiklas
</t>
  </si>
  <si>
    <t xml:space="preserve">Spuitgegoten bocht, PE100 - SDR11, dia. 160 mm, 30 graden, beide zijden
verlengd met 500 mm zwarte  PE100 SDR11 buis (volgens NEN EN 1555-2),
tbv Elektrolas/stuiklas
</t>
  </si>
  <si>
    <t xml:space="preserve">Spuitgegoten bocht, PE100 - SDR11, dia. 110 mm, 45 graden, beide zijden
verlengd met 500 mm zwarte PE100 SDR11 buis (volgens NEN EN 1555-2), tbv
Elektrolas/stuiklas
</t>
  </si>
  <si>
    <t xml:space="preserve">Spuitgegoten bocht, PE100 - SDR11, dia. 160 mm, 45 graden, beide zijden
verlengd met 500 mm zwarte PE100 SDR11 buis (volgens NEN EN 1555-2), tbv
Elektrolas/stuiklas
</t>
  </si>
  <si>
    <t xml:space="preserve">Kabelschaar VDE, Voor het knippen van Cu- en Al- kabels, enkel- en
meerdradig van 27mm t/m150mm2
Niet geschikt voor staaldraad
Geharde en nauwkeurig geslepen snijkanten, Knipt keurig glad af zonder
te vervormen, Geringe krachtinspanning door zeer gunstige
overbrengingsverhoudingen en nieuwe snijhoek
Korte bouwvorm, Gering gewicht, Met klembeveiliging, Instelbaar
schroefscharnier
Meskop: vanadium-elektrostaal, gesmeed, oliegehard , Dij: aluminium
buis, zeer bestendig, Kop gepolijst
Benen dompelisolatie, VDE-getest
Isolatienorm IEC 60900 DIN EN 60900
</t>
  </si>
  <si>
    <t>Maglite MagCharger accupack 3500 mAh
Een Accupack voor de Maglite Mag-Charger (Alliandernummer 20037228),
6v,
3500mAh.</t>
  </si>
  <si>
    <t xml:space="preserve">Een reservelamp,
6V Nicad Halogeen,
voor de Maglite MagCharger staaflamp (Alliandernummer 20037228).
</t>
  </si>
  <si>
    <t xml:space="preserve">Kogellamp LED E27 6,5W (voorheen 60w), Let op, lamp is 78mm lang. Type:
Philips CorePro LEDLusterND6.5-60W P45 E27827CLG.
</t>
  </si>
  <si>
    <t>Gasmeteropstelling G4/G6  tbv horizontale CU 22mm.
Pi=100mbar incl. Regelaar/ B-klep.
Kogelkraan DN20 Cu22 pers x bu G1".
QA-keur. Compleet met bevestigings en verzegelmateriaal.</t>
  </si>
  <si>
    <t>Gasmeteropstelling G4/G6  tbv nieuw-/laagbouw.
Pi=30mbar incl B-klep.
Kogelkraan DN20 PE32 x bu G1".
QA-keur. Compleet met bevestigings en verzegelmateriaal.</t>
  </si>
  <si>
    <t xml:space="preserve">Draadzaag geschikt voor het doorzagen van,
pvc buis- en hulpstukken in situaties waar,
een normale zaag niet gebruikt kan worden.
l=84cm, dia=2mm tbv PVC/PE buis.
</t>
  </si>
  <si>
    <t xml:space="preserve">Schroevendraaier zaagsn. klem 4x125; Klemschroevendraaier sleuf met
softgrip vervaardigd uit chroom- vanadiumstaal, doorgehard en gezwart.
Voorzien van klemhuls en Ergonomische Wiha SoftFinish samengestelde
handgreep met wegrolbeveiliging.
Lengte: 125 mm.
Afmeting: 4 mm.
Type: 398
</t>
  </si>
  <si>
    <t xml:space="preserve">Telefoontang VDE gebogen 45graden 200mm
Type: 225321 Telefoontang Lemp
Gebogen uitvoering
Platte, ronde bek
Met bladen voor harde en zachte draad
Aangrijpend oppervlak getande
Benen voorzien van dompelisolatie
Kan worden gebruikt tot -40 c
VDE 1000v geisoleerd
Lengte: 200mm.
</t>
  </si>
  <si>
    <t xml:space="preserve">Type: 244300 Mes Lemp
Met veiligheidskap
Lemmet van gehard rvs
Voorgevormde handgreep
VDE 1000V
Lengte: 160mm
Blad lengte: 35mm
</t>
  </si>
  <si>
    <t>Klemmenblokset PE32 PEKO/PECU-leiding-enkel 32mm M6x70 (ALL) Klemblokset
Geschikt voor Dubbele PE32 Peko leiding.
Bevestiging dmv bout M6x70mm.
Klemmenblokset v PE32 PEKO/PECU-leiding (enkel)
2x klemblok
Schaaldeel kunststof 32 mm
2x dekplaatje st verz
2x slotbout + moer M6x70.</t>
  </si>
  <si>
    <t>Klemmenblokset PE40 PEKO/PECU-leiding-enkel 42-40mm M6x70 (ALL)
Klemblokset, geschikt voor dubbele PE40 (40-42mm) Peko leiding. Beve
stiging dmv bout M6x70mm.
Klemmenblokset v PE40 PEKO/PECU-leiding (enkel)
2x klemblok
Schaaldeel kunststof 40-42 mm
2x dekplaatje staal verz
2x slotbout + moer M6x70.</t>
  </si>
  <si>
    <t>Beugel ten behoeve van montage PEKO/PECU. Enkele C-rail, lengte: 150mm.</t>
  </si>
  <si>
    <t>Kookplaat 1kW 1-pits: 1-pits kookplaat voor het opwarmen van
eindsluitingen vet voor het bijvullen van een magnefix eindsluiting. Be
diening doormiddel van een 7 standenschakelaar, uitgerust met een controle lampje.
Specificaties:
Diameter kookplaat: 14,5 cm.
Afmeting: (H x B x D): 8 x 25 x 27,5 cm.
Snoer 1 meter
Voltage: 230 V
Wattage: 1000 W
Type: THS1090</t>
  </si>
  <si>
    <t xml:space="preserve">Boven en ondermes met bijbehorende breekpennen tbv Kabelsnijkop
hydraulisch #TC-085 met artikelnummer 20015137
&lt;(&gt;&lt;&lt;)&gt;toegevoegde tekst&gt;:
Per setje als geheel verpakt.
Setje bestaat uit:
A372848 ondermes 1st
A372849 bovenmes 1st
A372847 Breekpen  1st.
</t>
  </si>
  <si>
    <t>Sigma-plus storingsverklikkers SVS</t>
  </si>
  <si>
    <t xml:space="preserve">Inbussleutel zeskant 8mm,
lengte ca. 250mm in T-model,
T-greep 90 á 100mm.
Volgens norm NEN-EN-IEC 60900, (dompelisolatie) (VDE). Handgreep dient
volledig gesloten te zijn. Voor werkzaamheden aan spanningvoerende delen
tot 1.000 V AC en 1500V DC (lemp)
</t>
  </si>
  <si>
    <t>Messing dop voor 1” vlakke dichting en inwendige neopreenring.
Dop t.b.v. afsluiten gaskraan ¾”.</t>
  </si>
  <si>
    <t xml:space="preserve">De kabelhaak is een handig  hulpmiddel om kabels iets te verleggen. Deze
dient zo uitgevoerd te zijn dat de gebruiker rechtop kan blijven staan.
Het handvat en tot iets boven de kromming dient de kabelhaak geisoleerd
te zijn en aan 1000V cq VDE te voldoen.
</t>
  </si>
  <si>
    <t>Afdichtingsplaatje maatvoering 50 mm x 70 mm. Kunststof aan 1 zijde
voorzien van een plakstrip/band van 50 mm x 70 mm.</t>
  </si>
  <si>
    <t xml:space="preserve">Aanboorzadel elektrolas toepasbaar als blaasgatzadel 250mm x 2½" Polsafe
materiaal: PE100 SDR11, toepassing voor PE. Geschikt voor blazen zetten
(LD). Compleet met onderhuis.
</t>
  </si>
  <si>
    <t xml:space="preserve">Aanboorzadel elektrolas toepasbaar als blaasgatzadel 315mm x 2½" Polsafe
materiaal: PE100 SDR11, toepassing voor PE. Geschikt voor blazen zetten
(LD). Topload.
</t>
  </si>
  <si>
    <t>Overbruggingskoppeling 1"(over een draadsok cq sluitstuk), Type QR-clamp
– RVS – 1", bestaat uit 2 stuks RVS AISI 304 schaaldelen en 2 stuks RVS
AISI 304 keggen, schaaldelen hebben een rubberen NBR inlage,
1/8"drukmeetnippel volgens NEN1571. Maximale werkdruk 300mbar.</t>
  </si>
  <si>
    <t>Overbruggingskoppeling 1.1/4"(over een draadsok cq sluitstuk), Type
QR-clamp – RVS – 1.1/4", bestaat uit 2 stuks RVS AISI 304 schaaldelen en
2 stuks RVS AISI 304 keggen, schaaldelen hebben een rubberen NBR inlage,
1/8"drukmeetnippel volgens NEN1571. Maximale werkdruk 300mbar.</t>
  </si>
  <si>
    <t xml:space="preserve">Rondbektang L-160mm Volgens norm NEN-EN-IEC 60900, handgrepen voorzien
van dompelisolatie, (VDE). Tang verchroomd. Voor werkzaamheden aan
spanningvoerende delen tot 1000V AC en 1500V DC.
</t>
  </si>
  <si>
    <t>Combinatietang L-200mm 1000V/VDE.
Handgrepen voorzien van dompelisolatie.
Tang verchroomd. Snijcapaciteit voornamelijk voor
toepassing van Cu/Al geleidermateriaal.</t>
  </si>
  <si>
    <t>Platbektang L-160mm. 1000V/VDE. Handgrepen voorzien van dompelisolatie.
Tang verchroomd met platte bek.</t>
  </si>
  <si>
    <t xml:space="preserve">Telefoontang L-200mm. 1000V/VDE. Handgrepen voorzien van dompelisolatie.
Tang verchroomd met halfronde rechte bekken.
</t>
  </si>
  <si>
    <t>Waterpomptang L-250mm. 1000V/VDE. Handgrepen voorzien van
dompelisolatie. Tang verchroomd.</t>
  </si>
  <si>
    <t>Fietspomp, voetpomp op plank met slang.</t>
  </si>
  <si>
    <t>plaat 1200x800mm enkele golf</t>
  </si>
  <si>
    <t xml:space="preserve">Dopsleutel Lemp 140305 3/8&lt;(&gt;&amp;&lt;)&gt;quot;-5mm inbus VDE
</t>
  </si>
  <si>
    <t xml:space="preserve">Dopsleutel Lemp 140306 3/8&lt;(&gt;&amp;&lt;)&gt;quot;-6mm inbus VDE
</t>
  </si>
  <si>
    <t xml:space="preserve">Dopsleutel Lemp 140308 3/8&lt;(&gt;&amp;&lt;)&gt;quot;-8mm inbus VDE
</t>
  </si>
  <si>
    <t xml:space="preserve">Dopsleutel Lemp 140310 3/8&lt;(&gt;&amp;&lt;)&gt;quot;-10mm inbus VDE
</t>
  </si>
  <si>
    <t xml:space="preserve">Ombouwset van 1 naar 3-fase laagbouw
Doos bevat:
- 2 ksbels van 60 cm
- 2 kabels van 25 cm
GE (voorheen)
naam:  Uitbreidingsset 1 fase-3fasen
type: 602488
ABB (huidig)
naam: Ombouwset van 1 naar 3 fasen laagbouw
type: HAK-OBS1-3L
</t>
  </si>
  <si>
    <t xml:space="preserve">Huisaansluitkast 3-fase voor beveiligingsautomaten maximaal 63A leeg
GE (voorheen)
naam: Aansluitkast type 370/8
type: 602672
ABB (huidig)
naam: Huisaansluitkast tot 63A zonder automaten
type: HAK E3FL/2
</t>
  </si>
  <si>
    <t xml:space="preserve">Meterbord 220x350mm
GE (voorheen)
naam: Meterbord MB350/220 (blauw) (60st)
type: 422933 (inkoop per 60)
type: 422932 (inkoop per 10)
ABB (huidig)
naam: Meterbord 220x350mm
type: HAM220x350/62    (inkoop per 62)
type: HAM220x350/10    (inkoop per 10)
</t>
  </si>
  <si>
    <t>Omschakelbare ratelsleutel,
3/8" L-190mm,
voor links en rechtsdraaiend voorzien van dompelisolatie.
1000V EN60900/ VDE.
Met vergrendeling tegen onbedoeld loslaten van de inzetstukken.
De inzetstukken zoals de dopsleutels, inbusdoppen, etc…. behoren van het
zelfde merk als de ratel te zijn.</t>
  </si>
  <si>
    <t xml:space="preserve">Dopsleutel Lemp 130210 3/8&lt;(&gt;&amp;&lt;)&gt;quot;-10mm VDE
</t>
  </si>
  <si>
    <t xml:space="preserve">Dopsleutel Lemp 130211 3/8&lt;(&gt;&amp;&lt;)&gt;quot;-11mm 6-kant VDE
</t>
  </si>
  <si>
    <t xml:space="preserve">Dopsleutel Lemp 130212 3/8&lt;(&gt;&amp;&lt;)&gt;quot;-12mm 6-kant VDE
</t>
  </si>
  <si>
    <t xml:space="preserve">Dopsleutel Lemp 130213 3/8&lt;(&gt;&amp;&lt;)&gt;quot;-13mm 6-kant VDE
</t>
  </si>
  <si>
    <t xml:space="preserve">Dopsleutel Lemp 130214 3/8&lt;(&gt;&amp;&lt;)&gt;quot;-14mm 6-kant VDE
</t>
  </si>
  <si>
    <t xml:space="preserve">Dopsleutel Lemp VDE 3/8&lt;(&gt;&amp;&lt;)&gt;quot; 15mm-6-kant
</t>
  </si>
  <si>
    <t xml:space="preserve">Dopsleutel Lemp VDE 3/8&lt;(&gt;&amp;&lt;)&gt;quot; 16mm-6-kant
</t>
  </si>
  <si>
    <t xml:space="preserve">Dopsleutel Lemp 130217 3/8&lt;(&gt;&amp;&lt;)&gt;quot;-17mm 6-kant VDE
</t>
  </si>
  <si>
    <t xml:space="preserve">Dopsleutel Lemp 130219 3/8&lt;(&gt;&amp;&lt;)&gt;quot;-19mm 6-kant VDE
</t>
  </si>
  <si>
    <t xml:space="preserve">Dopsleutel Lemp VDE 3/8&lt;(&gt;&amp;&lt;)&gt;quot; 22mm-6-kant
</t>
  </si>
  <si>
    <t xml:space="preserve">Dopsleutel Lemp VDE 3/8&lt;(&gt;&amp;&lt;)&gt;quot; 24mm-6-kant
</t>
  </si>
  <si>
    <t>Moersleutel Lemp 151908 8" VDE
Type 151908 Moersleutel Lemp 8
Met schaal aanduiding
Gemaakt van gelegeerd en gehard staal
Professionele multi gecoat isolatie
VDE 1000V
Bekwijdte 0 27mm 8
Lengte 210mm</t>
  </si>
  <si>
    <t xml:space="preserve">Metaalzaagbeugel voorzien van VDE isolatie volgens DIN EN 60900. Beugel
van versterkt vlakstaal en voorzien van kunststofschroef voor het
spannen van het zaagblad.
Lengte: 280 mm.
Lengte zaag: 150 mm.
</t>
  </si>
  <si>
    <t xml:space="preserve">E- koppeling, MJ 3057+ mof-flens
NBR rubber geschikt voor gas
Nodulair gietijzer GGG45 behuizing en aandrukring, volgens DIN1693 (ISO
R 1083)
Resicoat® kunststof coating, volgens GSK standaard en EN 14901
NBR volgens EN 682 (-5°C tot +50°C)
Hoekverdraaiing max. 8º per mof bij installatie (gebaseerd op het
midden van het bereik)
RVS kwaliteit A4 (316)
Type: Uni/Fiksers, dus trekvast
RVS A2 kwaliteit (AISI 304) bouten, moeren en ringen (op aanvraag A4,
(AISI 316)
Inclusief hygiënekap en flenssticker
Aansluiting 1: mof 392-433 mm
Aansluiting 2: flens DN400 / PN10 / PN16
Inbouwlengte: max. 395mm
Koppeling is voorzien van een hijsoog
</t>
  </si>
  <si>
    <t xml:space="preserve">PeKo dienstleiding PE 25 SDR 17,6 mantelbuis met Cu 15x1.0mm.
Lengte 3,75 meter.
Buigzame PEKO met aangelaste trekvaste multifunctionele koppeling zonder
steunbusset, afgeschermd met blauwe dop.
Keur: QA.
</t>
  </si>
  <si>
    <t xml:space="preserve">Schopsteel licht gebogen Atlas 95 cm (z schop)
Blijham licht gebogen Atlas schopsteel.
Lengte: 95cm licht gebogen model
</t>
  </si>
  <si>
    <t xml:space="preserve">Steekbats Ruhr Brillant ¼ 000 met opstapje
Atlas Steekbats Ruhr Brillant 1/4 000,
gehard,
gepolijst met OPSTAP.
</t>
  </si>
  <si>
    <t xml:space="preserve">T-opsteeksleutel 3/8" VDE tbv losse inzetstukken.
T-opsteeksleutel , 3/8"
Volgens norm NEN-EN-IEC 60900, (dompelisolatie) (VDE).
Met vergrendeling tegen onbedoeld loslaten van de inzetstukken.
De inzetstukken zoals de dopsleutels, inbusdoppen, etc…. zijn bij
voorkeur van het zelfde merk.
Voor werkzaamheden aan spanningvoerende delen tot 1000V AC en 1500V DC.
</t>
  </si>
  <si>
    <t>Warmtekrimp mof
geschikt voor 10kV (V)GPLK 3x240-300 mm2 op XLPE 20kV 3x1x630 mm2.
Inclusief schroefverbinders.</t>
  </si>
  <si>
    <t xml:space="preserve">Safe Pleisterbox
Pleisterbox met een assortiment van 90 pleisters.
inhoud:
- 25 wondpleister 72x19 mm,
- 25 wondpleister 72x25mm,
- 25 vingertoppleister 72x45mm,
- 15 lange vingerpleister 120x20mm.
Kunststof box (oranje) met transparante deksel en een wandhouder,
(incl. bevestigingmateriaal).
Afmetingen: (LxBxH) 15,5 x 5,5 x 12,5 cm
</t>
  </si>
  <si>
    <t>Omschakelbare momentsleutel 10-50Nm, 3/8" L- 280-300mm.
Volgens norm IEC 60900 (VDE) (Dompelisolatie).
Met vergrendeling tegen onbedoeld loslaten van de inzetstukken.
De inzetstukken zoals de dopsleutels, inbusdoppen, etc…. behoren van
hetzelfde merk te zijn.
Voor werkzaamheden aan spanningvoerende delen tot 1000V AC en 1500V DC.</t>
  </si>
  <si>
    <t xml:space="preserve">Inbusbit Wiha 2831-18 sw 4,0x75mm slimvario VDE
Bit met inbuskop 4mm voor momentschroevendraaier VDE.
Bit kan alleen worden gebruikt icm met momentschroevendraaier,
(art. nr. 20035760) en bithouder Slim torque v 6mm v (art.nr.20037146).
Type: 2831-18
SoftFinish® electric bit, Inbus 4 mm.
</t>
  </si>
  <si>
    <t xml:space="preserve">Muurbeugel verhoogd v gasmeteropstelling CGR/KZ. Bevestigingsconstrutie
hoog voor gasvoerende meterbeugels. Set incl. 4 slotbouten, moeren en
sluitringen. Voor een grotere afstand tussen wand en meterbeugel.
</t>
  </si>
  <si>
    <t xml:space="preserve">Inbussleutel ten behoeve van binnenzeskantschroeven, voorzien van 2C-T-
greep en ophanggat, vervaardigd uit vanadium staal, gechromateerd.
Gedore Type: 2142T
Maat: 5 mm.
Lengte: 177 mm.
Klinglengte: 150 mm.
</t>
  </si>
  <si>
    <t>Oplegslotkast met paniekontgrendeling
rechts (draairichting 4)
t.b.v. MS ruimen
geschikt voor europrofielcilinder 17 mm.
Messing slotkast. Messing nachtschoot, 3 mm voorstaand.
Messing binnenwerk
Met trekknopinrichting, geschikt voor bevestiging paniekbalk
Enkeltours,
met uitval van 22 mm (totaal 25 mm)
Type: 1533K/5 RS DINL</t>
  </si>
  <si>
    <t>Oplegslotkast met paniekontgrendeling
links  (draairichting 3)
t.b.v. MS ruimten
geschikt voor europrofielcilinder 17 mm.
Messing slotkast.
Messing nachtschoot,
3 mm voorstaand.
Messing binnenwerk
Met trekknopinrichting, geschikt voor bevestiging paniekbalk
Enkeltours,
met uitval van 22 mm (totaal 25 mm).
Type: 1533K/5 LS=DINR</t>
  </si>
  <si>
    <t>Afdichtring afsluitdop aftappunt transformator,
diameter 25x35x3 mm.</t>
  </si>
  <si>
    <t>Afdichtring afsluitdop aftappunt transformator,
diameter 34x45x3 mm.</t>
  </si>
  <si>
    <t>Aardingsgarnituur LS 35mm en LS 25mm2
De laagspanning aardingsgarnituren zijn ideaal voor het zo veilig
mogelijk verrichten van werkzaamheden en plegen van onderhoud in een
laagspanningsinstallatie tot 1 kV.
Inhoud van de koffer is:
1 Aardingsgarnituur 35 mm2, LS garnituur 35mm2 PVC geis kop
1 Aardingsgarnituur 25 mm2, Spec. garn. 25mm2 - 4x500+1x600 mm
3 Geis. steekmes NH-00
3 Geis. steekmes NH-0-3
1 Geis. Aardingsklem
1 Geis. aardklem
4 Geis. schroefkap E-27 ringaarde, Stift L=3,0mm
4 Geis. schroefkap E-27 stiftaarde, Stift D=6,5/L=11,5mm
1 Geis. Bedieningsstok20037670
4 Aardings adapter 2,5-16 mm2
1 ABS koffer 111 rood 44x31x10 cm</t>
  </si>
  <si>
    <t xml:space="preserve">Verloop, materiaal PE100 - SDR 11, diam. 125 x 110 mm.
Zijde 125mm verlengd met 450 mm zwarte PE100 SDR11 buis.
Zijde 110mm verlengd met 425 mm zwarte PE100 SDR11 buis.
Volgens NEN EN 1555-2.
</t>
  </si>
  <si>
    <t xml:space="preserve">Kabelinvoerkast dubbel t.b.v. huisaansluitkast
GE (voorheen)
naam: Kabelinvoerkast KIK2-40 (10st)
type: 602675
ABB (huidig)
naam: Kabelinvoerkast HAK dubbele invoer, 220x165mm
type: 160-H3C/2
</t>
  </si>
  <si>
    <t>Spanningstester Tietzsch LSP 4L 4-690V, CAT-IV IP65 Behuizing slagvast,
stofdicht, incl. tasje</t>
  </si>
  <si>
    <t xml:space="preserve">Zaklamp TAB24112 3w PowerLED 220 lumen Li-ion accu 12/230V lader
Type: TAB24112
Compacte aluminium staaflamp, voorzien van krachtige 3 Watt Power-LEDs.
Door de kop in of uit te schuiven is de lichtbundel naar wens in te
stellen van smal naar breed.
De lamp beschikt over zowel een normale als een energiezuinige stand,
met respectievelijk 100% en 30% lichtsterkte.
Kenmerken:
- spatwaterdicht (IP67) en schokbestendig - aan/uitschakelaar ingebouwd
aan de achterzijde
- oplaadbaar via 12 V en 230 V (is niet geschikt voor 24 V)
- oplaadpunt van de lamp bevindt zich onder de ring (eenvoudig los te
draaien)
- lithium accu met bescherming tegen overladen en ontladen (maximaal 24
uur)
Eigenschappen:
Diameter body / kop: 25 x 38 mm.
Lichtopbrengst:  220 Lumen.
Kleurtemperatuur: daglicht.
Gewicht: 175 gram.
Lengte: 153 mm.
</t>
  </si>
  <si>
    <t xml:space="preserve">Diamantschijf voor haakse slijper voor beton en steen. Diameter 125 mm.
Universele diamantzaag geschikt voor droog gebruik, en het afwisselend
zagen van middelharde tot harde materialen. Het zaagblad is geschikt
voor diverse steensoorten, wat tijdswinst opleverd omdat er minder vaak
gewisseld hoeft te worden. Het lasergelaste blad is geluidsarm en heeft
100% garantie tegen tandbreuk. Toepasbaar bij onder andere het zagen in
beton, baksteen, en andere harde steensoorten.
Afmeting: 125 x 22.23 mm.
Toerental max: 12250 tpm – 80 m/s.
</t>
  </si>
  <si>
    <t xml:space="preserve">Set van twee meetsnoeren die geschikt zijn voor de Multi meters
(artikelnummer 20028101 en 20015179).
Tevens dienen ze compatibel te zijn voor alle instrumenten die geschikt
zijn voor geïsoleerde 4mm-banaanstekkers.
De snoeren inclusief stekker dienen minimaal aan CAT IV 600 V, te
voldoen.
</t>
  </si>
  <si>
    <t>koperdraad, massief, vertind.
25 mm2
Rol = 44 meter = 10 kg.</t>
  </si>
  <si>
    <t>Veerhouder v snisveer vergrendeling Magnefix MD4</t>
  </si>
  <si>
    <t xml:space="preserve">Dopsleutel met T-greep (dwarsgreep) 6 kant 13mm
Lengte schacht 270mm (Handvat inclusief schacht).
Gesloten handvat, schacht van Chroom-vanadiumstaal, doorgehard,
hoogglans vernikkeld.
</t>
  </si>
  <si>
    <t xml:space="preserve">Dopsleutel T-greep 10mm L268mm; Dopschroevendraaier voorzien van
2C-T-greep en ophanggat, vervaardigd uit vanadium staal, gechromateerd.
Dopmaat: 10 mm.
Dopdiepte: 25 mm.
Lengte: 268 mm.
Klinglengte: 230 mm.
</t>
  </si>
  <si>
    <t xml:space="preserve">Multimeter geschikt voor het meten van spanning (AC/DC) en stroom
DC-spanning Bereik  0,1 mV tot 1000 V Nauwkeurigheid  :0,1% +1
AC-spanning Bereik  0,1 mV tot 1000 V Nauwkeurigheid  : 0,5% +3
DC-stroom Bereik  0,1 μA tot 10 A Nauwkeurigheid  0,2% + 4
AC-stroom Bereik  0,1 μA tot 10 A Nauwkeurigheid  1,5% + 2
Weerstandsmeting, doorbel- en diodetest
Min/Max- en Average-registratie voor het automatisch registreren van
variaties
Beschermingsgraad: IP 65 (sproei- en stofdicht)
Overspanningscategorie CAT IV 600 V, CAT III 1000 V
Moet een val van 2 meter kunnen doorstaan (mag met holster)
Moet goed afleesbaarheid zijn in slecht verlichte omgevingen
Ook moet de meter spanningspieken kunnen doorstaan die veroorzaakt
worden door het schakelen van belastingen en door storingen in
stroomkringen.
Moet voldoen aan de huidige IEC- en ANSI-veiligheidsnormen voor
elektrische apparatuur.
Inclusief holster en batterijen.
Nederlandse handleiding
</t>
  </si>
  <si>
    <t xml:space="preserve">Dubbelpolige Spanningtester 12-690V AC/DC (Analoog).
Geschikt voor minimaal 690V wisselspanning.
Voldoet aan norm EN 61243-3
Minimale beschermingsgraad IP65. (stofdicht, sproeidicht)
Overspanningscategorie CAT-IV 600V
Voorzien van fase detectie
Voldoet aan het VDE keur. (VDE 0682, deel 401)
</t>
  </si>
  <si>
    <t>Schutbuis,
PVC buis 160 mm / 1 meter. Geel.
t.b.v. Afsluiteropbouw PVC buis 160 mm lengte 100 cm
of
PE SDR 17,6 buis 160mm lengte 100cm kleur zwart met gele strepen,
t.b.v. de grondafsluiter opbouw methodiek conform  N9845.</t>
  </si>
  <si>
    <t xml:space="preserve">Draaistroom 4-leider statische kWh-meter, voor directe aansluiting,
230/400V, 50Hz, 0,5-10(120) A
Telwerk: Bestaat uit: 2 registers voor LDN/ LT HT;2 registers voor ODN/
LT HT, kWh registratie
Voorzien van barcodering volgens Liander specificaties, inclusief extra
afneembare sticker.
Af te leveren met gebruikers-instructiekaart voor de meteruitlezing.
</t>
  </si>
  <si>
    <t xml:space="preserve">Transformator aansluitstrip t.b.v. AC5a aansluiting voor plaatsing meet
transformator lengte 250mm Cu 60x10
2 gaten 13 mm een tapgat M6.
Pakket bestaat uit vier strippen.
</t>
  </si>
  <si>
    <t xml:space="preserve">Transformator aansluitstrip t.b.v. AC5a aansluiting voor plaatsing meet
transformator lengte 250mm Cu 60x10
3 gaten 13 mm een tapgat M6.
Pakket bestaat uit 4 strippen.
</t>
  </si>
  <si>
    <t xml:space="preserve">Transformator aansluitstrip t.b.v. AC5b aansluiting voor plaatsing meet
transformator lengte 350mm Cu 100x10
5 gaten 13 mm een tapgat M6
(geschikt voor aansluitvlag op LS stift M42 ).
Pakket bestaat uit vier strippen.
</t>
  </si>
  <si>
    <t xml:space="preserve">Transformator aansluitstrip t.b.v. AC5b aansluiting voor plaatsing meet
transformator lengte 350mm Cu 100x10
5 gaten 13 mm een tapgat M6
(geschikt voor aansluitvlag op LS stift M46 ) I max 1650Amp, kan worden
toegepast op 1600kVA die max 1000kVA wordt belast.
Pakket bestaat uit vier strippen.
</t>
  </si>
  <si>
    <t>Beugel v gasmeter G4/G6 GM 3/4", H.O.H. 220mm.
Materiaal: Verzinkt plaatstaal,
Horizontaal multifunctioneel verstelbaar.</t>
  </si>
  <si>
    <t>Bedieningshendel 135 mm voor IN en UIT schakeling van de
vermogenschakelaar en de lastschakelaar en voor bediening van de
omschakelaar voor de rail- en aardingsstand.</t>
  </si>
  <si>
    <t xml:space="preserve">Ringsleutel gebogen 10mm.
Volgens norm NEN-EN-IEC 60900, (dompelisolatie) (VDE). Isolatie geheel
omsloten. Van Chroom-vanadium staal. Voor werkzaamheden aan s
panningvoerende delen tot 1000V AC en 1500V DC.(KNIPEX)
</t>
  </si>
  <si>
    <t xml:space="preserve">S20 Ontvanger: Kan gebruikt gebruikt worden bij zowel de S11 als de S21.
Wordt deze gebruikt bij de S10 dan zal er geen digitale handtekening
ontvangen worden.
Artikelcode MSTS202
</t>
  </si>
  <si>
    <t xml:space="preserve">Ringsleutel gebogen 17mm. Volgens norm NEN-EN-IEC 60900,
(dompelisolatie) (VDE). Isolatie geheel omsloten. Van Chroom-vanadium
staal. Voor werkzaamheden aan spanningvoerende delen tot 1000V AC en
1500V DC.(GEDORE)
</t>
  </si>
  <si>
    <t xml:space="preserve">Steeksleutel 11mm, bek 15 graden gebogen. Volgens norm NEN-EN-IEC 60900,
(dompelisolatie) (VDE).Isolatie geheel omsloten. Van Chroom-vanadium
staal. Voor werkzaamheden aan spanningvoerende delen tot 1000V AC en
1500V DC. (KNIPEX)
</t>
  </si>
  <si>
    <t xml:space="preserve">Steeksleutel 13mm, bek 15 graden gebogen. Volgens norm NEN-EN-IEC 60900,
(dompelisolatie) (VDE).Isolatie geheel omsloten. Van Chroom-vanadium
staal. Voor werkzaamheden aan spanningvoerende delen tot 1000V AC en
1500V DC. (KNIPEX)
</t>
  </si>
  <si>
    <t xml:space="preserve">Inbussleutel Lemp 117970 6x200/90mm T-greep VDE T-greep VDE
Type: 117970 Inbussleutel T-greep Lemp
Extra lang
VDE 1000V
Isolatie van polyamide met glas vezel laag
Afmeting: 6x200/90mm
LxBxH: 21.5 x 10 x 2.1
</t>
  </si>
  <si>
    <t xml:space="preserve">Inbussleutel zeskant 4mm, lengte ca. 115mm in T-model, T-greep 90 á
100mm. Volgens norm NEN-EN-IEC 60900, (dompelisolatie) (VDE). Handgreep
dient volledig gesloten te zijn. Voor werkzaamheden aan spanningvoerende
delen tot 1.000 V AC en 1500V DC. (lemp)
</t>
  </si>
  <si>
    <t xml:space="preserve">Steeksleutel 22mm, bek 15 graden gebogen. Volgens norm NEN-EN-IEC 60900,
(dompelisolatie) (VDE).Isolatie geheel omsloten. Van Chroom-vanadium
staal. Voor werkzaamheden aan spanningvoerende delen tot 1000V AC en
1500V DC. (KNIPEX)
</t>
  </si>
  <si>
    <t xml:space="preserve">Dopschroevendraaier 6 kant 8 mm. Volgens norm NEN-EN-IEC 60900,
(voorzien van dompelisolatie) (VDE). Schacht van Chroom-vanadiumstaal,
doorgehard, gezwart. Direct op de schacht aangespoten isolatie. Met
inwendige boring voor uitstekende draadeinden. Handgreep voorzien van
zachte maar stevige grip. Voor werkzaamheden aan spanningvoerende delen
tot 1.000 V AC en 1500V DC. (wiha)
</t>
  </si>
  <si>
    <t xml:space="preserve">Dopschroevendraaier 6 kant 10mm. Volgens norm NEN-EN-IEC 60900,
(voorzien van dompelisolatie) (VDE). Schacht van Chroom-vanadiumstaal,
doorgehard, gezwart. Direct op de schacht aangespoten isolatie. Met
inwendige boring voor uitstekende draadeinden. Handgreep voorzien van
zachte maar stevige grip. Voor werkzaamheden aan spanningvoerende delen
tot 1.000 V AC en 1500V DC. (wiha)
</t>
  </si>
  <si>
    <t xml:space="preserve">Schroevendraaier zaagsnede 6mm, Lengte ca. 150mm. Volgens norm NEN-EN-
IEC 60900 (VDE). Schacht vervaardigd van vanadium speciaalstaal,
gesmeed. Direct op de schacht aangespoten isolatie die aan de voorzijde
volledig in de schacht is geïntegreerd. Ergonomische handgreep voorzien
van zachte maar stevige grip. Voor werkzaamheden aan spanningvoerende
delen tot 1.000 V AC en 1500 V DC. (wiha)
</t>
  </si>
  <si>
    <t xml:space="preserve">Schroevendraaier zaagsnede 2,5mm, Lengte ca. 75mm. Volgens norm NEN-EN-
IEC 60900 (VDE). Schacht vervaardigd van vanadium speciaalstaal,
gesmeed. Direct op de schacht aangespoten isolatie die aan de voorzijde
volledig in de schacht is geïntegreerd. Ergonomische handgreep voorzien
van zachte maar stevige grip. Voor werkzaamheden aan spanningvoerende
delen tot 1.000 V AC en 1500 V DC. (wiha)
</t>
  </si>
  <si>
    <t xml:space="preserve">Schroevendraaier zaagsnede 3mm, Lengte ca. 100mm. Volgens norm NEN-EN-
IEC 60900 (VDE). Schacht vervaardigd van vanadium speciaalstaal,
gesmeed. Direct op de schacht aangespoten isolatie die aan de voorzijde
volledig in de schacht is geïntegreerd. Ergonomische handgreep voorzien
van zachte maar stevige grip. Voor werkzaamheden aan spanningvoerende
delen tot 1.000 V AC en 1500 V DC. (wiha)
</t>
  </si>
  <si>
    <t xml:space="preserve">Schroevendraaier zaagsnede 3,5mm, Lengte ca. 100mm. Volgens norm NEN-EN-
IEC 60900 (VDE). Schacht vervaardigd van vanadium speciaalstaal,
gesmeed. Direct op de schacht aangespoten isolatie die aan de voorzijde
volledig in de schacht is geïntegreerd. Ergonomische handgreep voorzien
van zachte maar stevige grip. Voor werkzaamheden aan spanningvoerende
delen tot 1.000 V AC en 1500 V DC. (wiha)
</t>
  </si>
  <si>
    <t xml:space="preserve">Schroevendraaier zaagsnede 4,5mm, Lengte ca. 125mm. Volgens norm NEN-EN-
IEC 60900 (VDE). Schacht vervaardigd van vanadium speciaalstaal,
gesmeed. Direct op de schacht aangespoten isolatie die aan de voorzijde
volledig in de schacht is geïntegreerd. Ergonomische handgreep voorzien
van zachte maar stevige grip. Voor werkzaamheden aan spanningvoerende
delen tot 1.000 V AC en 1500 V DC. (wiha)
</t>
  </si>
  <si>
    <t xml:space="preserve">Schroevendraaier zaagsnede 5,5mm, Lengte ca. 125mm. Volgens norm NEN-EN-
IEC 60900 (VDE). Schacht vervaardigd van vanadium speciaalstaal,
gesmeed. Direct op de schacht aangespoten isolatie die aan de voorzijde
volledig in de schacht is geïntegreerd. Ergonomische handgreep voorzien
van zachte maar stevige grip. Voor werkzaamheden aan spanningvoerende
delen tot 1.000 V AC en 1500 V DC. (wiha)
</t>
  </si>
  <si>
    <t xml:space="preserve">Schroevendraaier zaagsnede 8mm, Lengte ca. 175mm. Volgens norm NEN-EN-
IEC 60900 (VDE). Schacht vervaardigd van vanadium speciaalstaal,
gesmeed. Direct op de schacht aangespoten isolatie die aan de voorzijde
volledig in de schacht is geïntegreerd. Ergonomische handgreep voorzien
van zachte maar stevige grip. Voor werkzaamheden aan spanningvoerende
delen tot 1.000 V AC en 1500 V DC. (wiha)
</t>
  </si>
  <si>
    <t xml:space="preserve">Schroevendraaier zaagsnede 10mm, Lengte ca. 200mm. Volgens norm NEN-EN-
IEC 60900 (VDE). Schacht vervaardigd van vanadium speciaalstaal,
gesmeed. Direct op de schacht aangespoten isolatie die aan de voorzijde
volledig in de schacht is geïntegreerd. Ergonomische handgreep voorzien
van zachte maar stevige grip. Voor werkzaamheden aan spanningvoerende
delen tot 1.000 V AC en 1500 V DC.(wiha)
</t>
  </si>
  <si>
    <t xml:space="preserve">Kabelhaspel met 50 meter snoer van 3x1,5mm2. 3xWCD+aarde,
spatwaterdicht, beschermingsgraad minimaal IP44, voorzien van 3
spatwaterdichte veiligheidsstopcontacten voorzien van zelfsluitende
afdekkleppen en oververhittingsbeveiliging
Haspel hoort bevestigd te zijn op een stevig en stabiel frame zodat het
goed weggezet kan worden bij werkzaamheden en voorzien van een
ergonomisch handvat.
</t>
  </si>
  <si>
    <t>Trap van Kunststof (3-treden);
Trap van Kunststof met 1x3 treden, volgens trappen norm NEN-EN 131, Geen
metalen delen aanwezig, bakje tbv gereedschap, UV-bestendig.
Fabrikant            Avanti
Fabriekstype Avanti 230
Stahoogte = 70 cm.</t>
  </si>
  <si>
    <t xml:space="preserve">Momenthandschroevendraaier 1,0 - 5,0 Nm, traploos instelbaar. Volgens
norm NEN-EN-IEC 60900 (VDE). Ergonomische handgreep voorzien van zachte
maar stevige grip. Bitopname voor bits met zaagsnede, PH, PZ en SL/PZ.
Voor werkzaamheden aan spanningvoerende delen van 1000V AC en 1500V DC.
(Bijbehorende bits voorzien van direct op de bit aangespoten isolatie
die aan de voorzijde volledig in de bit is geïntegreerd.)
Nauwkeurigheid: ±6%, herleidbaar naar nationale standaard.
Levering in praktische kunststof box, incl, instelschroevendraaier en
fabriekstest certificaat.
Bereik: 1 - 5Nm
Lengte: 138mm
</t>
  </si>
  <si>
    <t>PeCu prefab gasdienstleiding met  PE 40 mantelbuis -Zachtkoper Cu
35mmx1,5mm. Lengte 6,25 meter. -Aansluiting op PE40 mm SDR 17,6.
Pipelife overgangskoppeling PE-koper -Leiding zonder steunbus enkel
geschikt voor persfitting Met QA-keur. Toepassingsgebied klasse 0 tot 2.
Fabricaat: OCI.
Of
Peko dienstleiding PE 40 SDR17,6 mantelbuis met Cu 28 mm. Lengte 6,25
meter. Geschikt voor aansluiting op dienstleiding PE 40. Met PE-
koppeling. QA-keur Trekvast. ** buigzame PEKO met Pipelife-koppeling
**Toepassingsgebied klasse 0 tot 2.
Fabricaat: HSF.</t>
  </si>
  <si>
    <t>Afvalzak 700x110mm T=100mu transpar
AFZ.T7.0110L100T
Binnenste afvalzak tbv asbestverwijdering.
Transparant zonder opdruk.</t>
  </si>
  <si>
    <t xml:space="preserve">Drukregelaar met gasgebrekklep haaks.
Aansluiting: inlaat binnendraad Rp 3/4" x Rp 3/4"
Capaciteit (aardgas) = 12.5 m3/h
Pi max = 200 mbar
Pafslag = 15 mbar
Puit nom = 28 mbar.
Type WMRG 10 B 3/4" (26620).
Met inwendig filter. Haakse huisdrukregelaar met B-klep,
combinatieregelaar, combiklep. Gele dop. Merk gAvilar.
</t>
  </si>
  <si>
    <t>Schroefbus 3/8 "schroefdraad x 12 mm knel (eo)</t>
  </si>
  <si>
    <t>Schroefbus 1/2 "schroefdraad x 12 mm knel (eo)</t>
  </si>
  <si>
    <t>Schroefbus  ¼ "schroefdraad x 12 mm knel (eo)</t>
  </si>
  <si>
    <t xml:space="preserve">Kabelmantelsnijder tbv kunststof MS-kabel.
Ontmantelingsgereedschap Knipex 1640 150mm
Type: 16 40 150
Uitvoering: met glasvezel versterkte polyamide
Voor het verwijderen van de buitenste isolatielaag van de MS-kabel vanaf
een doorsnede van 25mm2
Snijdiepte van 0-5mm
</t>
  </si>
  <si>
    <t xml:space="preserve">Gripzak (afvalzak / asbestzak)
transparant PE
H = 300 mm x B = 400 mm
zonder opdruk, met drie schrijfvlakken.
</t>
  </si>
  <si>
    <t>Zaagblad tbv kabelmantelzaag (Dick 1460) met art. nr 20031008 (Seher)</t>
  </si>
  <si>
    <t xml:space="preserve">Zaagblad 120mm 24T fijn tbv kabelmantelzaag met artikelnummer 20000593
Nummer leverancier 430805
Tbv Kabelmantelzaag 430302 (LEMP)
</t>
  </si>
  <si>
    <t xml:space="preserve">Pijpsleutel 6/7mm. Gedore Type: 626 Pijpsleutel massieve uitvoering. Met
6-kant middenstuk en boorgaten (geheel in lengte doorboord) tbv gebruik
met steeksleutel of  passende wringstaaf.
DIN 896 vorm A, ISO 2236, ISO 1085, vanadium staal.
</t>
  </si>
  <si>
    <t xml:space="preserve">Pijpsleutel 8/9mm. Gedore Type: 626 Pijpsleutel massieve uitvoering. Met
6-kant middenstuk en boorgaten (geheel in lengte doorboord) tbv gebruik
met steeksleutel of  passende wringstaaf.
DIN 896 vorm A, ISO 2236, ISO 1085, vanadium staal.
</t>
  </si>
  <si>
    <t xml:space="preserve">Pijpsleutel 10/11mm. Gedore Type: 626 Pijpsleutel massieve uitvoering.
Met 6-kant middenstuk en boorgaten (geheel in lengte doorboord) tbv
gebruik met steeksleutel of  passende wringstaaf.
DIN 896 vorm A, ISO 2236, ISO 1085, vanadium staal.
</t>
  </si>
  <si>
    <t xml:space="preserve">Pijpsleutel 12/13mm. Gedore Type: 626 Pijpsleutel massieve uitvoering.
Met 6-kant middenstuk en boorgaten (geheel in lengte doorboord) tbv
gebruik met steeksleutel of  passende wringstaaf.
DIN 896 vorm A, ISO 2236, ISO 1085, vanadium staal.
</t>
  </si>
  <si>
    <t xml:space="preserve">Pijpsleutel 14/15mm. Gedore Type: 626 Pijpsleutel massieve uitvoering.
Met 6-kant middenstuk en boorgaten (geheel in lengte doorboord) tbv
gebruik met steeksleutel of  passende wringstaaf.
DIN 896 vorm A, ISO 2236, ISO 1085, vanadium staal.
</t>
  </si>
  <si>
    <t xml:space="preserve">Pijpsleutel 16/17mm. Gedore Type: 626 Pijpsleutel massieve uitvoering.
Met 6-kant middenstuk en boorgaten (geheel in lengte doorboord) tbv
gebruik met steeksleutel of  passende wringstaaf.
DIN 896 vorm A, ISO 2236, ISO 1085, vanadium staal.
</t>
  </si>
  <si>
    <t xml:space="preserve">Pijpsleutel 18/19mm. Gedore Type: 626 Pijpsleutel massieve uitvoering.
Met 6-kant middenstuk en boorgaten (geheel in lengte doorboord) tbv
gebruik met steeksleutel of  passende wringstaaf.
DIN 896 vorm A, ISO 2236, ISO 1085, vanadium staal.
</t>
  </si>
  <si>
    <t xml:space="preserve">Pijpsleutel 20/22mm. Gedore Type: 626 Pijpsleutel massieve uitvoering.
Met 6-kant middenstuk en boorgaten (geheel in lengte doorboord) tbv
gebruik met steeksleutel of  passende wringstaaf.
DIN 896 vorm A, ISO 2236, ISO 1085, vanadium staal.
</t>
  </si>
  <si>
    <t xml:space="preserve">Pijpsleutel 24/27mm. Gedore Type: 626 Pijpsleutel massieve uitvoering.
Met 6-kant middenstuk en boorgaten (geheel in lengte doorboord) tbv
gebruik met steeksleutel of  passende wringstaaf.
DIN 896 vorm A, ISO 2236, ISO 1085, vanadium staal.
</t>
  </si>
  <si>
    <t xml:space="preserve">Pijpsleutel 30/32mm. Gedore Type: 626 Pijpsleutel massieve uitvoering.
Met 6-kant middenstuk en boorgaten (geheel in lengte doorboord) tbv
gebruik met steeksleutel of  passende wringstaaf.
DIN 896 vorm A, ISO 2236, ISO 1085, vanadium staal.
</t>
  </si>
  <si>
    <t xml:space="preserve">Draaistroom 4-leider statische kWh-meter voor directe aansluiting.
230/400V; 50Hz
Din- rail uitvoering.
Volgens algemeen van toepassing zijnde ne NEN-EN normen
</t>
  </si>
  <si>
    <t>Statief voor bouwlamp, 3 poot, voorzien van ondersteuning per poot tgv
stabiliteit. Hoogte instelbaar van 130-ong.300cm.</t>
  </si>
  <si>
    <t xml:space="preserve">Meterbord 220x330x50mm
GE (voorheen)
naam: Meterbord MB330/220 (Blauw)
type: 40200311
ABB (huidig)
naam: Meterbord 220x330mm
type: HAM220x330/1 (inkoop per stuk)
type: HAM220x330/10 (Inkoop per 10st)
</t>
  </si>
  <si>
    <t>Schroevendraaier Kruiskop PZ-0 Volgens norm NEN-EN-IEC 60900 (VDE).
Schacht van vadium staal gesmeed.  Direct op de schacht aangespoten
isolatie die aan de voorzijde volledig in de schacht is geïntegreerd.
Ergonomische handgreep voorzien van zachte maar stevige grip. Voor
werkzaamheden aan spanningvoerende delen tot 1.000 V AC en 1500 V DC.
(wiha)</t>
  </si>
  <si>
    <t xml:space="preserve">Kabelselectie stroomslang S220, deze is alleen te gebruiken icm de
kabelselectie ontvanger S20
Artikelcode : MSTS220
</t>
  </si>
  <si>
    <t xml:space="preserve">Kabelsectie zender S21
voor het selecteren van spanningsloze kabels.
- netvoeding, accuvoeding 12 VDC en interne batterij
- Artikelcode : MSTS21
</t>
  </si>
  <si>
    <t>Scharnierbeugel t.b.v. K-bord:
bord alu -K- (kabel) 500x500mm Liander (20034091)</t>
  </si>
  <si>
    <t>Compressor Insteeknippel.
Aanbevolen door leverancier.
Insteeknippel Orion 48503 1/4" bi.dr., voor 1/4"koppeling
Te gebruiken bij Orion snelkoppeling 44516-1/4".
Behoort bij compressor compleet met artikelnummer 20038232</t>
  </si>
  <si>
    <t>Compressor Snelkoppeling:
Aanbevolen door leverancier.
Snelkoppeling Orion 44516 1/4" bi.dr.
Type: 44516.
Snelkoppeling, luchtdoorlaat 1000 l/min, bij werkdruk van 10 bar met
1/4"" binnendraad.
Behoort bij compressor compleet met artikelnummer 20038232</t>
  </si>
  <si>
    <t>Compressor Spiraalleiding, handzame leiding met voldoende lengte en
bestand tegen minimaal 8 bar. Knikvrije spiraalleiding met
draaikoppelingen. Koppelingen voorzien van ¼" buitendraad.
Aanbevolen door leverancier.
Spiraalleiding Red Rooster PT-02525SJ 1/4"x5m, 9,5x6,5mm blauw PU bu.dr.
2 x BSPT buitendraad. Compleet met draaikoppelingen. Knikvrij. Maximale
werkdruk: 8 bar
Behoort bij compressor compleet met artikelnummer 20038232</t>
  </si>
  <si>
    <t>Compressor, Blaaspistool met lange nozzle en lange blaaspijp met
aansluiting van ¼".
Aanbevolen dor leverancier:
Blaaspistool ANI 25/B2-E. Aansluiting: 1/4"
Behoort bij compressor compleet met artikelnummer 20038232</t>
  </si>
  <si>
    <t xml:space="preserve">Dubbele nippel malleable, buitendraad-buitendraad 1". nr280.
</t>
  </si>
  <si>
    <t>Verloopring malleable, buitendraad-binnendraad 1½"x¾". nr241.</t>
  </si>
  <si>
    <t xml:space="preserve">Verloopring malleable, buitendraad-binnendraad ¾"x½". nr241.
</t>
  </si>
  <si>
    <t>Sok malleable binnendraad-binnendraad 1". nr270.</t>
  </si>
  <si>
    <t>Verloopsok malleable binnendraad-binnendraad ¾"x½". nr240.</t>
  </si>
  <si>
    <t>Verloopsok malleable binnendraad-binnendraad 1½"x1". nr240.</t>
  </si>
  <si>
    <t>Soknippel verloop, verloopsok nippel malleable binnendraad-buitendraad
½"x¾". nr246.</t>
  </si>
  <si>
    <t>Soknippel verloop, verloopsok nippel malleable binnendraad-buitendraad
1¼"x¾". nr246.</t>
  </si>
  <si>
    <t xml:space="preserve">Soknippel verloop, verloopsok nippel malleable binnendraad-buitendraad
1½"x1". nr246
</t>
  </si>
  <si>
    <t xml:space="preserve">Dop zeskant. Malleable fitting binnendraad ¾". nr300.
</t>
  </si>
  <si>
    <t xml:space="preserve">Dop zeskant. Malleable fitting binnendraad 1". nr300.
</t>
  </si>
  <si>
    <t>Syntho-Glass geïmpregneerde fiberglasdoek composiet die door middel
water kan worden geactiveerd. Breedte 50 mm , lengte 1500 mm.</t>
  </si>
  <si>
    <t>Syntho-Glass geïmpregneerde fiberglasdoek composiet die door middel
water kan worden geactiveerd. Breedte 76 mm , lengte 2700 mm.</t>
  </si>
  <si>
    <t xml:space="preserve"> Houten balken 100 x 7 x 7 cm,
voor ondersteuning buislevering
</t>
  </si>
  <si>
    <t xml:space="preserve">Gasdrukregelaar, merk: Fiorentini. Type: Dival 600 veerbelast met
geintegreerde veiligheidafslagklep. Nominale diameter: DN50 / PN16 / 4
gats. Inbouwmaat 254mm. Ingeregeld op een uitlaatdruk van +/- 100mbar.
Geschikt voor een omgevings temperatuur van -20°C tot +70°C. Off-shore
waardig geconserveerd.
</t>
  </si>
  <si>
    <t xml:space="preserve">Gasdrukregelaar, merk: Fiorentini. Type: Dival 600 veerbelast met
geintegreerde veiligheidafslagklep. Nominale diameter: DN50 / PN16 / 4
gats. Inbouwmaat 254mm. Ingeregeld op een uitlaatdruk van +/- 30mbar.
Geschikt voor een omgevings temperatuur van -20°C tot +70°C. Off-shore
waardig geconserveerd.
</t>
  </si>
  <si>
    <t xml:space="preserve">Gasdrukregelaar, merk: Fiorentini. Type: Reval 182 gasgestuurd met
geintegreerde veiligheidafslagklep type VD93. Nominale diameter: DN50 /
PN16 / 4 gats. Inbouwmaat 254mm. Ingeregeld op een uitlaatdruk van +/-
100mbar. Geschikt voor een omgevings temperatuur van -20°C tot +60°C.
Off-shore waardig geconserveerd.
</t>
  </si>
  <si>
    <t xml:space="preserve">Gasdrukregelaar, merk: Fiorentini. Type: Reval 182 gasgestuurd met
geintegreerde veiligheidafslagklep type VD93. Nominale diameter: DN50 /
PN16 / 4 gats. Inbouwmaat 254mm. Ingeregeld op een uitlaatdruk van +/-
30mbar. Geschikt voor een omgevings temperatuur van -20°C tot +60°C.
Off-shore waardig geconserveerd.
</t>
  </si>
  <si>
    <t xml:space="preserve">Snijr.kopp. recht 12mm x bu bsp 1/8"
</t>
  </si>
  <si>
    <t xml:space="preserve">Snijr.kopp. knie 12mm x bu BSP1/8"
</t>
  </si>
  <si>
    <t xml:space="preserve">Stalen verloopring, inwendige gasdraad 1/2", uitwendige gasdraad 3/4",
gegalvaniseerd.
</t>
  </si>
  <si>
    <t>Dubbele nippel staal 3/4" x 3/4" buitendraad.</t>
  </si>
  <si>
    <t xml:space="preserve">Isolatiebuis tbv M16 bout. Lengte = 1 meter.
</t>
  </si>
  <si>
    <t xml:space="preserve">Isolatiebuis tbv M20 bout. Lengte = 1 meter.
</t>
  </si>
  <si>
    <t xml:space="preserve">Inspectiespiegel KS-Tools 1171630 175mm VDE
Inspectie spiegel tbv controle contacten op moeilijk zichtbare plekken
na montage. Volgens norm NEN-EN-IEC 60900, (dompelisolatie) (VDE).
Isolatie geheel omsloten. Om werkzaamheden te checken nabij
spanningvoerende delen tot 1000V AC en 1500V DC.
</t>
  </si>
  <si>
    <t xml:space="preserve">Stootijzer DeWit 7201 30x140/100cm blauw vierkant met knop
Type: 7201
Blauwe hamerslag gelakt met beitel en opgestuikte knop met vierkant
onderstuk.
Lengte:1400 mm.
Steeldiameter: 28 mm.
Vierkant onderstuk: 1000 mm.
</t>
  </si>
  <si>
    <t>Insteek lasklem 1-2,5 mm2 5x transparant</t>
  </si>
  <si>
    <t>Rrotatieschiller GF 200009327 d25t/md63 SDR11/SDR17,6</t>
  </si>
  <si>
    <t xml:space="preserve">Diametermeter om te buistolerantie te meten
Diametermeter GF 700671292
</t>
  </si>
  <si>
    <t xml:space="preserve">Ronddrukklem  tbv PE buis 200mm
Ronddrukklem GF 200009839 200mm tbv PE buis
</t>
  </si>
  <si>
    <t xml:space="preserve">Guillotineschaar DJPS HPC4 63t/m125mm HPC4
Type: DJPS HPC4
Guillotineschaar voor het snijden van polyethyleen buizen. Met Teflon
bekleed.
Buisdiameter: 63 t/m 125 mm.
</t>
  </si>
  <si>
    <t xml:space="preserve">Guillotineschaar DJPS HPC8 90t/m225mm HPC8
Type: DJPS HPC8
Guillotineschaar voor het snijden van polyethyleen buizen. Met Teflon
bekleed.
Buisdiameter: 90 t/m 225 mm.
</t>
  </si>
  <si>
    <t xml:space="preserve">Lasklem tbv PE diameter 250mm
Lasklem GF 200009865 250mm tbv PE buis
</t>
  </si>
  <si>
    <t xml:space="preserve">Lasklem tbv PE diameter 315mm
Lasklem GF 200009915 315mm tbv PE buis
</t>
  </si>
  <si>
    <t xml:space="preserve">Lasklem 6 voudig GF 63-200mm tbv PE buis
Lasklem GF 200009315 63-200mm 6vdg tbv PE buis
Toevoeging:
Per set verpakken!
</t>
  </si>
  <si>
    <t>Reservemes tbv de kabelmantelsnijder,
van knipex met artikelnummer 20038034,
(Reservemes Knipex 1649150 voor kabelmantesnijder 1640)</t>
  </si>
  <si>
    <t>Montagehulpstuk set compleet
Montagehulpstuk set 63/110/160/200/250/315.
Type: MHSTD2000 set.
Materiaal: polyethyleen.
Montagehulp set. Standaard voor het verhogen van de kwaliteit van
verbindingen waardoor in de toekomst minder lekken zullen ontstaan.
Daarnaast wordt de montagetijd voor een overschuifmof tot een minimum
beperkt.
De set bestaat uit 2 hulpstukken voor elke gangbare diameter. De
bovenkant van het hulpstuk heeft de vorm van een kegel. Het dikste deel
van de kegel heeft dezelfde diameter als de buitenkant van de PVC-
leiding. Het onderste deel van het hulpstuk is een cilinder. Dit deel
wordt in de PVC leiding geplaatst waardoor het hulpstuk goed wordt
gecentreerd ten opzichte van de leiding. De overschuifmof kan nu
gemakkelijk over de kegel op de leiding geschoven worden.
Inhoud set (van elk 2 stuks):
• Montagehulp overschuifmof 63
• Montagehulp overschuifmof 110
• Montagehulp overschuifmof 160
• Montagehulp overschuifmof 200
• Montagehulp overschuifmof 250
• Montagehulp overschuifmof 315</t>
  </si>
  <si>
    <t>Montagehulpstukken voor  pvc overschuif mof
(1 set = 2 stuks)</t>
  </si>
  <si>
    <t xml:space="preserve">Inbus slagdop 1/2"x4mm (DO696304A)
(te gebruiken icm art. 20036998)
</t>
  </si>
  <si>
    <t xml:space="preserve">Inbus slagdop 1/2"x5mm (DO696305A)
(te gebruiken icm art. 20036998)
</t>
  </si>
  <si>
    <t xml:space="preserve">Inbus slagdop 1/2"x8mm (DO696308A)
(te gebruiken icm art. 20036998)
</t>
  </si>
  <si>
    <t xml:space="preserve">Inbus slagdop 1/2"x10mm (DO696310A)
(te gebruiken icm art. 20036998)
</t>
  </si>
  <si>
    <t xml:space="preserve">Inbus slagdop 1/2"x12mm (DO696312A)
(te gebruiken icm art. 20036998)
</t>
  </si>
  <si>
    <t xml:space="preserve">Blikschaar (Doorloopschaar) extra gehard
- rechtsknippend
- zelfopenend door ingebouwde veer, met vastzetter
- bekken gepolijst
- plaatdikte max. 1 mm (bij 400 N/mm2).
(Gedore 424026)
</t>
  </si>
  <si>
    <t xml:space="preserve">Tegenhouder voor schroefverbinders. De tegenhouder is volledig
geisoleerdvolgens norm NEN-EN-IEC 60900, (dompelisolatie) (VDE). Voor
werkzaamheden aan spanningvoerende delen tot 1.000 V AC en 1500V DC
Dit gereedschap wordt gebruikt om schroefverbinders vast te houden
tijdens de montage door middel van een traploos klemsysteem.
Toepassingsbereik : 14 - 40 mm.
</t>
  </si>
  <si>
    <t xml:space="preserve">Aardingsadapter voor (verlengen) LS-aardingsmes
Aardingsadapter voor het verlengen van het geisoleerde steekmes wat zit
in de LS-aardingskoffer (20037670). De adapter is volledig geisoleerd.
De adapter mag alleen worden toegepast icm het grote geisoleerde
steekmes uit de LS-koffer met art 20037670 waar het geisoleerde steekmes
te kort is.
</t>
  </si>
  <si>
    <t xml:space="preserve">Klinkertrekker voor het eenvoudig uithalen van klinkers.
Lengte 900mm, Inclusief messen
Type: 0108
Klinkertrekker lengte 900mm
Afmeting: 210 x 300mm
Gewicht: 5860gr
</t>
  </si>
  <si>
    <t xml:space="preserve">Mes tbv Klinkentrekker voor het eenvoudig uithalen van klinkers.
Mes De wit 0109 voor klinkertrekker 0108
Type: 0109
Mesje voor klinkertrekker
Afmeting: 80 x 33 x 3mm
Gewicht: 60gr
</t>
  </si>
  <si>
    <t>Oplegslotkast met paniekontgrendeling
links (draairichting 3)
Slotkast opleg als vervanger zgn. Snapslot
t.b.v. MS ruimen
geschikt voor europrofielcilinder 17 mm.
Messing slotkast.
Messing nachtschoot,
6 mm voorstaand.
Messing binnenwerk
Met trekknopinrichting, geschikt voor bevestiging paniekbalk
Enkeltours,
met uitval van 13 mm (totaal 19 mm)
Nemef 1543 K/5 LS=DINR</t>
  </si>
  <si>
    <t>Oplegslotkast met paniekontgrendeling
rechts (draairichting 4)
Slotkast opleg als vervanger van zgn Snapslot
t.b.v. MS ruimen
geschikt voor europrofielcilinder 17 mm.
Messing slotkast.
Messing nachtschoot,
6 mm voorstaand.
Messing binnenwerk
Met trekknopinrichting,
geschikt voor bevestiging paniekbalk
Enkeltours,
met uitval van 13 mm (totaal 19 mm)
Nemef 1543 K/5-RS=DINL</t>
  </si>
  <si>
    <t>Letterblokje, zwarte opdruk "G", achtergrond geel, afmetingen: 15 x 7
mm.</t>
  </si>
  <si>
    <t>Letterblokje, zwarte opdruk "R", achtergrond geel, afmetingen: 15 x 7
mm.</t>
  </si>
  <si>
    <t xml:space="preserve">Rail aftak klem
raildikte max 5 mm (vlakke rail)
aftak (aarddraad) max 70 mm2.
breedte klem = 14 mm.
</t>
  </si>
  <si>
    <t>Buispatroon 25A aM10x38mm</t>
  </si>
  <si>
    <t xml:space="preserve">Asbestzak (extra sterk) 80X120
De asbestzak dient bestand te zijn tegen scherpe materialen
(vonkenschotten).
Op de zak moet duidelijk, in het Nederlands, staan aangeven dat deze
geschikt is voor asbestmaterialen. De zak dient ook eenvoudig
afsluitbaar te zijn.
</t>
  </si>
  <si>
    <t>Pijpsnijder voor buis 6-28mm met ratel. (Ridgid)</t>
  </si>
  <si>
    <t xml:space="preserve">Zegelkap v deksel huisaansluitkast
GE (voorheen)
naam: Zegelkap 2049.001 ABB
type: 602942
ABB (huidig)
naam: Zegelkapje
type: 2049.001
</t>
  </si>
  <si>
    <t xml:space="preserve">Lamellen schijf voor een schoon werkoppervlak te creëren voor het
aanbrengen van pin braze verbinding. (stalenleiding – KB meetkabel)
Type: Blaze Rapid Strip
Schuurschijf voorzien van Norton SG keramische aluminium oxide mineralen
in zware bestrooiing.
Veelzijdig tijdens het gebruik, weinig druk voor oppervlakte finishing
toepassingen, meer druk maakt de schijf geschikt voor zwaarder
schuurwerk, ontlakken en ontroesten.
Uitvoering: verdiept centrum.
Diameter: 125 mm.
Asgat: 22 mm.
</t>
  </si>
  <si>
    <t>Oplegslotkast zonder paniekontgrendeling
links (draairichting 3)
Toepassing voor hekwerken.
Messing opleg enkeltoer sloten met geperste messing kast.
Uitsparing voor profielcilinder. Uitvoering zonder cilinder.
Verpakt per stuk.
Uitval 22 mm (totaal 25 mm)
Nemef 1522 K/5-LS=DINR</t>
  </si>
  <si>
    <t>Oplegslotkast zonder paniekontgrendeling
rechts (draairichting 4)
Toepassing voor hekwerken.
Messing opleg enkeltoer sloten met geperste messing kast.
Uitsparing voor profielcilinder. Uitvoering zonder cilinder.
Verpakt per stuk.
Uitval 22 mm (totaal 25 mm)
Nemef 1522 K/5-RS=DINL</t>
  </si>
  <si>
    <t xml:space="preserve">Assortimentskoffer Stanley 1-97-510 44,6x11,6x35,7cm kunststof
FatMax Professionele Organizer voorzien van 10 uitneembare bakjes voor
kleine onderdelen en onbreekbare deksel houdt alle onderdelen op hun
plaats. De assortimentskoffer is stapelbaar en vergrendelbaar voor
transport.
Assortiment doos  cq  sorteerdoos  kunstof   10 vakken met diverse
maten.
Artikel is nodig voor sanering werkzaamheden meterkast om verschillende
sokken kranen en andere onderdelen te sorteren per diameter gasbuis
afmeting.
Type: 1-97-521
Afmetingen: 44,6 x 11,6 x 35,7 cm.
Ean 3253561975219
</t>
  </si>
  <si>
    <t>2-delige membraankraankoppeling
G1" WM x G1" buitendraad (warteldraad)
incl. pakkingring.
Materiaal; metaal messing CuZn39Pb3 / Rubber NBR.
Normen:
ISO 228-1, NEN 2545. NEN2544, NEN 2542, NEN 2284 uitvoering "m".
Puntstuk heeft geen borging (neus) voor pakkingring,
wel voorzien van 1,5 mm centreerspie.</t>
  </si>
  <si>
    <t>Batterij Procell Low Drain 1,5V LR03 AAA alkaline niet oplaadbaar. Doos
a 10 stuks.</t>
  </si>
  <si>
    <t>Batterij Procell Low Drain 1,5V LR06 AA alkaline niet oplaadbaar. Doos
10 stuks.</t>
  </si>
  <si>
    <t>Batterij Procell LR14C 1.5V niet oplaadbaar. Type: LR14C, krachtige
alkalinebatterij met een groot temperatuurbereik en hoge weerstand tegen
trillingen en stoten. Vrij van kwik en cadmium. Formaat: LR14C. Staaf
vorm.</t>
  </si>
  <si>
    <t>Schroefpatroonhouder Wohner 31173 D2 25A 1polig
Schroefpatroonhouder voor railmontage D-2 max. 25A.
Aantal polen: 1.
Montagewijze: DIN-rail, opklikbaar en schroefbaar.
Nominale (meet) spanning: 500 V.
Nominale (meet)stroom: 25A.
Materiaal: kunststof.</t>
  </si>
  <si>
    <t xml:space="preserve">Schroefpatroonhouder Wohner 31175 D3 63A 1polig 690V E33 v railmontage
Schroefpatroonhouder voor railmontage D-3 max. 63A.
Aantal polen: 1.
Montagewijze: DIN-rail, opklikbaar en schroefbaar.
Nominale (meet) spanning: 500 V.
Nominale (meet)stroom: 63A.
Materiaal: kunststof.
</t>
  </si>
  <si>
    <t xml:space="preserve">Afsluitstop die gebruikt kan worden in situaties waar het niet anders
mogelijk is, om met kortstondig gasuitstroom, een dienst Leiding of
ander gashulpstuk gas-loos te maken.
Afsluitstop ½" (20200181, Esskon)
</t>
  </si>
  <si>
    <t xml:space="preserve">Afsluitstop die gebruikt kan worden in situaties waar het niet anders
mogelijk is, om met kortstondig gasuitstroom, een dienst Leiding of
ander gashulpstuk gas-loos te maken. Afsluitstop 3/4" (20200242, Esskon)
</t>
  </si>
  <si>
    <t xml:space="preserve">Afsluitstop die gebruikt kan worden in situaties waar het niet anders
mogelijk is, om met kortstondig gasuitstroom, een dienst Leiding of
ander gashulpstuk gas-loos te maken. Afsluitstop 1" (20200243, Esskon)
</t>
  </si>
  <si>
    <t xml:space="preserve">Afsluitstop die gebruikt kan worden in situaties waar het niet anders
mogelijk is, om met kortstondig gasuitstroom, een dienst Leiding of
ander gashulpstuk gas-loos te maken. Afsluitstop 1.1/4" (20200244,
Esskon)
</t>
  </si>
  <si>
    <t xml:space="preserve">Afsluitstop die gebruikt kan worden in situaties waar het niet anders
mogelijk is, om met kortstondig gasuitstroom, een dienst Leiding of
ander gashulpstuk gas-loos te maken. Afsluitstop 1.1/2" (20200245,
Esskon)
</t>
  </si>
  <si>
    <t xml:space="preserve">Afsluitstop die gebruikt kan worden in situaties waar het niet anders
mogelijk is, om met kortstondig gasuitstroom, een dienst Leiding of
ander gashulpstuk gas-loos te maken. Afsluitstop 2" (20200246, Esskon)
</t>
  </si>
  <si>
    <t>Opzetstuk voor aanboorzadel,
Polsafe,
Materiaal: PVC-slagvast (CPE / PVC-A),
kleur: geel,
afmetingen: 50 mm x 1.1/2",
SDR17,6,
Voldoet aan NEN-EN 1555-2.
Gastec Qa-merk.</t>
  </si>
  <si>
    <t xml:space="preserve">Aardset aansluit rail t.b.v. LS kast
Het samengestelde pakketje bestaat uit:
Koper strip 30x5 L=155mm met 2x blindklinkmoer M10 Aantal:1x,
Delrin bus 30x25mm met gat rond 10,5mm Aantal:1x,
Slotbout RVS M10x60mm (vol draad) Aantal:1x,
Zeskantbout RVS M10x25mm Aantal:1x,
Veerring M10 RVS Aantal:4x,
Moer M10 RVS Aantal:3x,
Schotelveer M10 RVS Aantal:2x,
Kartelring M10 RVS Aantal:2x,
Perskabelschoen  25mm2 Cu gat=11mm Aantal:1x,
C-klem 25mm2 / 25mm2 Aantal:1x,
Draad 25mm2 samengeslagen Aantal:1 meter,
</t>
  </si>
  <si>
    <t xml:space="preserve">Aardset aansluit rail t.b.v. LS rek (Friesland)
Set bestaat uit:
Koper strip
Verbindingskabel
afstandbussen
bevestingsbouten ringen en pluggen
</t>
  </si>
  <si>
    <t>Gasmeteropstelling G4/6-30 mBar+Bklep Cu28 perskoppeling 1 MI36956
A-doos 389 x 189 x 108 inw. B-golf, kraft-test, 1810 NF efco: 0201,1
Stnd AM VW DS
Sluitnaad: GluenB
Bedrukking: KZ logo incl. tekst (zwart)e n recycle-logo. 1 MI37150.
Onderdelenset G4-J 2 OB45087.
Kooimoer M6 SMG-8, verzinkt.
1 OB45122 Muursteun GOB-KZ-AL-1, Sendz. verzinkt.
1 OB45604 Geassembleerde meterbeugel AL2 met B-klep compleet met
drukmeetnippel (EDN), wartels, enz.
2 VZ40656 Verzegelkap Geel 27,4-33 (¾") uit kunststof, met kliksluiting.
Onderdelenset G4-J 1 IT11165
Rechte Safeline kogelkraan DN 20, G 1" bu x 28 mm Profipress
1 OB43021 Aluminium afsluitdop t.b.v. KZ-AL-2/3
1 OB43024 Borgring voor boring 32,3x2 slotopening min 10mm.
2 OB43026 O-ring 27 x 3 - NBR 70gr.
1 OB43045 Alu neusstuk haaks KZ-AL-2 - DN 20, klik x 1" wartel, compleet
4 OB43901 Zeskant plaatbout 6.3x25 mm, met punt en onverliesbare ring,
voorzien van Torx-30. DIN-7976C kwaliteit 4.8 verzinkt.
2 OB45088 Vlakke sluitring DIN9021 (3 x d), M6, verzinkt 2 OB45090
Zeskanttapbout 8.8, verzinkt, DIN 933, M6 x 25 1 OB45195 O-ring d
raadpluggen geel HDPE draadmaat 3/4" x 14 (model SR1125).</t>
  </si>
  <si>
    <t>Metaalschroef  M8x30 elvz bck kk 200st (ALL)
Metaalschroef
Afmeting: M8x30
Opp. Bescherming: ELVZ
Uitvoering: BolCilinderKop
Verpakkingseenheid: doos a200st</t>
  </si>
  <si>
    <t>Blindklinkmoertang voor minimaal M8, M10, M12.
Is geschikt voor verschillende soorten/type blindklinkmoeren.
(Bollhoff, M2007)</t>
  </si>
  <si>
    <t>Pijpsleutel 6/7mm.
Bahco pijpsleutel massieve uitvoering.
Met 6-kant middenstuk en boorgaten (geheel in lengte doorboord) tbv
gebruik met steeksleutel of  passende wringstaaf.</t>
  </si>
  <si>
    <t>Universele kruissleutel
(driekant, vierkant, halve maan en Kaalfix)
Type: 3K-4K-HM-KF
Kruissleutel ten behoeve van het openen en sluiten van mastdeuren,
geheel vervaardigd uit RVS. De meeste masten in Nederland worden
geleverd met een driekantsluiting, een vierkantsluiting, een halve
maansluiting of een kaalfix-sluiting. Met deze kruissleutel kunt u al
deze soorten sluitbouten verwerken.</t>
  </si>
  <si>
    <t>Cockpitspray Motip 000703 600ml mat
Type: 000703
Cockpitspray met uitstekende reinigende eigenschappen, voor het
reinigen, beschermen en verfraaien van het dashboard en overige
kunststof onderdelen in de auto. Deze spray heeft een subtiele geur
(citrus), is vuilafstotend, antistatisch en geeft een duurzame glans.
Dit product bevat siliconen en heeft een 360° ventiel.
Inhoud: 600 ml.</t>
  </si>
  <si>
    <t xml:space="preserve">PVC steunschalen set 75 mm voor HDPE (SDR17,6). Set van 2 stuks
</t>
  </si>
  <si>
    <t xml:space="preserve">Malleable fitting, knie 90˚. Binnendraad-buitendraad 1". nr92
</t>
  </si>
  <si>
    <t>Type: MFX 20-VO
Blindklinkmoer standaard open type voorzien van verzonken kop.
Afmeting: M8.
Materiaaldikte: 1 - 4 mm.
Materiaal: aluminium.
Verpakkingseenheid: doos à 250 stuks.</t>
  </si>
  <si>
    <t>Optische tester tbv glasvezel
Optische tester voor te testen van de glasvezel wat toegepast wordt bij
de GSM Kortsluitverklikkers (KSV) in de midden spanning.
Type 49-0109-002</t>
  </si>
  <si>
    <t>Kabelmantelsnijder, meshouder voor art. 20038034.
(meshouder Knipex 164915001 tbv knipex 1640)
Reservemeshouder Knipex 164915001 200mm tbv 1640</t>
  </si>
  <si>
    <t xml:space="preserve">Rotatie schiller reserve mes met twee snijkanten tbv PE rotatieschiller.
....
Reservemes De Jongh 63 t/m 315mm t.b.v. rotatieschrapers
Reservemes geschikt voor rotatieschrapers 63 mm t/m 315 mm.
Wordt compleet geleverd in cassette inclusief montage toebehoren.
</t>
  </si>
  <si>
    <t xml:space="preserve"> NE-schuim 2-C brand en rookwerend koker 2-Componenten NE brand- en
rookwerende schuim; koker á 380ml; per stuk in zak verpakt incl, 5x
mengopzetstuk, 3x verlengstukken, handleiding NL; Voorzien van CE-keur.
</t>
  </si>
  <si>
    <t>Armaflex AF-4-035-A; nom. 19mm wanddikte; Voorzien van radiale en axiale
zelfklevende strips in slang en externe tape-laag om openbreken te
voorkomen;  L=500mm; Slang is onderdeel van CE-keur.</t>
  </si>
  <si>
    <t>Armaflex AF-4-042-A; nom. 19mm wanddikte; Voorzien van radiale en axiale
zelfklevende strips in slang en externe tape-laag om openbreken te
voorkomen;  L=500mm; Slang is onderdeel van CE-keur.</t>
  </si>
  <si>
    <t>Armaflex AF-4-054-A; nom. 19mm wanddikte; Voorzien van radiale en axiale
zelfklevende strips in slang en externe tape-laag om openbreken te
voorkomen;  L=500mm; Slang is onderdeel van CE-keur.</t>
  </si>
  <si>
    <t xml:space="preserve"> Armaflex AF-19mm-A-S100 op rol; L= 6mtr, breedte 100mm, dikte 19 mm.
Voorzien van zelfklevende rug; Tape is onderdeel van CE-keur.</t>
  </si>
  <si>
    <t>Mengtuit incl. verlengstuk voor 2K-NE brand- en rookwerende schuim;
In zak verpakt van 12 stuks.</t>
  </si>
  <si>
    <t>Schuimpistool (hand) standaard,
voor 2-componenten brand- en rookwerende schuim.</t>
  </si>
  <si>
    <t xml:space="preserve">Lotion voor Hand&lt;(&gt;&amp;&lt;)&gt;Body 250ml; Parfumvrije handcrème met verzorgende
huidvriendelijke eigenschappen.
 Kenmerken:
- beschermt tegen de schadelijke effecten veroorzaakt door werk- en
weeromstandigheden
- huidverzorgende bestandsdelen: Aloe Vera, Propyleen Glycol, Ureum
- bevordert het natuurlijke herstelproces van de huid
- zorgt ervoor dat de huid zacht en soepel blijft
- trekt snel in de huid
</t>
  </si>
  <si>
    <t>Blinklinkmoer M5 lengte 14mm aluminium met verzonken kop.
Geleverd in doos van 250 stuks.</t>
  </si>
  <si>
    <t>Parapluhouder waarmee de paraplu’s stevig in de grond verankerd kunnen
worden. De houder bestaat uit een stalen buis met twee voetstukken om
het in de grond te duwen. De buis van de parasol dient goed gefixeerd te
kunnen worden in stalen buis.</t>
  </si>
  <si>
    <t xml:space="preserve">Ampertang met open bek, meetbereik tot 100Amp. Voor gebruik in kleine
ruimtes, bijvoorbeeld in (oudere) huisaansluitkasten voor het
lokaliseren van tariefstoringen.
Type Kyoritsu KEW2300R
Type: 2300 R
- AC/DC stroom: 0,1 100 A True RMS.
- Klauwopening: 10 mm.
- Contactloze spanningsdetectie.
- Data Hold.
- Automatische uitschakeling.
- Norm: veiligheidsklasse CAT III 300 V.
</t>
  </si>
  <si>
    <t>Combihamer HiKOKI DH45MEYWSZ 45mm 1500W SDS-max</t>
  </si>
  <si>
    <t>Patroonhouder voor buispatronen 10x38 t.b.v. openbare laadpaal,
maximaal 32 A/690 V, geschikt voor DIN/EN rail (op basis van
specificaties E-laad).</t>
  </si>
  <si>
    <t>Accu (steek) Klauke RAM2 9,6V 2,0Ah NiMH tbv perstang ES32.</t>
  </si>
  <si>
    <t xml:space="preserve">Ontmantelingsset glasplaatjes spatglas 5,1 x 10,8 x 0,4.
Glasplaatje is nodig voor het verwijderen van stukjes zwakgeleiderlaag
die achter zijn gebleven na het schillen van de aderisolatie.
Verpakt als setje van 2 glasplaatjes.
</t>
  </si>
  <si>
    <t xml:space="preserve">HAS-kast 0,1 m3.
Kleine kast voor Hogedruk Aflever Station (HAS-installatie).
Behuizing, merk ZADOR. Materiaal RVS 304. Afmetingen, diepte x breedte x
hoogte = 322 x 623 x 1180 mm (inhoud +/- 0,1 m3). Kleur: RAL 6009
(dennengroen). Bestaande uit: Kast met frontklep en vaste sokkel.
Voorzien van metalen EMKA hevelsluiting voorbereid voor 17mm
eurocilinder. Inclusief: Montage bord.
</t>
  </si>
  <si>
    <t xml:space="preserve">Lakstif voor het bijwerken van lichte beschadigingen aan ZADOR
behuizingen. Kleur: RAL6009 (dennengroen).
</t>
  </si>
  <si>
    <t xml:space="preserve">Sleuteltang (niet VDE!) is een combinatie van een waterpomptang en een
verstelbare moersleutel.
De sleutel is traploos en nauwkeurig instelbaar, heeft een hoge
klemkracht en gladde bekken.
Instelbaar tot 46 mm, 17 instelposities, lengte 250mm
(Knipex Type 86 05 250)
EAN: 4003773047841
</t>
  </si>
  <si>
    <t>Verzegelingsset voor deksel oude huisaansluitkast
M5 zegelschroef met zegelplaat t.b.v. draadzegeling
Verpakt per zakje.</t>
  </si>
  <si>
    <t>Aggregaat 3000W; Generator Honda EU30IS 230V 3,0kVA. Geluidgedempt dus
ideaal bij werkzaamheden waar het werk stil moet zijn. Spanning wordt
geregeld met invertertechnologie zodat er een perfecte frequentie- en
spanningsstabiliteit is. Voorzien van electrische start, economy
schakelaar en 4 wielen. Met 1 stuks 12 Volt en 2 stuks 230 Volt CEE
contactdoos.</t>
  </si>
  <si>
    <t>TRANSFORMATORAANSLUITVLAG VOOR TRANSFORMATOREN
200 TOT EN MET 400KVA (630A)
1 SET = 4 STUKS</t>
  </si>
  <si>
    <t xml:space="preserve">Verdeeldoos Keraf 15 4 voudig 230V slagvast IP44 5mtr snoer
Stekker Verdeelblok 4 delig met plusminus 5 meter snoer.
Vervaardigd van slagvast kunststof materiaal. Spatwaterdichte
aansluiting met klepdeksels (minimaal IP44). 230 V, 16 A, 2-polig met
randaarde.
</t>
  </si>
  <si>
    <t xml:space="preserve">Inspectiespiegel PF Aprodit 7x3cm Bamboe inklapbaar.
</t>
  </si>
  <si>
    <t>Gasstation, type Hoge druk aansluitset.
Ontwerp leverancier gAvilar, installatie Q-max. 40m3/h, inlaatdruk max.
8Bar - min. 3Bar, uitlaatdruk 100mbar, inlaat DN1"", uitlaat DN1"",
inlaatkogelkraan IVR Elite EN331 1"", filterhuis Itron 133 met element
GS11411 met aangebouwde veiligheidsklep Itron type II, regelaar
Itron-133-8-61 met spuitstuk 4,7 mm met aangebouwde veiligheidafslagklep
Itron type II Opco, uitlaatkogelkraan IVR Elite EN331 1"", Opstal ZADOR,
RVS kast 0,1m3 + vaste sokkel, tekening nr. GA HAS-ab2014-01.</t>
  </si>
  <si>
    <t>Gasstation, type Hoge druk aansluitset.
                                                                                                                     Ontwerp
leverancier gAvilar, installatie Q-max. 40m3/h, inlaatdruk max. 4Bar -
min. 1,5Bar, uitlaatdruk 100mbar, inlaat DN1"", uitlaat
DN1"", inlaatkogelkraan IVR Elite EN331 1"", filterhuis Itron 133 met
element GS11411 met aangebouwde veiligheidsklep Itron type II, regelaar
Itron-133-8-61  met spuitstuk 6,3mm met aangebouwde veiligheidafslagklep
Itron type II Opco, uitlaatkogelkraan IVR Elite EN331 1"", Opstal ZADOR,
RVS kast 0,1m3 + vaste sokkel, tekening nr. GA HAS-ab2014-02.</t>
  </si>
  <si>
    <t>Gasstation, type Hoge druk aansluitset.
Ontwerp leverancier gAvilar, installatie Q-max. 40m3/h, inlaatdruk max.
1Bar - min. 0,4Bar, uitlaatdruk 100mbar, inlaat DN1"", uitlaat
DN1"", inlaatkogelkraan IVR Elite EN331 1"", filterhuis Itron 133 met
element GS11411 met aangebouwde veiligheidsklep Itron type II, regelaar
Itron-133-8-61  met spuitstuk 12,5 mm met aangebouwde
veiligheidafslagklep Itron type II Opco, uitlaatkogelkraan IVR Elite
EN331 1"", Opstal ZADOR, RVS kast 0,1m3 + vaste sokkel, tekening nr. GA
HAS-ab2014-03.</t>
  </si>
  <si>
    <t>Gasstation, type afleverstation, ontwerp voor inlaatgasmeting.
Ontwerp leverancier gAvilar, G-waarde G40 - Q-max. gasmeter 65m3/h,
installatie Q-max. 260m3/h, inlaatdruk max. 8Bar - min. 3Bar, ui
tlaatdruk 100mbar, inlaat DN50, uitlaat DN80, veiligheidsinlaatafsluiter
is vlinderklep W.W. EVFS DN50 met Actuatech GD106
stelcilinder en BD Opso Pneumax commandoventiel, filterhuis 50/125 recht
met filterelement  G1-GSF-G5000, regelaar Fiorentini-DIVAL 600 met s
puitstuk 38mm, met aangebouwde veiligheidafslagklep, uitlaatafsluiter
vlinderklep W.W. EVFS DN80, Opstal ZADOR, RVS kast 1/2 m3 +
schoprand + fundatie, tekening nr. AS-ab2014-03 AV.</t>
  </si>
  <si>
    <t>Gasstation, type afleverstation, ontwerp voor inlaatgasmeting.
Ontwerp leverancier gAvilar, G-waarde G40 - Q-max. gasmeter 65m3/h,
installatie Q-max. 162m3/h, inlaatdruk max. 4Bar - min. 1,5Bar,
uitlaatdruk 100mbar, inlaat DN50, uitlaat DN50,
veiligheidsinlaatafsluiter is vlinderklep W.W. EVFS DN50 met Actuatech
GD106 stelcilinder en BD Opso Pneumax commandoventiel, filterhuis 50/125
recht met filterelement  G1-GSF-G5000, regelaar Itron - 233-12-61  met
spuitstuk 1/2"" met aangebouwde veiligheidafslagklep, uitlaatafsluiter
vlinderklep W.W. EVFS DN50, Opstal ZADOR, RVS kast 1/2 m3 + schoprand +
fundatie, tekening nr. AS-ab2014-03 BV.</t>
  </si>
  <si>
    <t>Gasstation, type afleverstation, ontwerp voor inlaatgasmeting.
Ontwerp leverancier gAvilar, G-waarde G40 - Q-max. gasmeter 65m3/h,
installatie Q-max. 91m3/h, inlaatdruk max. 1Bar - min. 0,4Bar, u
itlaatdruk 100mbar, inlaat DN50, uitlaat DN50, inlaatafsluiter is
vlinderklep W.W. EVFS DN50, filterhuis 50/125 recht met filterelement
 G1 GSF-G5000, regelaar Itron - 233-12-61  met spuitstuk 1/2"" met
aangebouwde veiligheidafslagklep, uitlaatafsluiter vlinderklep W.W. EVFS
DN50, Opstal ZADOR, RVS kast 1/2 m3 + schoprand + fundatie, tekening nr.
AS-ab2014-03 CV.</t>
  </si>
  <si>
    <t>Gasstation, type afleverstation, ontwerp voor inlaatgasmeting.
Ontwerp leverancier gAvilar, G-waarde G65 - Q-max. gasmeter 100m3/h,
installatie Q-max. 400m3/h, inlaatdruk max. 8Bar - min. 3Bar, u
itlaatdruk 100mbar, inlaat DN50, uitlaat DN80,
veiligheidsinlaatafsluiter is vlinderklep W.W. EVFS DN50 met Actuatech
GD106
stelcilinder en BD Opso Pneumax commandoventiel, filterhuis 50/125 recht
met filterelement  G1-GSF-G5000, regelaar Fiorentini-DIVAL 600 met
spuitstuk 38mm, met aangebouwde veiligheidafslagklep, uitlaatafsluiter
vlinderklep W.W. EVFS DN80, Opstal ZADOR, RVS kast 1/2 m3 + schoprand +
fundatie, tekening nr. GA AS-ab2014-06 AV.</t>
  </si>
  <si>
    <t>Gasstation, type afleverstation, ontwerp voor inlaatgasmeting.
Ontwerp leverancier gAvilar, G-waarde G65 - Q-max. gasmeter 100m3/h,
installatie Q-max. 250m3/h, inlaatdruk max. 4Bar - min. 1,5Bar,
uitlaatdruk 100mbar, inlaat DN50, uitlaat DN80,
veiligheidsinlaatafsluiter is vlinderklep W.W. EVFS DN50 met Actuatech
GD106 stelcilinder en BD Opso Pneumax commandoventiel, filterhuis 50/125
recht met filterelement  G1-GSF-G5000, regelaar Itron - 233-12-61  met
spuitstuk 3/4"" met aangebouwde veiligheidafslagklep, uitlaatafsluiter
vlinderklep W.W. EVFS DN80, Opstal ZADOR, RVS kast 1/2 m3 + schoprand +
fundatie, tekening nr. GA AS-ab2014-06 BV.</t>
  </si>
  <si>
    <t>Gasstation, type afleverstation, ontwerp voor inlaatgasmeting.
Ontwerp leverancier gAvilar, G-waarde G65 - Q-max. gasmeter 100m3/h,
installatie Q-max. 140m3/h, inlaatdruk max. 1Bar - min. 0,4Bar,
uitlaatdruk 100mbar, inlaat DN50, uitlaat DN50, inlaatafsluiter  is
vlinderklep W.W. EVFS DN50, filterhuis 50/125 recht met filterelement
 G1-GSF-G5000, regelaar ITRON-233-12-61 met spuitstuk 3/4"", met
aangebouwde veiligheidafslagklep, uitlaatafsluiter vlinderklep W.W. EVFS
DN50, Opstal ZADOR, RVS kast 1/2 m3 + schoprand + fundatie, tekening nr.
AS-ab2014-06 CV.</t>
  </si>
  <si>
    <t>Gasstation, type afleverstation, ontwerp voor inlaatgasmeting.
Ontwerp leverancier gAvilar, G-waarde G100 - Q-max. gasmeter 160m3/h,
installatie Q-max. 640m3/h, inlaatdruk max. 8Bar - min. 3Bar,
uitlaatdruk 100mbar, inlaat DN50, uitlaat DN100,
veiligheidsinlaatafsluiter is vlinderklep W.W. EVFS DN50 met Actuatech
GD106 stelcilinder en BD Opso Pneumax commandoventiel, filterhuis
50-80/150 recht met filterelement  G1,5 GSF, regelaar Fiorentini-DIVAL
600 met spuitstuk 38mm, met aangebouwde veiligheidafslagklep,
uitlaatafsluiter vlinderklep W.W. EVFS DN100, Opstal ZADOR, RVS kast 1/2
m3 + schoprand + fundatie, tekening nr. GA AS-ab2014-07 AV.</t>
  </si>
  <si>
    <t>Gasstation, type afleverstation, ontwerp voor inlaatgasmeting.
Ontwerp leverancier gAvilar, G-waarde G100 - Q-max. gasmeter 160m3/h,
installatie Q-max. 400m3/h, inlaatdruk max. 4Bar - min. 1,5Bar,
uitlaatdruk 100mbar, inlaat DN50, uitlaat DN80,
veiligheidsinlaatafsluiter is vlinderklep W.W. EVFS DN50 met Actuatech
GD106 stelcilinder en BD Opso Pneumax commandoventiel, filterhuis
50-80/150 recht met filterelement  G1,5 GSF, regelaar Fiorentini-DIVAL
600 met spuitstuk 38mm met aangebouwde veiligheidafslagklep,
uitlaatafsluiter vlinderklep W.W. EVFS DN80, Opstal ZADOR, RVS kast 1/2
m3 + schoprand + fundatie, tekening nr. GA AS-ab2014-07 BV.</t>
  </si>
  <si>
    <t>Gasstation, type afleverstation, ontwerp voor inlaatgasmeting.
Ontwerp leverancier gAvilar, G-waarde G100 - Q-max. gasmeter 160m3/h,
installatie Q-max. 224m3/h, inlaatdruk max. 1Bar - min. 0,4Bar,
uitlaatdruk 100mbar, inlaat DN50, uitlaat DN80, inlaatafsluiter is
vlinderklep W.W. EVFS DN50, filterhuis 50-80/150 recht met filterelement
 G1,5-GSF, regelaar Fiorentini-DIVAL 600 met spuitstuk 38mm, met
aangebouwde veiligheidafslagklep, uitlaatafsluiter vlinderklep W.W. EVFS
DN80, Opstal ZADOR, RVS kast 1/2 m3 + schoprand + fundatie, tekening nr.
GA AS-ab2014-07 CV.</t>
  </si>
  <si>
    <t>Gasstation, type afleverstation, ontwerp voor inlaatgasmeting.
Ontwerp leverancier gAvilar, G-waarde G160 - Q-max. gasmeter 250m3/h,
installatie Q-max. 1000m3/h, inlaatdruk max. 8Bar - min. 3Bar,
uitlaatdruk 100mbar, inlaat DN50, uitlaat DN150,
veiligheidsinlaatafsluiter is vlinderklep W.W. EVFS DN50 met Actuatech
GD106 stelcilinder en BD Opso Pneumax commandoventiel, filterhuis
50-100/150 recht met filterelement  G1,5 GSF, regelaar Fiorentini-DIVAL
600 met spuitstuk 38mm, met aangebouwde veiligheidafslagklep,
uitlaatafsluiter vlinderklep W.W. EVFS DN150, Opstal ZADOR, RVS kast 1/2
m3 + schoprand + fundatie, tekening nr. GA AS-ab2014-08 A.</t>
  </si>
  <si>
    <t>Gasstation, type afleverstation, ontwerp voor inlaatgasmeting.
Ontwerp leverancier gAvilar, G-waarde G160 - Q-max. gasmeter 250m3/h,
installatie Q-max. 625m3/h, inlaatdruk max. 4Bar - min. 1,5Bar,
uitlaatdruk 100mbar, inlaat DN50, uitlaat DN100,
veiligheidsinlaatafsluiter is vlinderklep W.W. EVFS DN50 met Actuatech
GD106 stelcilinder en BD Opso Pneumax commandoventiel, filterhuis
50-100/150 recht met filterelement  G1,5 GSF, regelaar Fiorentini-DIVAL
600 met spuitstuk 38mm met aangebouwde veiligheidafslagklep,
uitlaatafsluiter vlinderklep W.W. EVFS DN100, Opstal ZADOR, RVS kast 1/2
m3 + schoprand + fundatie, tekening nr. GA AS-ab2014-08 BV.</t>
  </si>
  <si>
    <t>Gasstation, type afleverstation, ontwerp voor inlaatgasmeting.
Ontwerp leverancier gAvilar, G-waarde G160 - Q-max. gasmeter 250m3/h,
installatie Q-max. 350m3/h, inlaatdruk max. 1Bar - min. 0,4Bar,
uitlaatdruk 100mbar, inlaat DN50, uitlaat DN80, inlaatafsluiter  is
vlinderklep W.W. EVFS DN50, filterhuis 50-100/150 recht met fi
lterelement  G1-GSF, regelaar Fiorentini-DIVAL-600 met spuitstuk 38mm,
met aangebouwde veiligheidafslagklep, uitlaatafsluiter
vlinderklep W.W. EVFS DN80, Opstal ZADOR, RVS kast 1/2 m3 + schoprand +
fundatie, tekening nr. GA AS-ab2014-08 CV.</t>
  </si>
  <si>
    <t>Gasstation, type districtstation.
Ontwerp leverancier gAvilar, installatie Q-max. 600m3/h, inlaatdruk max.
8Bar - min. 3Bar, uitlaatdruk 30mbar, inlaat DN50, uitlaat DN150,
veiligheidsinlaatafsluiter is vlinderklep W.W. EVFS DN50 met Actuatech
GD106 stelcilinder en BD Opso Pneumax commandoventiel, filterhuis 50/150
haaks met filterelement  G1,5-GSF, regelaar Itron-RBE 4711 met spuitstuk
48mm met aangebouwde veiligheidafslagklep, uitlaatafsluiter vlinderklep
W.W. EVFS DN150, Opstal ZADOR, RVS kast 1/2 m3 + schoprand + fundatie,
tekening nr. GA AS-ab2014-01.</t>
  </si>
  <si>
    <t>Gasstation, type districtstation.
Ontwerp leverancier gAvilar, installatie Q-max. 600m3/h, inlaatdruk max.
4Bar - min. 1,5Bar, uitlaatdruk 100mbar, inlaat DN50, uitlaat DN150,
veiligheidsinlaatafsluiter is vlinderklep W.W. EVFS DN50 met Actuatech
GD106 stelcilinder en BD Opso Pneumax commandoventiel, filterhuis 50/150
haaks met filterelement  G1,5-GSF, regelaar Itron-RBE 4711 met spuitstuk
48mm met aangebouwde veiligheidafslagklep, uitlaatafsluiter vlinderklep
W.W. EVFS DN150, Opstal ZADOR, RVS kast 1/2 m3 + schoprand + fundatie,
tekening nr. GA AS-ab2014-02.</t>
  </si>
  <si>
    <t>Gasstation, type districtstation.
Ontwerp leverancier gAvilar, installatie Q-max. 600m3/h, inlaatdruk max.
4Bar - min. 1,5Bar, uitlaatdruk 30mbar, inlaat DN50, uitlaat DN150,
veiligheidsinlaatafsluiter is vlinderklep W.W. EVFS DN50 met Actuatech
GD106 stelcilinder en BD Opso Pneumax commandoventiel, filterhuis 50-150
haaks met filterelement  G1,5-GSF, regelaar Itron-RBE 4711 met spuitstuk
48mm met aangebouwde veiligheidafslagklep, uitlaatafsluiter vlinderklep
W.W. EVFS DN150, Opstal ZADOR, RVS kast 1/2 m3 + schoprand + fundatie,
tekening nr. GA AS-ab2014-03.</t>
  </si>
  <si>
    <t>Gasstation, type districtstation.
Ontwerp leverancier gAvilar, installatie Q-max. 1000m3/h, inlaatdruk
max. 8Bar - min. 3Bar, uitlaatdruk 100mbar, inlaat DN50, uitlaat DN150,
veiligheidsinlaatafsluiter is vlinderklep W.W. EVFS DN50 met Actuatech
GD106 stelcilinder en BD Opso Pneumax commandoventiel, filterhuis 50/150
haaks met filterelement  G1,5-GSF, regelaar Itron-RBE 4711 met spuitstuk
48mm met aangebouwde veiligheidafslagklep, uitlaatafsluiter vlinderklep
W.W. EVFS DN150, Opstal ZADOR, RVS kast 1/2 m3 + schoprand + fundatie,
tekening nr. GA AS-ab2014-04.</t>
  </si>
  <si>
    <t>Gasstation, type districtstation.
Ontwerp leverancier gAvilar, installatie Q-max. 1200m3/h, inlaatdruk
max. 8Bar - min. 3Bar, uitlaatdruk 30mbar, inlaat DN80, uitlaat DN200,
veiligheidsinlaatafsluiter is vlinderklep W.W. EVFS DN80 met Actuatech
GD106 stelcilinder en BD Opso Pneumax commandoventiel, filterhuis
80-50/150 haaks met filterelement  G2-GSF, regelaar Itron-RBE 4711 met
spuitstuk 48mm met aangebouwde veiligheidafslagklep, uitlaatafsluiter
vlinderklep W.W. EVFS DN200, Opstal ZADOR, RVS kast 1/2 m3 + schoprand +
fundatie, tekening nr. GA AS-ab2014-05.</t>
  </si>
  <si>
    <t>Gasstation, type districtstation.
Ontwerp leverancier gAvilar, installatie Q-max. 1200m3/h, inlaatdruk
max. 4Bar - min. 1,5Bar, uitlaatdruk 100mbar, inlaat DN80, uitlaat
DN200, veiligheidsinlaatafsluiter is vlinderklep W.W. EVFS DN80 met
Actuatech GD106 stelcilinder en BD Opso Pneumax commandoventiel,
filterhuis 80-50/150 haaks met filterelement  G2-GSF, regelaar Itron-RBE
4711 met spuitstuk 48mm met aangebouwde veiligheidafslagklep,
uitlaatafsluiter vlinderklep W.W. EVFS DN200, Opstal ZADOR, RVS kast 1/2
m3 + schoprand + fundatie, tekening nr. GA AS-ab2014-07.</t>
  </si>
  <si>
    <t>Gasstation, type districtstation.
Ontwerp leverancier gAvilar, installatie Q-max. 1200m3/h, inlaatdruk
max. 4Bar - min. 1,5Bar, uitlaatdruk 30mbar, inlaat DN80, uitlaat DN200,
veiligheidsinlaatafsluiter is vlinderklep W.W. EVFS DN80 met Actuatech
GD106 stelcilinder en BD Opso Pneumax commandoventiel, filterhuis
80-50/150 haaks met filterelement  G2-GSF, regelaar Itron-RBE 4711 met
spuitstuk 48mm met aangebouwde veiligheidafslagklep, uitlaatafsluiter
vlinderklep W.W. EVFS DN200, Opstal ZADOR, RVS kast 1/2 m3 + schoprand +
fundatie, tekening nr. GA AS-ab2014-09.</t>
  </si>
  <si>
    <t>Gasstation, type districtstation.
Ontwerp leverancier gAvilar, installatie Q-max. 2150m3/h, inlaatdruk
max. 8Bar - min. 3Bar, uitlaatdruk 100mbar, inlaat DN80, uitlaat DN200,
veiligheidsinlaatafsluiter is vlinderklep W.W. EVFS DN80 met Actuatech
GD106 stelcilinder en BD Opso Pneumax commandoventiel, filterhuis
80-50/150 haaks met filterelement  G2-GSF, regelaar Itron-RBE 4711 met
spuitstuk 48mm met aangebouwde veiligheidafslagklep, uitlaatafsluiter
vlinderklep W.W. EVFS DN200, Opstal ZADOR, RVS kast 1/2 m3 + schoprand +
fundatie, tekening nr. GA AS-ab2014-011.</t>
  </si>
  <si>
    <t xml:space="preserve">Gasstation, type hogedruk open eind levering installatie.
Ontwerp leverancier gAvilar, G-waarde G25 = Qmax 160m3, G40 = Qmax
260m3/h, G65 = Qmax 400m3/h, G100 = Qmax 640m3/h, G160 = Qmax 1000m3/h,
inlaatdruk max. 8Bar - min. 3Bar, uitlaatdruk = inlaatdruk minus
installatie weerstand, inlaatafsluiter vlinderklep WW-EVFS DN80,
filterhuis 80/150 recht, filterelement G1,5-GSF, uitlaatafsluiter
vlinderklep WW-EVFS DN80. Opstal RVS kast 1/2 m3 + schoprand + fundatie
tekening nr. GA OEL-ab2014-04 A.
</t>
  </si>
  <si>
    <t xml:space="preserve">MOLD (Meter Opstelling Lage Druk), inpandige uitvoering. Geleverd door
gAvilar 2. Ontwerp leverancier gAvilar, G-waarde G40 of G65 - Q-max.
gasmeter 65 of 100m3/h, installatie Q-max 65 of 100m3/h, inlaatdruk max.
100mbar - min. 40mbar, uitlaatdruk 25mbar, inlaat DN50, uitlaat DN80,
inlaatafsluiter is vlinderklep W.W. EVFS DN50, regelaar MADAS DN50
inbouwmaat 230mm,  voorzien van een gesloten gasmeter passtuk 171mm
DN50, uitlaatafsluiter is  vlinderklep W.W. EVFS DN80. Installatie
tekening is MOLD- OELab2014-03C. Bouwkundige tekening is  GA A3-2-19402.
</t>
  </si>
  <si>
    <t xml:space="preserve">MOLD (Meter Opstelling Lage Druk), uitpandige uitvoering.Geleverd door 2
leveranciers. Ontwerp leverancier gAvilar, G-waarde G40 of G65 - Q-max.
gasmeter 65 of 100m3/h, installatie Q-max 65 of 100m3/h, inlaatdruk max.
100mbar - min. 40mbar, uitlaatdruk 25mbar, inlaat DN50, uitlaat DN80,
inlaatafsluiter is vlinderklep W.W. EVFS DN50, regelaar MADAS DN50
inbouwmaat 230mm, voorzien van een gesloten gasmeter passtuk 171mm DN50,
uitlaatafsluiter is  vlinderklep W.W. EVFS DN80. Opstal ZADOR, RVS kast
1/2 m3 + schoprand + fundatie, Installatie tekening is MOLD-
OELab2014-03D.
</t>
  </si>
  <si>
    <t xml:space="preserve">MOLD (Meter Opstelling Lage Druk), inpandige uitvoering.Geleverd door 2
leveranciers. Ontwerp leverancier gAvilar, G-waarde G40 of G65 - Q-max.
gasmeter 65 of 100m3/h, installatie Q-max 65 of 100m3/h, inlaatdruk max.
100mbar - min. 40mbar, uitlaatdruk minimaal 25mbar, inlaat DN80, uitlaat
DN80, inlaatafsluiter is vlinderklep W.W. EVFS DN80, voorzien van een
gesloten gasmeter passtuk 171mm DN50, uitlaatafsluiter is  vlinderklep
W.W. EVFS DN80. Installatie tekening is MOLD- OELab2014-04A. Bouwkundige
tekening is GA A3-2-19402.
</t>
  </si>
  <si>
    <t xml:space="preserve">MOLD (Meter Opstelling Lage Druk), uitpandige uitvoering.Geleverd door 2
leveranciers. Ontwerp leverancier gAvilar, G-waarde G40 of G65 - Q-max.
gasmeter 65 of 100m3/h, installatie Q-max 65 of 100m3/h, inlaatdruk max.
100mbar - min. 40mbar, uitlaatdruk minimaal 25mbar, inlaat DN80, uitlaat
DN80, inlaatafsluiter is vlinderklep W.W. EVFS DN80, voorzien van een
gesloten gasmeter passtuk 171mm DN50, uitlaatafsluiter is  vlinderklep
W.W. EVFS DN80. Opstal ZADOR, RVS kast 1/2 m3 + schoprand + fundatie.
Installatie tekening is MOLD- OELab2014-04B
</t>
  </si>
  <si>
    <t xml:space="preserve">MOLD (Meter Opstelling Lage Druk), inpandige uitvoering.Geleverd door 2
leveranciers. Ontwerp leverancier gAvilar, G-waarde G100 - Q-max.
gasmeter 160m3/h, installatie Q-max 160m3/h, inlaatdruk max. 100mbar -
min. 40mbar, uitlaatdruk minimaal 25mbar, inlaat DN80, uitlaat DN80,
inlaatafsluiter is vlinderklep W.W. EVFS DN80, voorzien van een gesloten
gasmeter passtuk 171mm DN80, uitlaatafsluiter is  vlinderklep W.W. EVFS
DN80. Installatie tekening is MOLD- OELab2014-05A. Bouwkundige tekening
is GA A3-2-19402.
</t>
  </si>
  <si>
    <t xml:space="preserve">MOLD (Meter Opstelling Lage Druk), uitpandige uitvoering.Geleverd door 2
leveranciers. Ontwerp leverancier gAvilar, G-waarde 100 - Q-max.
gasmeter 160m3/h, installatie Q-max 160m3/h, inlaatdruk max. 100mbar -
min. 40mbar, uitlaatdruk minimaal 25mbar, inlaat DN80, uitlaat DN80,
inlaatafsluiter is vlinderklep W.W. EVFS DN80, voorzien van een gesloten
gasmeter passtuk 171mm DN80, uitlaatafsluiter is vlinderklep W.W. EVFS
DN80. Opstal ZADOR, RVS kast 1/2 m3 + schoprand + fundatie. Installatie
tekening is MOLD- OELab2014-05C.
</t>
  </si>
  <si>
    <t xml:space="preserve">MOLD (Meter Opstelling Lage Druk), inpandige uitvoering.Geleverd door 2
leveranciers. Ontwerp leverancier gAvilar, G-waarde 100 - Q-max.
gasmeter 160m3/h, installatie Q-max 160m3/h, inlaatdruk max. 100mbar -
min. 40mbar, uitlaatdruk 25mbar, inlaat DN80, uitlaat DN80,
inlaatafsluiter is vlinderklep W.W. EVFS DN80, regelaar MADAS DN80
inbouwmaat 318mm,  voorzien van een gesloten gasmeter passtuk 171mm
DN80, uitlaatafsluiter is  vlinderklep W.W. EVFS DN80. Installatie
tekening is MOLD- OELab2014-05E. Bouwkundige tekening is GA  A3-2-19402
</t>
  </si>
  <si>
    <t xml:space="preserve">MOLD (Meter Opstelling Lage Druk), uitpandige uitvoering.Geleverd door 2
leveranciers. Ontwerp leverancier gAvilar, G-waarde 100 - Q-max.
gasmeter 160m3/h, installatie Q-max 160m3/h, inlaatdruk max. 100mbar -
min. 40mbar, uitlaatdruk 25mbar, inlaat DN80, uitlaat DN80,
inlaatafsluiter is vlinderklep W.W. EVFS DN80, regelaar MADAS DN80
inbouwmaat 318mm,  voorzien van een gesloten gasmeter passtuk 171mm
DN80, uitlaatafsluiter is  vlinderklep W.W. EVFS DN80. Opstal ZADOR, RVS
kast 1/2 m3 + schoprand + fundatie. Installatie tekening is MOLD-
OELab2014-05E.
</t>
  </si>
  <si>
    <t xml:space="preserve">Rechte gasmeterkoppeling (2-delig) met meetnippel, materiaal: messing,
aansluiting 1: Gasmeterbuitendraad 3/4" , aansluiting 2: Gasm
eterwartelmoer 3/4" Met NBR-pakking.
</t>
  </si>
  <si>
    <t xml:space="preserve">WMRG-A met drukregelaar met gasgebrekklep  3/4" met driehoekflens
WMRG-A.Hulpstuk compleet met gemonteerde en geteste drukregelaar met
gasgebrekklep. Als set tezamen verpakt . Hulpmiddel voor plaatsen van
drukregelaar met B-klep bij gasmeterverwisseling G4/G6 100mbar-net.
Materiaal: aluminium
Aansluiting 1: Gasmeterbuitendraad 3/4"
Aansluiting 2: Gasmeterwartelmoer 3/4"
Aansluiting 3: aansluiting: driehoeksflens. gAvilar WMRG-10F Inclusief
driehoekige flens-pakking met filter. Lengte hulpstuk 50mm. (kleur dop:
geel)
Capaciteit (aardgas) = 10 m3/h
Pi max = 200 mbar
Pafslag = 15 mbar
Puit nom = 28 mbar.
gAvilar type WMRG-10-F,  Inclusief driehoekige flens-pakking met filter.
</t>
  </si>
  <si>
    <t xml:space="preserve">WMG-A  met Gasgebrekklep flens 30mb G4/G6 WMG6-FZV WMG-A hulpstuk
compleet met gemonteerde en geteste Gasgebrekklep. Als set tezamen
verpakt . Materiaal: aluminium , aansluiting 1: Gasmeterbuitendraad 3/4"
, aansluiting 2: Gasmeterwartelmoer 3/4", aansluiting 3: aansluiting:
flens. gAvilar WMG6-F .Inclusief driehoekige flens-pakking zonder
filter. Lengte hulpstuk 50mm. Nominale belasting 7,5 m3/h aardgas
aanspreekdruk 15 mbar. Nominale druk 25 mbar. Blauwe dop.
</t>
  </si>
  <si>
    <t xml:space="preserve">Overbrugging kabel t.b.v. meter opstelling Gas
Lengte 1,5 meter
16 mm²   zwart geïsoleerd
Bek opening 42 mm ruim 1½ duim
</t>
  </si>
  <si>
    <t>Esders LeckOmio EX complt + BT-module+JSON
Gaslekzoek/drukmeter Esders Leckomio Ex compl. met losse Bluetooth-
module. In koffer+lader+losse Bluetooth-module (ALL)
Type: LeckOmio EX Gaslekzoek/drukmeter Leck Omio drukmeter /gaslekzoeker
complete set, in koffer:
Meetinstrument:
- Leck Omio EX -accu- art. 271050 (Alliander
20035101)
Oplaadtechniek:
- Voeding 230V art. 202002 (Alliander 20035461)
- Laadkabel 12V voor in de auto art. 202003 (Alliander
20035105)
- Laadstation 1-vaks uitvoering art. 262003 (Alliander
20035108)
Draagtechniek:
- Beschermtas art. 262001 (Alliander 20035106)
- Kunstof koffer met schuimrubberinzet art. 262008 (Alliander 20035448)
- Draagriem handmeetinstrumenten art. 262002 (Alliander 20035103)
Aansluittoebehoren:
- Bluetooth-module art. 262026 (Alliander nader te
bepalen (zie AMA ‘Esders BT-module’))
- Handpomp art. 212011 (Alliander
20035110)
- Adapter Druk met snelkoppelingen art. 212013 (Alliander
20035104)
– Handdrukballon art. 292005 (Alliander 20035449)
- Slang snelkoppeling naar meetnippel art. 292003 (Alliander 20035450)
- Adapter 7/8" tbv flex. slang gasmeter art. 312174 (Alliander 20035458)
- Adapter 7/8" tbv aansluiting gasmeter art. 312175 (Alliander 20035459)</t>
  </si>
  <si>
    <t xml:space="preserve">Kabelontmantelings mes met voet. Volgens normNEN-EN-IEC 60900 (VDE).
Handvat voorzien van taai- elastisch slagvast kunststof. Haakvormig
Lemmet van stabiel gehard roestvrij staal, voorzien van glijvoet aan de
snijpunt, met beschermkap.  Voor werkzaamheden aan spanningvoerende
delen tot 1000V AC en 1500V DC.
(Knipex 9855 155mm VDE)
</t>
  </si>
  <si>
    <t>Dompelpomp KN2-WSA. Mast K5 Dompelpomp Compacte en lichte dompelpomp
zonder vlotter.  Motor: 220V - 3.7A P1/P2 vermogen: 810/500W  Debieten:
-330l/min bij 0m opvoerhoogte -280l/min bij 5m opvoerhoogte Maximum
opvoerhoogte: 11m Korreldoorlaat: 10mm Gewicht: 6.8kg Afmetingen
doorsneexhoogte: 175 x 282mm Voorzien van een koppeling DSP 45 met
grendel.</t>
  </si>
  <si>
    <t>Slang van 6 meter platoprolbaar. Diameter 50mm</t>
  </si>
  <si>
    <t xml:space="preserve">Accu aangedreven hydraulische kniptang in ergonomische 2-componenten
behuizing.
Geschikt voor het snijden van koper en aluminium kabel (ongeschikt voor
gearmeerde kabel). Uitgerust met een Li-Ion accu voorzien van
laadtoestand indicator, LED-verlichting en een 3300 draaibare kop.
Wordt compleet geleverd in kunststof koffer inclusief lader en extra
accu. (Klauke ES32ML)
Accucapaciteit: 10,8V / 1,5Ah Li-Ion.
Uitvoering kop: open schaar.
Knipcapaciteit: tot 32 mm.
Gewicht (+accu): 1,8 kg. (accu 0,21 kg).
</t>
  </si>
  <si>
    <t xml:space="preserve">Hogedrukspuit inclusief lans.
(Afkomstig van samengestelde asbestkit: 20038006).
</t>
  </si>
  <si>
    <t xml:space="preserve">Deksel O&lt;(&gt;&amp;&lt;)&gt;K met uitsparing voor automaten. Inclusief retrofit set
voor het toepassen van O&lt;(&gt;&amp;&lt;)&gt;K deksel op oudere kunststof / bakelieten
kasten.
Bijgeleverd wordt:
Afdekprofiel (voor het dichten van de uitsparing voor automaten).
Zegelschroef.
Ophoogsteunen.
</t>
  </si>
  <si>
    <t xml:space="preserve">Gasmeterkoppeling S-koppeling (2 delig): Materiaal: messing. Uitvoering:
1: Gasmeterwartelmoer GM 3/4" 2: buitendraad GM 3/4" Hoogte: 58 mm met
meetnippel. Met NBR-pakking.
</t>
  </si>
  <si>
    <t xml:space="preserve">Armatuur LED-TL geschikt voor 2 LED-tubes van 150cm lengte.
Slagvast kunststof plafond armatuur met kap.
</t>
  </si>
  <si>
    <t>Krompasser 500mm voor het meten van de buitendiameter van grote
leidingen.</t>
  </si>
  <si>
    <t xml:space="preserve">Gaslekzoek/drukmeter 0-10000 ppm /0-2000mbar met bleutoothmodule
Explosieveilig handmeetinstrument, met ATEX certificering, met meerdere
functies zoals het opsporen gaslekkages, alsook drukmetingen en een
groot gebruiksgemak.
Een duidelijk display waarop de actuele druk wordt getoond en tijdens de
beproeving ook de startdruk en meettijd.
Alarmering van de meter is optische, akoestische en vibreert. Bij hogere
gasconcentratie verhoogd de trilfunctie.
(Leckomio Ex Esders 271250C2)
Aanvullende gegevens:
- Robuust handmeetinstrument in ergonomische behuizing.
- Gecombineerde functies voor brede inzetbaarheid volgens VIAG.
- Digitale manometer geschikt voor het beproeven van binneninstallaties.
- Gaslekzoeker met vibratie-alarm en digitale meetwaarde uitlezing.
- Grafisch display met hoog contrast en achtergrondverlichting voor een
optimale leesbaarheid van de meetwaarde.
- Makkelijk wisselen van accu of batterijen door vernieuwd
batterijsysteem.
- Automatische verwerking van meetgegevens met behulp van Esders PC1
Software.
- Rapportage ter plaatse met behulp van mobiele printer.
- Eenvoudige menustructuur en bediening met functietoetsen.
- Praktische accessoires voor veelzijdige inzetbaarheid.
</t>
  </si>
  <si>
    <t xml:space="preserve">Draadgegevens draadstuk lengte draden gemeten vanaf de top krimp dop
inclusief adereindhuls;
• 1 draad 83 cm lang, blank deel adereindhuls 20mm.
• 3 draden 24 cm lang blank deel adereindhuls 20mm.
</t>
  </si>
  <si>
    <t xml:space="preserve">Leidingen aanschuiner voor buisdiameters van:
20, 25, 32, 40, 50, en 63 mm.
Juiste afschuing door stop voor elke diameter, mes van Solingen staal en
omhulsel is van kunststof
</t>
  </si>
  <si>
    <t xml:space="preserve">Statische kWh-meter voor AMR
Producent:    Iskraemeco
Type:     AM550-ED1
Nauwkeurigheidsklasse   MID A
Aantal fasen:    1
Aansluiting:    Direct
Spanning (V):    230 V
Stroom (A):    5(80)
Aantal energierichtingen:  2
Tariefprogramma:   Conform Configuration List
Communicatiemedium:   CDMA
Protocol:    DLMS
DSMR Compliant:   SMR 5
 (Dutch Smart Meter Reading)
Schakelaar:    Geen
Barcode    Conform Liander Standaard
</t>
  </si>
  <si>
    <t xml:space="preserve">Statische kWh-meter voor AMR
Producent:    L+G
Type:     ZCF110CCtFs2
Nauwkeurigheidsklasse   MID A
Aantal fasen:    1
Aansluiting:    Direct
Spanning (V):    230 V
Stroom (A):    5(80)
Aantal energierichtingen:  2
Tariefprogramma:   Conform Configuration List
Communicatiemedium:   CDMA
Protocol:    DLMS
DSMR Compliant:   SMR 5.0
 (Dutch Smart Meter Requirements)
Schakelaar:    Geen
Barcode    Conform Liander Standaard
</t>
  </si>
  <si>
    <t xml:space="preserve">Omslagmanchet  2", merk DEKOTEC®-MTS55 Geel, voor staal PE bekledebuis,
DIN- DVGW cnr NV-5180CO0211, klasse C50 volgens NEN-EN 12068, voor open
ontgraving.
</t>
  </si>
  <si>
    <t xml:space="preserve">Omslagmanchet  3", merk DEKOTEC®-MTS55 Geel, voor staal PE bekledebuis,
DIN- DVGW cnr NV-5180CO0211, klasse C50 volgens NEN-EN 12068,voor open
ontgraving.
</t>
  </si>
  <si>
    <t xml:space="preserve">Omslagmanchet  4",merk  DEKOTEC®-MTS55 Geel, voor staal PE bekledebuis,
DIN- DVGW cnr NV-5180CO0211, klasse C50 volgens NEN-EN 12068,voor open
ontgraving.
</t>
  </si>
  <si>
    <t xml:space="preserve">Omslagmanchet  6" DEKOTEC®-MTS55 Geel, voor staal PE bekledebuis, DIN-
DVGW cnr NV-5180CO0211, klasse C50 volgens NEN-EN 12068,voor open
ontgraving.
</t>
  </si>
  <si>
    <t xml:space="preserve">Omslagmanchet  8", merk DEKOTEC®-MTS55 Geel, voor staal PE bekledebuis,
DIN- DVGW cnr NV-5180CO0211, klasse C50 volgens NEN-EN 12068,voor open
ontgraving.
</t>
  </si>
  <si>
    <t xml:space="preserve">Omslagmanchet  10", merk DEKOTEC®-MTS55 Geel, voor staal PE bekledebuis,
DIN- DVGW cnr NV-5180CO0211, klasse C50 volgens NEN-EN 12068,voor open
ontgraving.
</t>
  </si>
  <si>
    <t xml:space="preserve">Omslagmanchet  12", merk DEKOTEC®-MTS55 Geel, voor staal PE bekledebuis,
DIN- DVGW cnr NV-5180CO0211, klasse C50 volgens NEN-EN 12068,voor open
ontgraving.
</t>
  </si>
  <si>
    <t>Gasstation, type afleverstation ontwerp voor uitlaatgasmeting.
Ontwerp leverancier gAvilar, G-waarde G40 of G65, Q-max. gasmeter 65 of
100m3/h, installatie Q-max. 65 of 100m3/h, inlaatdruk max. 8Bar - min.
3Bar, uitlaatdruk 100mbar, inlaat DN50, uitlaat DN50,
veiligheidsinlaatafsluiter is vlinderklep W.W. EVFS DN50 met Actuatech
GD106 stelcilinder en BD Opso Pneumax commandoventiel, filterhuis 50/125
recht met filterelement  G1-GSF-GS5000, regelaar ITRON-233-12-61 met
spuitstuk 3/8"", met aangebouwde veiligheidafslagklep, uitlaatafsluiter
vlinderklep W.W. EVFS DN50, Opstal ZADOR, RVS kast 1/2 m3 + schoprand +
fundatie, tekening nr. GA AS-ab2014-02 A.</t>
  </si>
  <si>
    <t>Gasstation, type afleverstation, ontwerp voor uitlaatgasmeting.
Ontwerp leverancier gAvilar, G-waarde G100 - Q-max. gasmeter 160m3/h,
installatie Q-max. 160m3/h, inlaatdruk max. 8Bar - min. 3Bar,
uitlaatdruk 100mbar, inlaat DN50, uitlaat DN80,
veiligheidsinlaatafsluiter is vlinderklep W.W. EVFS DN50 met Actuatech
GD106 stelcilinder en BD Opso Pneumax commandoventiel, filterhuis 50/125
recht met filterelement  G1-GSF-GS5000, regelaar ITRON-233-12-61 met
spuitstuk 3/8"", met aangebouwde veiligheidafslagklep, uitlaatafsluiter
vlinderklep W.W. EVFS DN80, Opstal ZADOR, RVS kast 1/2 m3 + schoprand +
fundatie, tekening nr. GA AS-ab2014-02 B.</t>
  </si>
  <si>
    <t>Inbussleutel Gedore 42 4mm verzinkt voor binnenzeskantschroeven.
Chroom vanadium verzinkt</t>
  </si>
  <si>
    <t xml:space="preserve">Type: NS.240A
Cardangewricht geschikt voor aangedreven gereedschap. Voor uw
veiligheid: gebruik de impact-cardangewrichten met de bijpassende ringen
en borgpennen.
Maat: 1/2"
Wordt geleverd Inclusief Action DO1012-0-000 borgpen en rubberen ring
geschikt voor 1/2" slagdoppen.
</t>
  </si>
  <si>
    <t>Slagdop Facom NS.A 1/2" 30x50mm 6 kant.
Voor het machinaal vast- en losdraaien van bouten en moeren.
Gefosfateerd.</t>
  </si>
  <si>
    <t>Slagdop Facom NS.A 1/2" 32x50mm 6 kant.
Voor het machinaal vast- en losdraaien van bouten en moeren.
Gefosfateerd.</t>
  </si>
  <si>
    <t xml:space="preserve">Omslagmanchet  2" Dirax 2375 x 24 voor staal PE beklede buis t.b.v.
gestuurde boringen, DVGW cnr NV-5180CO0350, klasse C60 volgens NEN-EN
12068. Inclusief 1 zakje epoxy kit S1301M.
</t>
  </si>
  <si>
    <t xml:space="preserve">Omslagmanchet  3" Dirax 3500 x 24 voor staal PE beklede buis t.b.v.
gestuurde boringen, DVGW cnr NV-5180CO0350, klasse C60 volgens NEN-EN
12068. Inclusief 1 zakje epoxy kit S1301M.
</t>
  </si>
  <si>
    <t xml:space="preserve">Omslagmanchet  4" Dirax 4500 x 24 voor staal PE beklede buis t.b.v.
gestuurde boringen, DVGW cnr NV-5180CO0350, klasse C60 volgens NEN-EN
12068. Inclusief 1 zakje epoxy kit S1301M.
</t>
  </si>
  <si>
    <t xml:space="preserve">Omslagmanchet  6" Dirax 6625 x 24 voor staal PE beklede buis t.b.v.
gestuurde boringen, DVGW cnr NV-5180CO0350, klasse C60 volgens NEN-EN
12068. Inclusief 1 zakje epoxy kit S1301M.
</t>
  </si>
  <si>
    <t xml:space="preserve">Omslagmanchet  8" Dirax 8625 x 24 voor staal PE beklede buis t.b.v.
gestuurde boringen, DVGW cnr NV-5180CO0350, klasse C60 volgens NEN-EN
12068. Inclusief 1 zakje epoxy kit S1301M.
</t>
  </si>
  <si>
    <t xml:space="preserve">Omslagmanchet  10" Dirax 10750 x 24 voor staal PE beklede buis t.b.v.
gestuurde boringen, DVGW cnr NV-5180CO0350, klasse C60 volgens NEN-EN
12068. Inclusief 1 zakje epoxy kit S1301M.
</t>
  </si>
  <si>
    <t>Omslagmanchet  12" Dirax 12750 x 24 voor staal PE beklede buis t.b.v.
gestuurde boringen, DVGW cnr NV-5180CO0350, klasse C60 volgens NEN-EN
12068.
Inclusief 1 zakje epoxy kit S1301M.</t>
  </si>
  <si>
    <t xml:space="preserve">Statische kWh-meter voor AMR
Producent:    Iskraemeco
Type:     AM550-TD2
Nauwkeurigheidsklasse   MID A
Aantal fasen:    3
Aansluiting:    Direct
Spanning (V):    3 x 230/400 V
Stroom (A):    5(100)
Aantal energierichtingen:  2
Tariefprogramma:   Conform Configuration List
Communicatiemedium:   CDMA
Protocol:    DLMS
DSMR Compliant:   SMR 5
 (Dutch Smart Meter Reading)
Schakelaar:    Geen
Barcode    Conform Liander Standaard .
</t>
  </si>
  <si>
    <t xml:space="preserve">Statische kWh-meter voor AMR
Producent:    L+G
Type:     ZMF110CCtFs2
Nauwkeurigheidsklasse  MID A
Aantal fasen:    3
Aansluiting:    Direct
Spanning (V):    3 x 230/400 V
Stroom (A):    5(100)
Aantal energierichtingen:  2
Tariefprogramma:   Conform Configuration List
Communicatiemedium:   CDMA
Protocol:    DLMS
DSMR Compliant:   SMR 5.0
 (Dutch Smart Meter Requirements)
Schakelaar:    Geen
Barcode    Conform Liander Standaard .
</t>
  </si>
  <si>
    <t xml:space="preserve">Gasmeter
Fabricaat:  Flonidan
Type:   Uniflo G16 SRT
Meetprincipe:  Balg
Klasse:  1,5
Capaciteit:  G16 (0,16 – 25 m³/h)
Compliance:  SMR 5.0
Temperatuurcorrectie:Ja
Drukcorrectie: Ja ( luchtdruk: 1015,5 mbar; voordruk: 28 mbar)
Klep:   Geen
Communicatie:  Mbus Draadloos
Nominale diameter:  DN40
Hartafstand:   300 mm
Schroefdraad:  G2"
</t>
  </si>
  <si>
    <t xml:space="preserve">Gasmeter
Fabricaat:  Flonidan
Type:   Uniflo G25 SRT
Meetprincipe:  Balg
Klasse:  1,5
Capaciteit:  G25 (0,25 – 40 m³/h)
Compliance:  SMR 5.0
Temperatuurcorrectie:Ja
Drukcorrectie: Ja ( luchtdruk: 1015,5 mbar; voordruk: 28 mbar)
Klep:   Geen
Communicatie:  Mbus Draadloos
Nominale diameter:  DN50
Hartafstand:   400 mm
Schroefdraad:  G2.1/2"
</t>
  </si>
  <si>
    <t xml:space="preserve">Gasmeter
Fabricaat:  Landis+Gyr
Familie:  G350
Type:   E06D4056+348A
Meetprincipe:  Ultrasoon
Klasse:   1,5
Capaciteit:  G4 (0,04 – 6 m³/h)
Compliance:  SMR 5.0
Temperatuurcorrectie:Ja
Drukcorrectie: Ja ( luchtdruk: 1015,5 mbar; voordruk: 28 mbar)
Klep:   Geen
Communicatie:  Mbus Draadloos
Nominale diameter:  DN20
Hartafstand:   220 mm
Schroefdraad:  GM¾"
</t>
  </si>
  <si>
    <t xml:space="preserve">Gasmeter
Fabricaat:  Landis+Gyr
Familie:  G350
Type:   E10D4059+348A
Meetprincipe:  Ultrasoon
Klasse:  1,5
Capaciteit:  G6 (0,06 – 10 m³/h)
Compliance:  SMR 5.0
Temperatuurcorrectie:Ja
Drukcorrectie: Ja ( luchtdruk: 1015,5 mbar; voordruk: 28 mbar)
Klep:   Geen
Communicatie:  Mbus Draadloos
Nominale diameter:  DN20
Hartafstand:   220 mm
Schroefdraad:  GM¾"
</t>
  </si>
  <si>
    <t xml:space="preserve">Gasmeter
Fabricaat:  GWi
Type:   UG-G10 / ICS V1
Meetprincipe:  Balg
Klasse:   1,5
Capaciteit:  G10 (0,1 – 16 m³/h)
Compliance:  SMR 5.0
Temperatuurcorrectie: Ja
Drukcorrectie:  Ja ( luchtdruk: 1015,5 mbar; voordruk: 28
mbar)
Klep:   Geen
Communicatie:  Mbus Draadloos
Nominale diameter:  DN40
Hartafstand:   300 mm
Schroefdraad:  G2"
</t>
  </si>
  <si>
    <t xml:space="preserve">Gasmeter
Fabricaat:  GWi
Type:   UG-G16 / ICS V1
Meetprincipe:  Balg
Klasse:   1,5
Capaciteit:  G16 (0,16 – 25 m³/h)
Compliance:  SMR 5.0
Temperatuurcorrectie: Ja
Drukcorrectie:  Ja ( luchtdruk: 1015,5 mbar; voordruk: 28
mbar)
Klep:   Geen
Communicatie:  Mbus Draadloos
Nominale diameter:  DN40
Hartafstand:   300 mm
Schroefdraad:  G2"
</t>
  </si>
  <si>
    <t xml:space="preserve">Gasmeter
Fabricaat:  GWi
Type:   UG-G25 / ICS V1
Meetprincipe:  Balg
Klasse:   1,5
Capaciteit:  G25 (0,25 – 40 m³/h)
Compliance:  SMR 5.0
Temperatuurcorrectie: Ja
Drukcorrectie:  Ja ( luchtdruk: 1015,5 mbar; voordruk: 28
mbar)
Klep:   Geen
Communicatie:  Mbus Draadloos
Nominale diameter:  DN50
Hartafstand:   400 mm
Schroefdraad:  G2½"
</t>
  </si>
  <si>
    <t xml:space="preserve">Kniestuk toepasbaar bij de KP5 MS spanningtester en de (huidige
standaard zonder isolatieringen) SPPC fasevergelijker.
Met behulp van dit kniestuk kan ook in MS-stations met beperkte ruimte
veilig spanning worden getest en spanningloosheid aantonen.
Ook fasevergelijken gaat veiliger in een MS-station met beperkte ruimte.
Kniestuk bestaat uit de adapter type  C1A&lt;(&gt;&amp;&lt;)&gt;C2F van
C1A-935 100 001
C2F- 935 101005
</t>
  </si>
  <si>
    <t xml:space="preserve">Kniestuk type 2 is geschikt voor KPII tester en het oudere type
éénpolige sppc fasevergelijker, deze zijn herkenbaar aan de
isolatieringen op de meetsonde.
Kniestuk type 2 brengt men rechtstreeks aan op de klok van de meetsonde
en de isolatiestok.
Met behulp van dit kniestuk kan ook in MS-stations met beperkte ruimte
veilig spanning worden getest en spanningloosheid worden aangetoond. Ook
fasevergelijken gaat veiliger in een MS-station met beperkte ruimte.
</t>
  </si>
  <si>
    <t xml:space="preserve">Kniestuk type 3 is geschikt voor KPII tester en het oudere type
éénpolige sppc fasevergelijker, deze zijn herkenbaar aan de
isolatieringen op de meetsonde.
Kniestuk type 3 sluit men aan naast de klok van de meetsonde en de
isolatiestok.
Met behulp van dit kniestuk kan in MS-stations met beperkte ruimte
veilig spanning worden getest en spanningloosheid aan worden getoond.
Ook fasevergelijken gaat veiliger in een MS-station met beperkte ruimte.
</t>
  </si>
  <si>
    <t>Beugel ten behoeve van montage PEKO/PECU op kelderwand. Enkele C-rail,
lengte: 180mm.</t>
  </si>
  <si>
    <t>17KA Snelkoppeling staal vernikkeld Engels profiel BSPT female</t>
  </si>
  <si>
    <t>20KA Snelkoppeling messing vernikkeld internationaal profiel BSP female</t>
  </si>
  <si>
    <t>21KA Snelkoppeling messing vernikkeld internationaal profiel BSP female</t>
  </si>
  <si>
    <t>17SF insteeknippel staal vernikkeld Engels profiel BSPT male</t>
  </si>
  <si>
    <t>21SF insteeknippel messing vernikkeld internationaal profiel BSP male</t>
  </si>
  <si>
    <t xml:space="preserve">Hybride mof
geschikt voor 10-20kV XLPE 1x630 mm2 Al .
Inclusief schroefverbinders.
------------------------------
Deze verzameling onderdelen (SET) is voor 1 mof.
</t>
  </si>
  <si>
    <t>Hybride mof
geschikt voor XLPE 10-20kV 3x95-240Al.
Inclusief schroefverbinders.</t>
  </si>
  <si>
    <t>Flyer "de slimme meter"
Doos = 500st</t>
  </si>
  <si>
    <t xml:space="preserve">Kaart "Aangepaste werkzaamheden BAM"
USAN en alleen E-kaartje BAM
50 vel per blok
</t>
  </si>
  <si>
    <t>"Korte handleiding slimme meter Landis&lt;(&gt;&amp;&lt;)&gt;Gyr,
serie ZCF110 / ZMF110"
Doos = 500st</t>
  </si>
  <si>
    <t xml:space="preserve">"Korte handleiding slimme meter Kaifa,
serie MA105 / MA304"
Doos = 500st
</t>
  </si>
  <si>
    <t>Korte handleiding Itron gasmeter type G4*
ook geldig voor grotere gasmeters zoals:
G6, G10, G16 of G25.
Doos = 500st</t>
  </si>
  <si>
    <t>Korte handleiding Landis&lt;(&gt;&amp;&lt;)&gt;Gyr,
gasmeter serie G4 en G6
Doos = 500st</t>
  </si>
  <si>
    <t>Kaart ‘’Niet thuis BAM’’
Omvang : 50 vel per blok
Formaat : 148 x 210 mm
Bedrukking : tweezijdig full colour
Papier : 160 grams bankpost
Afwerking : nasnijden, en per 50 vel lijmen aan de kop (210) op
onderbord.</t>
  </si>
  <si>
    <t>Kaart "Meterstanden bij meterwisseling en meterafname"
Meterstandenkaart
50 vel per blok</t>
  </si>
  <si>
    <t>Hybride reparatie mof
geschikt voor XLPE 10-20kV 3x95-240 mm2 Al.
Inclusief 3 aders 240 mm2 van 115 cm lengte welke aan 1 zijde zijn
voorbewerkt. Inclusief schroefverbinders.</t>
  </si>
  <si>
    <t>Warmte krimp eindsluiting binnenopstelling
voor XLPE 10-20kV 3x95-240 mm2 Al,
inclusief 3 schroefkabelschoenen met gat 17 mm en
1 met gat 13 mm voor het aardscherm.</t>
  </si>
  <si>
    <t>Warmte krimp eindsluiting binnenopstelling
voor XLPE 10kV 3x95-240 mm2 Al,
inclusief 3 Magnefix aansluitklemmen 95-240 mm2 en
1 schroefkabelschoen 25-95 mm2 met gat 13mm voor het aardscherm.</t>
  </si>
  <si>
    <t>Warmte krimp eindsluiting binnenopstelling (set van 3)
voor XLPE 20kV 3x1x240Al mm2,
inclusief  3 schroefkabelschoenen 95-240 mm2 met boutgat 17 mm en
3 schroefkabelschoenen 10-70 mm2 met boutgat 10,5 mm voor het
aardscherm.</t>
  </si>
  <si>
    <t>Warmte krimp eindsluiting binnenopstelling (set van 3)
voor XLPE 20kV 3x1x630 mm2,
inclusief  3 schroefkabelschoenen 500-630 mm2 met boutgat 17 mm
en 3 schroefkabelschoenen 25-95 mm2 met boutgat 13 mm voor het
aardscherm.</t>
  </si>
  <si>
    <t>Warmtekrimp mof
geschikt voor 10kV (V)GPLK 3x95-240 mm2 .
Inclusief schroefverbinders.</t>
  </si>
  <si>
    <t>Warmtekrimp mof
geschikt voor 10kV (V)GPLK 3x35-95 mm2 .
Inclusief schroefverbinders</t>
  </si>
  <si>
    <t>Warmtekrimp mof
geschikt voor 10kV (V)GPLK 3x95-240 mm2 op XLPE 10-20kV 3x240 mm2.
Inclusief schroefverbinders.</t>
  </si>
  <si>
    <t xml:space="preserve">Warmtekrimp mof
geschikt voor 10kV (V)GPLK 3x35-70 mm2 op XLPE 10-20kV 3x240 mm2.
Inclusief schroefverbinders.
</t>
  </si>
  <si>
    <t>Warmtekrimp mof
geschikt voor 10kV (V)GPLK 3x95-240 mm2.
Inclusief 3 aders 240 mm2 van 115 cm lengte welke aan 1 zijde zijn
voorbewerkt. Inclusief schroefverbinders.</t>
  </si>
  <si>
    <t>Warmtekrimp mof geschikt voor 10kV (V)GPLK 3x35-95 mm2.
Inclusief 3 aders 95 mm2 van 115 cm lengte welke aan 1 zijde zijn
voorbewerkt. Inclusief schroefverbinders</t>
  </si>
  <si>
    <t>Warmtekrimp mof
geschikt voor 10kV (V)GPLK 3x10-35Cu.
Inclusief 3 aders 95 mm2 van 115 cm lengte welke aan 1 zijde zijn
voorbewerkt. Inclusief schroefverbinders.</t>
  </si>
  <si>
    <t>Warmtekrimp mof
geschikt voor 10kV (V)GPLK 3x10-35Cu op XLPE 10kV 3x95Al.
Inclusief schroefverbinders.</t>
  </si>
  <si>
    <t>Warmtekrimp mof
geschikt voor 10kV (V)GPLK 3x10-35Cu.
Inclusief schroefverbinders.</t>
  </si>
  <si>
    <t xml:space="preserve">Kaart "u heeft tijdelijk geen gas"
1 blok = 50 vel
</t>
  </si>
  <si>
    <t xml:space="preserve">Kaart Gaslekkage_NIEUW aug15’
1 blok = 50 vel
</t>
  </si>
  <si>
    <t>Aansluitblokje met pen. Geïsoleerd blokje met een 29 mm lange pen 6mm
hoog en 5mm breed geschikt voor 3 draden 3 x 16 mm2.
De schroeven worden standaard PZ1.</t>
  </si>
  <si>
    <t xml:space="preserve">Gasdrukregelaar, merk: ITRON. Type RB4711 gasgestuurde regelaar met
veiligheidsafslagklep. Nominale diameter: DN50 / PN16 / 4 gats.
Ingeregeld op een uitlaatdruk van +/- 30 mbar. Geschikt voor een
omgevings temperatuur van -20 °C tot +60 °C. uitgerust met parabol
ischeklep en silencer, conservering conform Liander specificatie S1510.
</t>
  </si>
  <si>
    <t xml:space="preserve">Gasdrukregelaar, merk: ITRON. Type RB4711 gasgestuurde regelaar met
veiligheidsafslagklep. Nominale diameter: DN50 / PN16 / 4 gats.
Ingeregeld op een uitlaatdruk van +/- 100 mbar. Geschikt voor een
omgevings temperatuur van -20 °C tot +60 °C. uitgerust met parabo
lischeklep en silencer, conservering conform Liander specificatie S1510.
</t>
  </si>
  <si>
    <t xml:space="preserve">Bedieningsknop voor de ERMAF hoofdkraan als onderdeel van de
gasmeteropstelling G4/6 kunststof 3D geprint onderdeel, knop voor hoofd
kraan.
</t>
  </si>
  <si>
    <t xml:space="preserve">Storingskaart Gasstoring/Stroomstoring
Doos = 500 stuks
</t>
  </si>
  <si>
    <t xml:space="preserve">Inbusschroevendraaier zeskant 4 mm, lengte ca. 186 mm in
schroevendraaier-model. Volgens norm NEN-EN-IEC 60900, (dompelisolatie)
(VDE). Ergonomische handgreep voorzien van zachte maar stevige grip en
dient volledig gesloten te zijn. Voor werkzaamheden aan spanningvoerende
delen tot 1.000 V AC en 1.500 V DC. (WIHA)
</t>
  </si>
  <si>
    <t xml:space="preserve">Inbusschroevendraaier zeskant 5 mm, lengte ca. 186 mm in
schroevendraaier-model. Volgens norm NEN-EN-IEC 60900, (dompelisolatie)
(VDE). Ergonomische handgreep voorzien van zachte maar stevige grip en
dient volledig gesloten te zijn. Voor werkzaamheden aan spanningvoerende
delen tot 1.000 V AC en 1.500 V DC. (WIHA)
</t>
  </si>
  <si>
    <t>Inbusbit Wiha 2831-18 sw 5,0 x 75 mm slimvario VDE Bit met inbuskop 5 mm
voor momentschroevendraaier VDE.
Volgens norm NEN-EN-IEC 60900 (VDE). Inbusbit moet vergrendelbaar zijn
tegen onbedoeld losraken van de momentschroevendraaier. Bij voorkeur van
het zelfde merk als momentschroevendraaier. Voor werkzaamheden aan
spanningvoerende delen tot 1000 V AC en 1500 V DC
Bit kan alleen worden gebruikt icm met
momentschroevendraaier, (art. nr. 20037958)
en bithouder Slim torque v 6 mm v (art.nr.20037146).
Type: 2831-18 SoftFinish® electric bit, Inbus 5 mm.</t>
  </si>
  <si>
    <t>Warmtekrimp mof
geschikt voor 10kV (V)GPLK 3x50-95 mm2 op XLPE 10kV 3x95Al.
Inclusief schroefverbinders.</t>
  </si>
  <si>
    <t xml:space="preserve">Precisiebuis.
Materiaal: RVS - AISI 316, rond, naadloos, Afmetingen: 10 x 1,0 mm;
lengte = 3 meter.
</t>
  </si>
  <si>
    <t>Precisiebuis.
Materiaal: RVS - AISI 316, rond, naadloos, Afmetingen: 12 x 1,0 mm;
lengte = 3 meter.</t>
  </si>
  <si>
    <t xml:space="preserve">Precisiebuis.
Materiaal: RVS - AISI 316, rond, naadloos, Afmetingen: 15 x 1,0 mm;
lengte = 3 meter.
</t>
  </si>
  <si>
    <t xml:space="preserve">Afvalzak Asbest 60x60cm 100mu transp. LDPE vpe=250stuks
Afvalzak vervaardigd van LDPE, geschikt voor asbest.
Kleur: transparant.
Afmeting: 60 x 60 cm.
Dikte: 100 mu.
========================
Extra sterk.
Inkoop: Doos a 250 stuks
Uitgifte: per stuk.
</t>
  </si>
  <si>
    <t xml:space="preserve">Trafoklem 2-direct 16-95 mm2
Set bestaat uit doosje met daarin:
3 x kogelbout
3 x klem
3 x zakje vet
handleiding
</t>
  </si>
  <si>
    <t>Kabel YMvKmb, 4 x 6 Cu bl/br/zw/gry
volgens NEN3617 aderkleuren blauw/bruin/zwart/grijs.</t>
  </si>
  <si>
    <t xml:space="preserve">Renovatie koppeling 1.1/4" voor toepassing met OSE op een kelderwand.
Koppeling voorzien van beklede stalen buis met schroefdraad volgens NEN-
EN-ISO 10226-1, DIN 2470-1 materiaal staal L235 GA, PE-coating volgens
DIN30670-S-n, kleur geel.
</t>
  </si>
  <si>
    <t xml:space="preserve"> Gevelkruiper 1"
voor toepassing met OSE bovengrondse invoer,
Koppeling voorzien van beklede stalen buis met schroefdraad volgens NEN-
EN-ISO 10226-1, DIN 2470-1 materiaal staal L235 GA, PE-coating volgens
DIN30670-S-n kleur geel, Gevelkap groen RAL 7034, incl. ophangbeugels.
</t>
  </si>
  <si>
    <t xml:space="preserve">Kabelsectie apparaat compleet om op zowel spanningsloze kabels als
kabels onder spanning een selectie te kunnen uitvoeren.
Deze set bestaat uit:
G300 Impulsgenerator: Generator voor selecteren van onder spanning
staande laagspanning kabels. Artikelcode : MSTG300
S21 Impulsgenerator incl. accu: Generator voor het selecteren van kabels
welke niet onder spanning staan. Artikelcode : MSTS21
S20 Ontvanger:  Ontvanger S20 met flexibele tang (50 cm) en
aansluitkabel. Artikelcode : MSTS202
S220 Rode meetlus: Rode meetlus tbv voor S20. Artikelcode : MSTS220
Pelican transportkoffer geel Artikelcode : MSTKOFFER
Handleiding voor G300 / S21 / S20 - Gelamineerde sheet voor de S21 /
S20. - netvoeding, accuvoeding 12 VDC en interne batterij
LET OP: Als complete set in koffer uitleveren, niet in deelleveringen!.
</t>
  </si>
  <si>
    <t>Generator MST G300 300A-400V voor kabelselectie onder spanning staande
LS-kabels.
Inclusief:
- aansluitadapter
- blauwe kabel
- blauwe en zwarte klem
- zekering
- korte verbindingskabel zwart
LET OP: Dit artikel niet samen met andere artikelnummers verpakken.</t>
  </si>
  <si>
    <t xml:space="preserve">Inbus slagdop 1/2"x19mm inbus verlengd model
Slagdop vervaardigd uit hoogwaardig chroom-molybdeen gelegeerd staal.
Geschikt voor zwaarder gebruik bij schroeven voorzien van
inbusaansluiting.
Fabrikant Action
Fabriekstype DO696319A
</t>
  </si>
  <si>
    <t>AFSCHERMPLAAT voor LS-aansl. 1000 kVA-netttrafo.
inclusief bevestigingsbeugels
Afmetingen plaat ca 700 x 650 x 4 mm.
2 Bevestigingsbeugels
(elke beugel is een dubbel (samengelast) L-profiel
met zijden van ca. 9 cm, breed 4 cm).</t>
  </si>
  <si>
    <t xml:space="preserve">Raamtrekker voorzien van houten handvat,
natuurspons en rubber wisser.
</t>
  </si>
  <si>
    <t>Kabel
VD
70Cu gr/gl
met verdikte isolatie (aardkabel).</t>
  </si>
  <si>
    <t>Kabel Y MeKrvaslqwd 12/20 kV 1 x 240 Alrm + as 25 rPE volgens HD620
S2:2016 S2:2016 pages 10-J-38 and 10-J-40. Brandklasse Fca. Haspels van
250m.</t>
  </si>
  <si>
    <t>Kabelgoot
15x200x2000
Bettermann
MKR 15/200FS NATO</t>
  </si>
  <si>
    <t xml:space="preserve">PE-buis, materiaal PE 100, diameter 75 mm x wanddikte 6,8 mm, lengte van
12 meter, kleur zwart met 4 gele strepen in de lengterichting, klasse
SDR 11 QA-keurmerk, voldoet aan NEN-EN 1555-2. Inclusief beschermdoppen.
</t>
  </si>
  <si>
    <t xml:space="preserve">PE-buis, materiaal PE 100, diameter 160 mm x wanddikte 14.6 mm, lengte
van 12 meter, kleur zwart met 4 gele strepen in de lengterichting,
klasse SDR 11 QA-keurmerk, voldoet aan NEN-EN 1555-2. Inclusief
beschermdoppen.
</t>
  </si>
  <si>
    <t xml:space="preserve">PE-buis Materiaal : PE 100 Afmetingen: diameter 200 x wanddikte 18,2 mm,
in lengte van 12 meter.
Kleur :Zwart met 4 gele strepen in de lengterichting.
Klasse : SDR 11.
QA-keurmerk, voldoet aan NEN-EN 1555-2, inclusief beschermdoppen.
</t>
  </si>
  <si>
    <t>Beveiligingskast
i-Net met 1 ingebouwd Schneider P111 relais.</t>
  </si>
  <si>
    <t>Beveiligingskast
i-Net met 2 ingebouwde Schneider P111 relais</t>
  </si>
  <si>
    <t>Beveiligingskast
i-Net met 3 ingebouwde Schneider P111 relais.</t>
  </si>
  <si>
    <t>Montageframe DA-kast
(voor bevestiging DA-kast aan de muur).</t>
  </si>
  <si>
    <t xml:space="preserve">Accu  CPW 35 - 12L 12V 7,0Ah 151x65x98mm (ALL) Cellpower loodaccu 12
Volt - 7 Ah Afmeting: 151 x 65 x 98mm Aansluiting: Faston 6,3 mm
Gewicht: 2,6kg
De accu’s hebben een zelfontlading van 2-3% per maand en dienen indien
volgeladen opgeslagen minimaal 1 keer per 6 maanden geladen worden.
Ons advies is echter de accu’s na 4 maanden te herladen indien u de
accu’s niet zelf eerst volledig oplaad bij binnenkomst/opslag.
</t>
  </si>
  <si>
    <t xml:space="preserve">Bout M5x16  8.8 ELVZ  mont. combiklep of b-klep G4/G6
Zeskanttapbout DIN933 M5x16 8.8 elvz ds a 500st
Zeskanttapbout voorzien van metrische schroefdraad.
Afmeting: M5 x 16 mm.
Norm: DIN933.
Materiaal: staal elektrolytisch verzinkt.
Klasse: 8.8
Verpakkingseenheid: doos à 500 stuks.
</t>
  </si>
  <si>
    <t>Siemens Sirius Standschakelaar (deurcontact)</t>
  </si>
  <si>
    <t>Warmte krimp eindsluiting binnenopstelling (set van 3)
voor XLPE 10-20kV 3x95-240 mm2 Al,
inclusief 3 Magnefix aansluitklemmen 95-240 mm2 en
3 schroefkabelschoenen 10-70 mm2 met gat 10,5 mm voor het aardscherm.</t>
  </si>
  <si>
    <t>Briefpapier Liander
Doos = 1.000st</t>
  </si>
  <si>
    <t>Mal om draaddoorsneden te kunnen meten.
Kabel meetmal gemaakt van het materiaal Vivak.</t>
  </si>
  <si>
    <t xml:space="preserve"> Gevelkap van RVS met 32mm leidingbeugel, Groen Epoxie RAL 7034. H= 720
mm. De gevelkap is samengesteld uit: - buitenkap    EP25603 -
achterplaat  EP25600 - set pijpklembeugels 32 mm.</t>
  </si>
  <si>
    <t xml:space="preserve"> Renovatie koppeling 1" voor toepassing met OSE op een kelderwand.
Koppeling voorzien van beklede stalen buis met schroefdraad volgens NEN-
EN-ISO 10226-1, DIN 2470-1 materiaal staal L235 GA, PE-coating volgens
DIN30670-S-n, kleur geel.
</t>
  </si>
  <si>
    <t xml:space="preserve">Renovatie koperen doorvoer. Cu22/ pe32mm. Lengte 60cm.
</t>
  </si>
  <si>
    <t xml:space="preserve"> Renovatie koperen doorvoer. Cu22/ pe32mm. Lengte 2,5m.
</t>
  </si>
  <si>
    <t xml:space="preserve"> Renovatie koperen doorvoer. Cu22/ pe32mm. Lengte 3,75m.
</t>
  </si>
  <si>
    <t xml:space="preserve">Renovatie koperen doorvoer. Cu22/ pe32mm. Lengte 5,0m.
</t>
  </si>
  <si>
    <t xml:space="preserve">Renovatie koperen doorvoer. Cu22/ pe32mm. Lengte 6,25m.
</t>
  </si>
  <si>
    <t xml:space="preserve"> Renovatie koperen doorvoer. Cu22/ pe32mm. Lengte 7,25m.
</t>
  </si>
  <si>
    <t>Wartelmoer M40, kunststof, kleur RAL 7035 (licht grijs), schroefdraad
metrisch,  te gebruiken bij wartel M40 voor bevestigen wartel in
behuizing. Levering per stuk. Wiska (EMUG40).</t>
  </si>
  <si>
    <t>Markeerstift v PE buis_ MS kabel (XLPE/P-laser)
(leverancierstekst)
Markeerstift Edding 751 1-2mm wit ronde punt v kabel XLPE/P-laser ds a
10st
Type: 751
Niet-navulbare aluminium markeerstift geschikt voor het schrijven op
vrijwel ieder oppervlak (glad en poreus). Voorzien van ronde punt en
permanente, reukarme lakachtige dekkende inkt voor een sterk dekkende
markering. De inkt is watervast en sneldrogend en bevat geen toluyeen of
xyleen.
Hittebestendig tot 400 ºC.
Kleur: wit (kleurnummer 49).
Lijnbreedte: 1 - 2 mm.
Verpakkingseenheid: doos a 10 stuks.</t>
  </si>
  <si>
    <t>Beproevingsapparatuur HVA28
Type: HS-Beproevingsapparaat v kabel.
Het testen van middenspanningskabels (voor ondermeer XLPE (GPLK)-kabel).
Enkele toepassingen:
- VLF kabel testen met symmetrische AC-spanning (ladingsonafhankelijk
over het volledige bereik)
- DC met positieve of negatieve polariteit
- Brand-/ Fout Conditie of Fout Trip Mode
- Manteltesten
- Mantelfout lokalisatie mode
Het toestel is uitgerust met:
- Een beveiliging / alarmfunctie tegen terugvoeding,
- Een netsnoer van ca 3 meter,
- Solide behuizing, IP67, met een gewicht van 14 kg
- Nederlandstalig handleiding</t>
  </si>
  <si>
    <t>Behuizing, merk ZADOR. Type 1100 gasmeterkast met frontdeur,
lessenaarsdak en muurbevestiging. Materiaal RVS 304. Afmetingen, diepte
x breedte x hoogte = 530 x 1130 x 1030 mm (inhoud +/- 0,5 m3). Kleur:
RAL 6009 (dennengroen). Inclusief: Montage bord. Voorzien van metalen
EMKA hevelsluiting voorbereid voor 17mm eurocilinder.</t>
  </si>
  <si>
    <t>1/2m3 gasmeter kast met frontdeur.
Behuizing, merk ZADOR. Type 1100 gasmeterkast met frontdeur. Materiaal
RVS 304. Afmetingen, diepte x breedte x hoogte = 530 x 1130 x 1030 mm
(inhoud +/- 0,5 m3). Kleur: RAL 6009 (dennengroen). Inclusief: Montage
bord. Voorzien van metalen EMKA hevelsluiting voorbereid voor 17mm
eurocilinder.</t>
  </si>
  <si>
    <t>Behuizing sokkel, merk ZADOR. Materiaal RVS 304. Afmetingen, diepte x
breedte x hoogte = 500 x 1100 x 810 mm. Kleur: RAL 6009 (dennengroen).
Voorzien van hoekprofiel met sleufgaten voor het bevestigen van
leidingen.</t>
  </si>
  <si>
    <t xml:space="preserve">Wartelmoer M20, kunststof, kleur RAL 7035 (licht grijs), schroefdraad
metrisch,  te gebruiken bij wartel M20 voor bevestigen wartel in
behuizing. Levering per stuk. Wiska (EMUG20).
</t>
  </si>
  <si>
    <t xml:space="preserve">RVS-304 klapkast 1/2m3 met RVS-304 UNP frame.
Behuizing, merk ZADOR. Type klapkast 0,5m3. Materiaal RVS 304.
Afmetingen, diepte x breedte x hoogte = 530 x 1130 x 1030 mm (inhoud +/-
0,5 m3). Kleur: RAL 6009 (dennengroen). Voorzien van metalen EMKA
hevelsluiting voorbereid voor 17mm eurocilinder.
</t>
  </si>
  <si>
    <t xml:space="preserve">0,1m3 gasmeter kast met frontklep.
Behuizing, merk ZADOR. Type 600 kast. Materiaal RVS 304. Afmetingen,
diepte x breedte x hoogte = 322 x 623 x 1180 mm (inhoud +/- 0,1 m3).
Kleur: RAL 6009 (dennengroen). Bestaande uit: Kast met frontklep.
Voorzien van metalen EMKA hevelsluiting voorbereid voor 17mm
eurocilinder. Inclusief: Montage bord.
</t>
  </si>
  <si>
    <t>Behuizing sokkel, merk ZADOR. Materiaal RVS 304. Afmetingen, diepte x
breedte x hoogte = 300 x 600 x 600 mm. Kleur: RAL 6009 (dennengroen).
Voorzien van hoekprofiel met sleufgaten voor het bevestigen van
leidingen.</t>
  </si>
  <si>
    <t xml:space="preserve">Soknippel verloop, verloopsok nippel malleable binnendraad-buitendraad
¾"x1". nr246
</t>
  </si>
  <si>
    <t>Letterblokje, zwarte opdruk "J", achtergrond geel, afmetingen: 15 x 7
mm.</t>
  </si>
  <si>
    <t>Letterblokje, zwarte opdruk "J", achtergrond geel, afmetingen: 26 x 16
mm. Conform NEN 1184.</t>
  </si>
  <si>
    <t xml:space="preserve">Accu (schuif) tbv kniptang; Accu tbv kniptang van het type schuif accu.
Type RAML1, 10,8V-2,5Ah.
</t>
  </si>
  <si>
    <t xml:space="preserve">Borgpen + ring t.b.v. kniestuk 1/2" krachtdop.
Borgpen + Ring voor het borgen van krachtdoppen op het kniestuk,
(Cardan gewricht).
Behorend bij artikelnummer 20039201.
</t>
  </si>
  <si>
    <t xml:space="preserve">Geologenhamer, voor het openen van straatpotten om gasafsluiters te
kunnen controleren en bedienen.
</t>
  </si>
  <si>
    <t xml:space="preserve">Aard klemset t.b.v aarding van rooster
Vloerroosterbevestigingsklem, vloerroosterklem thermisch verzinkt,
geschikt voor roosters met een asymmetrisch T-profiel gevormde rand.
Toepasbaar bij het bevestigen van vloerroosters met een dikte van 50 mm,
en 30 x 30 mm maaswijdte.
Norm: DIN 24537.
</t>
  </si>
  <si>
    <t xml:space="preserve">Verloopnippel malleable, buitendraad-buitendraad 1x¾". nr245
</t>
  </si>
  <si>
    <t xml:space="preserve">Stickers, Uitvoering beschrijfbaar
kleur: wit,
tekst:
Storing/defect - Kwestie - Fraude
Code storing/defect:
- Behuizing beschadigd (A)
- Lawaai van de meter (B)
- Niet compleet (C)
etc
Referentienummer (KLAK/Ordernr).
 Uitvoering  :  nieuwe layout
- in 2 kleuren gedrukt op wit vinyl
- 8 st labels per vel, rechthoekig ingestanst tot op de drager
Bedrukking  :  2 kl.: blauw en zwart
Formaat  :  velformaat: 35 x 25 cm; sticker: 12,0 x 7,0 cm
Materiaal  :  zelfklevend vinyl witmat (beschrijfbaar)
Afwerking  :  vellen rechthoekig gesneden
Verpakking  :  per 25 vel verpakt in plastic sealzak
</t>
  </si>
  <si>
    <t>Isolatie lichaam haaks (rood) voor eindsluiting trafokabel (telcon) XLPE
8,7/15kV 3x1x16mm2 met schroefkabelschoenen en kogelkopbouten (excl.
eindsluiting SOT). Haakse (T) stekker ten behoeve van MS-installaties
voorzien van C-conus interfaces.</t>
  </si>
  <si>
    <t>Kabellasdoos IP40. Grijs,
geleverd met 3 wartels. ABB, 3640.</t>
  </si>
  <si>
    <t>2-delige membraankraankoppeling G3/4"wm x G1"bt (warteldraad),
incl. pakkingring.
Materiaal; metaal messing CuZn39Pb3 / Rubber NBR.
Normen: ISO 228-1, NEN 2545. NEN2544, NEN 2542, NEN 2284 uitvoering "m".
Puntstuk heeft geen borging (neus) voor pakkingring,
wel voorzien van 1.5mm centreerspie.</t>
  </si>
  <si>
    <t xml:space="preserve">Wandcontactdoos met randaarde dubbel voor kabellasdoos 3640
ABB // Art.nr. 3640W2 S.
</t>
  </si>
  <si>
    <t xml:space="preserve">Afstandhouder gaslekdetectieapparaat Diameter 13mm
Afstandhouder (opzetkorf) voor het gaslekdetectie apparaat, is een
hulpstuk tbv de afstand tussen het meetapparaat en het te meten object
om zo een zo’n goed mogelijk meten te verkrijgen.
Deze houder dient altijd op de gasdetectie bevestigd te zijn bij
inpandige metingen.
</t>
  </si>
  <si>
    <t xml:space="preserve">Afstandhouder gaslekdetectieapparaat Diameter 17,5mm
Afstandhouder (opzetkorf) voor het gaslekdetectie apparaat, is een
hulpstuk tbv de afstand tussen het meetapparaat en het te meten object
om zo een zo’n goed mogelijk meten te verkrijgen.
Deze houder dient altijd op de gasdetectie bevestigd te zijn bij
inpandige metingen.
</t>
  </si>
  <si>
    <t xml:space="preserve">Clickerbout St M10x85 ELVZ ds50; Doorsteekanker Dewalt PTB-PRO M10x85
elvz ds a 50st
</t>
  </si>
  <si>
    <t xml:space="preserve">Kabelmes vervaardigd uit speciaal werktuigstaal, oliegehard voorzien van
VDE geïsoleerde greep met verbeterde ergonomie door greepvorm met
aangenaam gevormde afglijdbescherming. Meer veiligheid door slipvaste
zachte componenten, goede krachtoverbrenging tijdens het trekken van het
mes door duimopening en ""vingerhaak"aan het einde van de greep.
Stabiel, vaststaand lemmet met rechte snijkant en lemmetrug met
kunststof bekleed ter vermijding van kortsluitingen. (knipex 9854)
Lemmetlengte: 50 mm.
Lengte: 185 mm.
</t>
  </si>
  <si>
    <t xml:space="preserve">Envelop C5 Liander met venster en port betaald
Doos = 500st
</t>
  </si>
  <si>
    <t>Koppeling, mof-blind, met RVS (A2) bouten.
Nom. diam.: DN 400.
Aansluitmaten: mof 392-433 met Uni-Fiksers
Werkdruk: 5 bar (gas), 16 bar (water)
NBR-afdichtingen.
Huis: Nodulair Gietijzer (GGG40)
Inbouwlengte: 253 - 295 mm.
Fabrikant: Georg Fischer
Type: Multi-joint 3207+, trekvast</t>
  </si>
  <si>
    <t>E- koppeling, mof-flens
Met NBR rubber geschikt voor gas
Nodulair gietijzer GGG45 behuizing en aandrukring, volgens DIN1693 (ISO
R 1083)
Resicoat® kunststof coating, volgens GSK standaard en EN 14901 NBR
volgens EN 682 (-5°C tot +50°C)
Hoekverdraaiing max. 8º per mof bij installatie (gebaseerd op het midden
van het bereik)
RVS kwaliteit A4 (316)
Uni/Fiksers, dus trekvast
RVS A2 kwaliteit (AISI 304) bouten, moeren en ringen (op aanvraag A4,
AISI 316)
inclusief hygiënekap en flenssticker
Aansluiting 1: mof 500-532 mm
Aansluiting 2: flens DN500 / PN10 / PN16
Inbouwlengte max. 390 mm
Koppeling is voorzien van een hijsoog.
#MJ3057+</t>
  </si>
  <si>
    <t xml:space="preserve">Sticker "onvoldoende afgeschermde hoogspanning, alleen betreden met 2
bevoegdepersonen"
Uitvoering:
2 kleuren gezeefdrukt en in speciaal model geplot
Bedrukking: 2 kleuren zwart en geel fond
Afmeting 20 x 30 cm
Materiaal SP50 witglans
Afwerking: door en door geplot, voorzien van rugsplit
Verpakking:
10 stuks in 1 pak
</t>
  </si>
  <si>
    <t>Behuizing verstelbare sokkel, merk ZADOR. Voorzien van 4 verstelbare
hoekstaanders. Materiaal RVS 304 met betonplaat. Afmetingen betonplaat,
lengte x breedte x hoogte = 1180 x 700 x 120 mm.</t>
  </si>
  <si>
    <t>Kast Elektra RVS incl bord
Maatvoering: 1250x300x170 mm.
Vermoedelijke afmeting montagebord: 600x250x150 mm.</t>
  </si>
  <si>
    <t xml:space="preserve">Ventilator voor het afzuigen van schadelijke dampen en het ventileren
van besloten ruimten,
- 300 mm (12") doorlaat.
- Dubbelwandige constructie.
- Draag en stapelbaar.
- Zowel blazende als zuigende luchtstroom.
- 3 jaar garantie.
- Spanning 230 v (50 Hz).
- Vermogen: 0,75 kW.
- Gewicht: 14,7 kg.
- Luchtverplaatsing: 4200 m3/uur.
- Afmeting (lxbxh) 432x355x533 mm.
</t>
  </si>
  <si>
    <t>Mof Opschuif platen, tbv het aandrukken van moffen bij gasleidingen met
een doorsnede van 110mm, 160mm, 200mm en 250mm.
De opschuifplaten zijn van Nylon gemaakt.
Set bestaat uit vier opschuif platen.</t>
  </si>
  <si>
    <t>Inbusbit Wiha 2831-18 sw 2,5x75mm slimvario VDE
Bit met inbuskop 2,5mm voor momentschroevendraaier VDE. Bit kan alleen
worden gebruikt icm met momentschroevendraaier, (art. nr. 20035760) en
bithouder Slim torque v 6mm v (art.nr.20037146). Type: 2831-18
SoftFinish® electric bit, Inbus 2,5 mm.</t>
  </si>
  <si>
    <t>Kaart "u heeft tijdelijk geen gas"
(Aannemer in de lead)
1 pak = blok 50 vel.
Model: CA-0075</t>
  </si>
  <si>
    <t xml:space="preserve">Rechte gasmeterkoppeling (2-delig), materiaal: messing, aansluiting 1:
Gasmeterbuitendraad 3/4", aansluiting 2: Gasmeterwartelmoer 3/4"  Met
NBR-pakking.
</t>
  </si>
  <si>
    <t>Gasmeterkoppeling  set (uitvoering 1 en 2) S-koppeling t.b.v. G10.
Materiaal: staal verzink /messing.
Uitvoering 1: Gasmeterwartelmoer GM 2" volgens NEN x buitendraad GM 1 ¾
volgens DIN uitvoering set zonder meetnippel, 250mmx300mm, hoogte 80 mm
(50937) + 2x Afdichtring NBR, Gas, Shore 80gr, dia 53,5 x dia 42,0 x 2 .
Uitvoering 2: Gasmeterwartelmoer GM 2" volgens NEN x buitendraad GM 1 ¾
volgens DIN uitvoering set 1x  met meetnippel, 250mmx300mm, hoogte 80 mm
(50936) + 2x Afdichtring NBR, Gas, Shore 80gr, dia 49 x dia 40.2 x 2
volgens DIN.</t>
  </si>
  <si>
    <t xml:space="preserve">Stofzuiger voor het stofvrij kunnen werken tijdens werkzaamheden  zoals
Boren, slijpen, etc. Stofzuiger, inclusief hulpmiddelen, dient een TNO
goedkeur te hebben zoals wet&lt;(&gt;&amp;&lt;)&gt;regelgeving voorschrijft.
Minimaal een veiligheidszuiger van de stofklasse M volgens EU-norm.
Statisch afleidende uitrusting. Toestelcontactdoos voor de aansluiting
van elektrisch gereedschap met in- en uitschakelautomaat incl.
naloopfunctie voor extra bedieningscomfort (Bosch Blauw Alleszuigers GAS
35 M AFC)
Technische specificaties:
• Automatische bediening vanop afstand: 1
• Automatische filterreiniging (AFC): 1
• Breedte: 450,0 mm
• Filtervlak: 6.150 cm²
• Gewicht: 12,4 kg
• Hoogte: 575,0 mm
• L-BOXX-opname: 1
• Lengte: 515,0 mm
• Max. onderdruk (turbine): 254 mbar
• Max. opgenomen vermogen (turbine): 1.380 W
• Max. volumestroom (turbine): 74 l/sec
• Plaatsing: De veelzijdige alleszuiger met automatische
filterreiniging
• Producttype: Alleszuigers
• Reservoirinhoud bruto: 35 l
• Reservoirvolume netto: 23 l
• Reservoirvolume netto water: 19,2 l
• Semi-automatische filterreiniging (SFC): 0
• Semi-automatische filterreiniging Plus (SFC+): 0
• Spanning, elektrisch: 230 V
• Stofklasse alleszuiger: M
• Stofklasse hoofdfilter: M
</t>
  </si>
  <si>
    <t>Stofzuiger afvoerzak geschikt voor stofzuiger,
met artikelnummer 20039890 (Bosch GAS 35 M AFC)
Pak = 10 stuks.</t>
  </si>
  <si>
    <t xml:space="preserve">Stofafzuigkap geschikt voor het bijna stofvrij slijpen van steen.
Behorend bij:
- stofzuiger artikelnummer 20039890
- slijpmachine artikelnummer 20003556
Geschikt voor 115 en 125 mm Bosch Haakse slijpers.
</t>
  </si>
  <si>
    <t xml:space="preserve">Stofzuiger hulpstuk (GDE 68)
Het stofzuiger hulpstuk is een  praktische en universeel voor grote
boordiameters en holle boorkronen, geschikt voor holle boorkronen tot 68
mm diameter. Voor een schoon resultaat: minder reinigingswerk achteraf,
ook voor de afzuiging bij natte boringen heel goed geschikt. Hoort bij
stofzuiger artikelnummer 20039890.
Eenvoudige bediening: aansluiten aan een stofzuiger is voldoende,
Onafhankelijk van het toestel: functioneert met alle borende machines.
Geen montage aan de machine vereist, geen bijkomend gewicht aan de
machine.
Boordiameter: max. 68 mm.
Gewicht: 325 g.
</t>
  </si>
  <si>
    <t>Stofzuigerfilter klasse M behorende bij stofzuiger,
met artikelnummer 20039890 (Bosch stofzuiger GAS 35 M AFC)</t>
  </si>
  <si>
    <t>Inbus slagdop 1/2"x12mm,
(DO696314A).</t>
  </si>
  <si>
    <t>Schroefverbindingsklem geïsoleerd 1-10mm2. Bereik 1 t/m 10mm2 voor
massieve aders en 1,5 t/m 6mm2 voor samengeslagen aders.</t>
  </si>
  <si>
    <t>Schroefverbindingsklem geïsoleerd 10-25mm2.</t>
  </si>
  <si>
    <t>Kabelbokje/krukje is om op te zitten of een kabel op te legen bij het
monteren van een MS-mof.
Men kan met het kabelbokje/krukje het gebukt/gehurkt staan afwisselen
met zitten.
Het kabelbokje is geschikt voor zowel drieaderige kabel als drie
éénaderige kabels</t>
  </si>
  <si>
    <t xml:space="preserve">Spuitgegoten bocht, PE100 - SDR11, dia. 315 mm, 30 graden, beide zijden
verlengd met 500 mm zwarte PE100 SDR11 buis (volgens NEN EN 1555-2), tbv
Elektrolas/stuiklas
</t>
  </si>
  <si>
    <t>Type: EECC 3x 11-29mm F42
 Samengestelde RVS kabelklem met universele ellipsvormige max. 3 voudige
klemblokken.
 Max. aandraaimoment: 6 Nm.
 Klemmen materiaal: RVS A2 304.
 Klemblok materiaal: PA6 V2.
 Gecertificeerd volgens PN-EM ISO/IEC 17025:2005 standaard.
 Montage klembereik: van 2 tot 42 mm. Geschikt voor C, rond, plat en
hoekprofielen.</t>
  </si>
  <si>
    <t>Type: EECC 3x 34-60mm F42
 Samengestelde RVS kabelklem met universele ellipsvormige max. 3 voudige
klemblokken.
 Max. aandraaimoment: 6 Nm.
 Klemmen materiaal: RVS A2 304.
 Klemblok materiaal: PA6 V2.
 Gecertificeerd volgens PN-EM ISO/IEC 17025:2005 standaard.
 Montage klembereik: van 2 tot 42 mm. Geschikt voor C, rond, plat en
hoekprofielen.</t>
  </si>
  <si>
    <t xml:space="preserve">Steekwagen aluminium inklapbare.  De steekwagen beschikt over een
eenvoudig en effectief systeem om de lading op zijn plaats te houden, de
banden van de steekwagen bestaan uit een hoogwaardige elastische
polymeer en combineren de voordelen van luchtbanden (rijcomfort,
schokdemping en geringe rolweerstand op oneven vloeren) met de
bedrijfszekerheid van massieve banden.
Draagvermogen: 125 kg.
Materiaal: aluminium.
Afmeting ingeklapt: 25x49cm
</t>
  </si>
  <si>
    <t xml:space="preserve">Drukregelaar is als test-set bedoeld om de leckomio (gaslekzoeker)
voorafgaande aan werkzaamheden te testen.
Omschrijving fabrikant:
Testset PED basis 35 l/h met testgas adapter HMG UNI V3
Artikelnummer 331020C
</t>
  </si>
  <si>
    <t xml:space="preserve">De monsternemer tbv ttransformator olie dient gebruikt te kunnen worden
icm een 60ml en een 500ml fles. (Monsternemer Fleetguard CC2802)
Bij IBAN1 (grootverbruiktrafo’s vrij domein klanten) en IBAN2
(grootverbruiktrafo’s vrij domein klanten die een IBAN2 DVO hebben
afgesloten) dienen oliemonsters genomen te worden.
IBAN2 heeft in de contracten vastgelegd dat er op zuur/doorslag en vocht
word gemeten (500ml fles)
IBAN1 wordt zuur en vocht als indicatoren te geanalyseerd (60ml fles)
</t>
  </si>
  <si>
    <t>Adapter tbv monsternemer.
De adapter dient een overbrugging te maken van de monsternemer met een
binnenschroefdraad van 32mm naar een buitenschroefhals van 38mm</t>
  </si>
  <si>
    <t>Fles 60ml tbv olie monsteren.
De fles dient van helder doorzichtig glas te zijn met afsluitbare dop
met een schroefhals van 32mm.
De 60ml fles is voor olie om in het lab de mate van zuurgraad en
vochtigheid te analyseren.</t>
  </si>
  <si>
    <t xml:space="preserve">Fles 500ml tbv olie monsteren.
De fles dient van helder doorzichtig glas te zijn met afsluitbare dop
met een schroefhals van 38mm.
Tijdens IBAN1 inspecties of onderhoud dient er mogelijk ook een
oliemonster op fysische/chemische eigenschappen genomen te worden. Dit
is het oliemonster welke in de grote pot (0,5 liter) word genomen. Met
dit monster wordt in het lab de zuurgraad, doorslagwaarde en het
vochtgehalte vastgesteld
</t>
  </si>
  <si>
    <t xml:space="preserve">Kaart "Onderhoud aan uw gasinstallatie"
1 blok = 50 vel
Model: CA-0076
</t>
  </si>
  <si>
    <t>Porseleinen diazed D01 smeltveiligheden 16A Type LE1416 Un = 400 V~ +
250 V- Ik = 50 kA~ / 8 kA - karakteristiek gG - overeenkomstig EN 60269
- VDE-keur</t>
  </si>
  <si>
    <t>Reduceerklem LE14M  D02 naar D01
(tbv Patroonlastscheider D01/02 1P 63A L71M)
Doos = 12 stuks!</t>
  </si>
  <si>
    <t>Patroonlastscheider D01/02 1P 63A    L71M  - geschikt voor D02
smeltpatroon - in combinatie met reduceerring ook geschikt voor D01
smeltpatroon - voorzien van visuele ledmelder</t>
  </si>
  <si>
    <t>FlexOV Device, OV schakeldevice met 4 relais, alleen in
combinatie met CDMA of GPRS modem te gebruiken.
Let op:
Krammetje aan het device tijdelijk vast plakken en niet los in de doos
meeleveren.</t>
  </si>
  <si>
    <t xml:space="preserve"> Montage beugel FlexOV; kunststof beugel tbv montage FlexOV apparaten in
de middenspanningsruimten.
De beugel bevat gefreesde gaten M5 om een kleine DIN-rail aan de zijkant
te monteren tbv de CDMA router en bovenop/voorkant gaten om de Elster
danwel Kaifa FlexOV apparaat te monteren.
Leveringsomvang:
- 1x PC montagebeugel
- 1x zakje met een DIN-Rail van 160mm en een Nylon sluitring
De beugel en het zakje met accessoires worden gelijktijdig geleverd maar
zijn niet onderling aan elkaar verbonden.
De beugel + DIN rail + kunststofring vormen samen 1 artikel en worden
altijd samen uitgeleverd.
</t>
  </si>
  <si>
    <t xml:space="preserve">Schuurgaas met een korrel 180 en 25mm breed voor het schoonschuren van
vuile en geschilderde leidingen tbv reparatiemateriaal (Synthoglass)
Schuurgaas 25mm Q421 korrel 180 A rol van 25meter
</t>
  </si>
  <si>
    <t xml:space="preserve">Slang tbv oliemonsteren; Slang Fleetquard 3899452S transparant tbv
monsteren met hoge isolatiewaarde.
Afgifte per meter.
Slangtype CC2802
</t>
  </si>
  <si>
    <t xml:space="preserve">Spanningstester KP-TEST 5 10-20  kV  bestaat uit de volgende onderdelen:
Meetadaptor voor capitool Sonde-elektrode
Capitole adapter
Magnefix adapter t.b.v. KP5
Kunststofkoffer zwart
Verloop adapter t.b.v. testers Spanningstester  10 kV DIO TEST Type: KP
II E voor buitengebruik, bestaande uit: - Spanningstester 10-20 kV
buitengebruik
Testhulpstuk voor Trafoveld Magnefix
Testhulpstuk voor Capitole
Testhulpstuk voor open systeem
Testhulpstuk voor Magnefix MD/MF
Geleverd in Transportkoffer
</t>
  </si>
  <si>
    <t>Sticker "Energiefraude"
Uitvoering:
Avery 400 removable witmat (beschrijfbaar)
Verpakking:
250 stuks in 1 pak
Model: CA-0079</t>
  </si>
  <si>
    <t>Warmte krimp eindsluiting buitenopstelling (set van 3)
voor XLPE 10-20kV 3x1x630 mm2,
inclusief  3 schroefkabelschoenen 500-630 mm2 met boutgat 17 mm
en
3 schroefkabelschoenen 25-95 mm2 met boutgat 13 mm voor het aardscherm.</t>
  </si>
  <si>
    <t xml:space="preserve">Laagspanningsstrook.
910 A, boven/onder-aansluiting,
1 SL3-3x/910+/HA/+ISKS 910 + strook van Jean Muller.
Fabrikaat Jean Mueller / Bestelnummer JM L392125799
Inclusief
- afschermkap
- set inbusbouten.
</t>
  </si>
  <si>
    <t xml:space="preserve">Dopsleutel met 1/2" aansluiting 12-kant 13mm, lange uitvoering, voorzien
van kogelvangsleuf, geschikt voor handgebruik, rand gekarteld,
vervaardigd uit vanadium staal 31CrV3, fijn geslepen en verchroomd.
(Gedore)
Type: ??
Maat: 13 mm.
Lengte: 82 mm.
Uitvoering: 12-kant.
Uitvoering volgens DIN 3124, ISO 2725-1.
Binnenvierkantaandrijving volgens DIN 3120 - C 12,5, ISO 1174.
</t>
  </si>
  <si>
    <t xml:space="preserve">Dopsleutel met 1/2" aansluiting 12-kant 17mm, lange uitvoering, voorzien
van kogelvangsleuf, geschikt voor handgebruik, rand gekarteld,
vervaardigd uit vanadium staal 31CrV3, fijn geslepen en verchroomd.
(Gedore)
Type: ??
Maat: 17 mm.
Lengte: 82 mm.
Uitvoering: 12-kant.
Uitvoering volgens DIN 3124, ISO 2725-1.
Binnenvierkantaandrijving volgens DIN 3120 - C 12,5, ISO 1174.
</t>
  </si>
  <si>
    <t xml:space="preserve">Gereedschapsrugzak om veilig en handenvrij gereedschap mee te nemen,
voorzien van handige opbergvakjes &lt;(&gt;&amp;&lt;)&gt; lussen aan de buitenkant van
de
rugzak, dubbele ritssluiting, afzonderlijk vak met extra beschermlaag
voor een laptop of elektrisch gereedschap, uitneembare
gereedschapshouder en gewatteerde, ventilerende rug &lt;(&gt;&amp;&lt;)&gt;
schouderriemen.
De rugzak heeft een verstevigd frame, blijft zowel gesloten als open
rechtop staan, zodat het gereedschap makkelijk toegankelijk is.
Vervaardigd van duurzaam materiaal: 600 x 600 denier en extra voorzien
van wielen &lt;(&gt;&amp;&lt;)&gt; telescopische handgreep.
Draagcapaciteit: 25 kg.
Afmeting: 36 x 27 x 46 cm.
Stanley 1-79-215
</t>
  </si>
  <si>
    <t xml:space="preserve">Tapbout zkt St8.8 M10x60 THVZ ds100,
Zeskantbout voorzien van metrische schroefdraad.
ISO passend.
Afmeting: M10 x 60 mm.
Norm: DIN933.
Materiaal: staal thermisch verzinkt.
Klasse: 8.8
Verpakkingseenheid: doos à 100 stuks.
</t>
  </si>
  <si>
    <t xml:space="preserve">Schroevendraaier zaagsn 4x 25 x 81, (Stubby)
Toepassing voor meetnippel gas. korte uitvoering voor schroeven met
sleuf, voorzien van 3-componentengreep, met ophanggat, kling uit
vanadium plus staal.
Uitvoering volgens DIN ISO 2380-2. (Gedore)
Blad Maat: 4mm,
Klinglengte: 25 mm,
Totale lengte: 81 mm.
EAN: 4010886815304
</t>
  </si>
  <si>
    <t xml:space="preserve">Filter voor boormachine met geïntegreerd afzuigsysteem.
Van toepassing bij Bosch boormachine type  GBH 2-23 REA; GSB 19-2.
Tbv Boorhamer geïntegreerd afzuigsysteem 20038730.
Filter 2607002614
</t>
  </si>
  <si>
    <t>Steeksleutel 8mm no. 8.
Steeksleutel met aan beide kanten een bek ban 8mm waarvan één verschoven
bekkopstand (bijna haaks) voor moeilijke toepassingsgebieden</t>
  </si>
  <si>
    <t xml:space="preserve">Buis staal met pe-coating,diam. 114,3 x 4,0mm,boorbuis,
HFI-langsnaadgelaste stalen buizen volgens, NEN-EN-ISO 3183, materiaal L
245 GA (1.0459), in lengten van 12 meter, met afgeschuinde einden en
fabriekskeuringscertifikaat EN 10204-3.1, uitwendige pe-coating volgens
DIN30670-S-v, kleur zwart, afgedekt met kunststof kappen.
</t>
  </si>
  <si>
    <t xml:space="preserve">Buis staal met pe-coating,diam. 168,3 x 4,5mm,boorbuis,
HFI-langsnaadgelaste stalen buizen volgens, NEN-EN-ISO 3183, materiaal L
245 GA (1.0459), in lengten van 12 meter, met afgeschuinde einden en
fabriekskeuringscertifikaat EN 10204-3.1, uitwendige pe-coating volgens
DIN30670-S-v, kleur zwart, afgedekt met kunststof kappen.
</t>
  </si>
  <si>
    <t xml:space="preserve">Buis staal met pe-coating,diam. 219,1 x 5,0mm, boorbuis,
HFI-langsnaadgelaste stalen buizen volgens, NEN-EN-ISO 3183, materiaal L
245 GA (1.0459), in lengten van 12 meter, met afgeschuinde einden en
fabriekskeuringscertifikaat EN 10204-3.1, uitwendige pe-coating volgens
DIN30670-S-v, kleur zwart, afgedekt met kunststof kappen.
</t>
  </si>
  <si>
    <t xml:space="preserve">Accu (GBA) 18 V 5,0 Ah M-C.
Toepasbaar voor elke 18 Volt Bosch acc machine.
Accu passend voor alle machines van een voltklasse.
Geen zelfontlading, geen geheugentest.
Accuspanning 18 V
Accucapaciteit 5 Ah
Gewicht 620 g
Grootte (lxbxh) 115X74X56 mm
</t>
  </si>
  <si>
    <t xml:space="preserve">Aanboorzadel toepasbaar als aftakzadel of blaasgatzadel 107mmx1 ½"
Polsafe materiaal: PVC/SV. Gastec QA-merk.
</t>
  </si>
  <si>
    <t xml:space="preserve">DIN00 kast inclusief meterbord en bedrading verticale opstelling,
meterbord boven de aansluitkast.
Aansluitklem mespatroonhouder geschikt voor 1,5 --70mm2 Al/Cu.
Externe aarding los meegeleverd. Uitwendige afmeting hxb=650x220 mm
(excl. Aardingsstrip)
Aarde/nulaansluiting inlegbuscontact 4x16+2x25+1x50mm²  voorzien van
afschermkap (wit).
Gedeelde kabelinvoer met "uienring" pakking onderin de kast, geschikt
voor kabeldiameter 15-21mm.
Kast middels spie gekoppeld aan het meterbord 350/220mm (het meterbord
kan 2cm worden ingekort)
Voorzien van 3 fasedraden 25mm² L=250mm, aangesloten op de secundaire
zijde van de mespatroonhouder en 1 nuldraad 16mm² L=280mm, aangesloten
op inlegbuscontact.
Meterbord bovenin voorzien van wartel M32.
Kast voorzien van sticker met aandraaimomenten en sticker waarop vermeld
staat dat de aders aangepeld moeten worden i.v.m. hergebruik van de
aarde/nulklem.
======================================
GE (voorheen)
naam: DIN00 kast verticaal
type: 602994
ABB (huidig)
naam: Bouwaansluitkast DIN00 vertikale uitvoering
type: HAK602994
</t>
  </si>
  <si>
    <t xml:space="preserve">DIN00 kast inclusief meterbord en bedrading horizontale opstelling,
meterbord naast de aansluitkast.
Aansluitklem mespatroonhouder geschikt voor 1,5 --70mm2 Al/Cu.
Externe aarding los meegeleverd. Uitwendige afmeting hxb=350x440 mm.
Aarde/nulaansluiting inlegbuscontact 4x16+2x25+1x50mm²  voorzien van
afschermkap (wit).
Gedeelde kabelinvoer met "uienring" pakking onderin de kast, geschikt
voor kabeldiameter 15-21mm.
Kast middels spie en spreidnagel gekoppeld aan het meterbord 330/220mm.
Voorzien van 3 fasedraden 25mm² L=600mm, aangesloten op de secundaire
zijde van de mespatroonhouder en 1 nuldraad 16mm² L=600mm, aangesloten
op inlegbuscontact.
Meterbord bovenin voorzien van wartel M32.
Kast voorzien van sticker met aandraaimomenten en sticker waarop vermeld
staat dat de aders aangepeld moeten worden i.v.m. hergebruik van de
aarde/nulklem.
==============================================
GE (voorheen)
naam: DIN00 kast horizontaal
type: 602993
ABB (huidig)
naam: Bouwaansluitkast DIN00 horizontale uitvoering
type: HAK602993
</t>
  </si>
  <si>
    <t xml:space="preserve">U-PROFIEL LAAG V OPSTELLING TRAFO LNG 1M
U- profiel 156 mm breed, 40 mm hoog lengte 1000 mm
tbv I-net
</t>
  </si>
  <si>
    <t>Fabrikant: WM Systems
Type: M2M Router 4G – 3G and 2G fallback
(router met voedingskabel en antenne en
beugels)
-----------------------------------------------------------
Laat de leverancier bij de levering van de order ook ons 20040148 nummer
vermelden en het 42- &lt;(&gt;&amp;&lt;)&gt; 45- ordernummer.
Wijzigingen in
- Leverdatum / aantal doorgeven per mail aan
Logistiek.Servicedesk@Liander.nl
- Fabrikanten / typecodes / leveranciers-artikelnummer / structurele
levertijden per mail aan Bestandsbeheer
Logistiek.Beheer@Liander.nl</t>
  </si>
  <si>
    <t xml:space="preserve"> Shielded ethernetkabel 50 cm</t>
  </si>
  <si>
    <t>Gasstation, type districtstation.
Ontwerp leverancier gAvilar, installatie Q-max. 200m3/h, inlaatdruk max.
8Bar - min. 3Bar, uitlaatdruk 100mbar, inlaat DN50, uitlaat DN80,
veiligheidsinlaatafsluiter is vlinderklep W.W. EVFS DN80 met Actuatech
GD106 stelcilinder en BD Opso Pneumax commandoventiel, filterhuis
50-50/125 haaks met filterelement  G1-GSF, regelaar Itron-233-12-8-61
met spuitstuk 3/8" met aangebouwde veiligheidafslagklep,
uitlaatafsluiter vlinderklep W.W. EVFS DN80, Opstal ZADOR, RVS kast 1/2
m3 + schoprand + fundatie, tekening nr. GA AS-ab2014-012.</t>
  </si>
  <si>
    <t>(kleine poort) aardingsstrip met een bevestiging,
inclusief draad geel/groen.
Verpakt in plastic zak.</t>
  </si>
  <si>
    <t>Special Insteekmiddel slangtule met een diameter van M10mm, en een spoed
van 1,5 mm/gang.</t>
  </si>
  <si>
    <t xml:space="preserve">Stofzuigerbuis BOSCH dia 35mm l=500mm kunststof
Set a 2st
Stofzuigerbuis van kunststof.
Behorende bij de bosch stofzuiger artnr. 20039890
Lengte: 50cm
Diameter: 35mm
Bosch type 2 607 000 162
</t>
  </si>
  <si>
    <t xml:space="preserve">Reciprozaagblad Bosch S1542K T8,5mm HCS kaart a 5st.
Pak = 5 stuks.
</t>
  </si>
  <si>
    <t>Reparatieset multi joint vervangen grippers en NBR rubber
DN 150</t>
  </si>
  <si>
    <t>Reparatieset multi joint vervangen grippers en NBR rubber
DN 200</t>
  </si>
  <si>
    <t>Reparatieset multi joint vervangen grippers en NBR rubber
DN 225</t>
  </si>
  <si>
    <t>Reparatieset multi joint vervangen grippers en NBR rubber
DN 250</t>
  </si>
  <si>
    <t xml:space="preserve">Montage beugel FlexOV, kunststof beugel tbv montage FlexOV apparaten in
de middenspanningsruimten.
De L-vormige halve montage beugel bevat gefreesde gaten om de kleine
DIN-rail te monteren tbv de CDMA router of het Elster danwel Kaifa
FlexOV apparaat. Te monteren conform montage instructies FlexOV.
</t>
  </si>
  <si>
    <t>Reparatieset multi joint vervangen grippers en NBR rubber
DN 100</t>
  </si>
  <si>
    <t>Reparatieset multi joint vervangen grippers en NBR rubber
DN 125</t>
  </si>
  <si>
    <t xml:space="preserve">Elektrolasmachine voor PE type MSA 2.1. tbv PE buis: De machine is snel
en eenvoudig te bedienen, met drie basis handelingen kan de machine
worden bediend: aansluiten, scannen en lassen. Is robuust, veilig en
ergonomisch.
Met de barcodescanner; lange afstand leesmogelijkheid, het afkoelsysteem
om in serie te lassen, icoongebruik is erop gericht om het proces te
vereenvoudigen:
De lasmachine heeft een intern geheugen van 1000 protocollen De
gebruiker kan de lasrapporten eenvoudig als pdf naar een USB stick
kopieren om uit te printen
Levering inclusief: transportkoffer, 1 paar hoekstekkers 4.0 mm, 1 paar
hoekstekkers 4.7 mm, bedieninginstructies, START/STOP badge en USB
stick. het mini welding book is optioneel
</t>
  </si>
  <si>
    <t xml:space="preserve">Gatzaag 19mm (tbv aanboortoestel 20040093)
Gatzaag Ipco 19mm FT tbv het Aanboortoestel tbv gasmeteropst.22/28mm
(20040093)
Type: 30950019FT; Art.nr.: A425007
Gatzaag 19 mm FT t.b.v. aanboorgereedschap (art.nr. A424844).
</t>
  </si>
  <si>
    <t xml:space="preserve">BO-stop  (tbv MEWIS) 3/4" M3FL (13 / 11,5 mm)
BO stop Ipco M3FL Wilson 3/4" verlengd  het Aanboortoestel tbv
gasmeteropst.22/28mm (20040093)
Type: M3FL Wilson Art.nr.: A425011
IPCO BOSTOP (VERL. WILSON) 3/4" speciaal flex (13 / 11,5 mm), t.b.v.
aanboorgereedschap (art.nr. A424844).
</t>
  </si>
  <si>
    <t xml:space="preserve">Sticker met opdruk:
Liander Netdruk is/wordt 100 mbar REGELAAR NIET VERWIJDEREN.
Toepassing bij gebieden met drukverhoging
1 vel = 10 stickers
</t>
  </si>
  <si>
    <t>Reparatieset multi joint vervangen grippers en NBR rubber
DN 300</t>
  </si>
  <si>
    <t xml:space="preserve">Reparatieset bouten voor MJ3000 DN125 - DN150
(vervangen bouten set)
(Deze kan ook gebruikt worden voor DN125)
Set bestaat uit:
- 4 bouten M16x90
- 4 moeren M16
- 4 ringen M16
</t>
  </si>
  <si>
    <t>Reparatieset bouten voor MJ3000 DN200
(vervangen bouten set)
Set bestaat uit:
- 6 bouten M16x100
- 6 moeren M16
- 6 ringen M16</t>
  </si>
  <si>
    <t>Reparatieset bouten voor MJ3000 DN225-250
(vervangen bouten set)
Set bestaat uit:
- 6 bouten M20x110
- 6 moeren M20
- 6 ringen M20</t>
  </si>
  <si>
    <t xml:space="preserve">Reparatieset bouten voor MJ3000 DN300 - DN350
(vervangen bouten set)
Set bestaat uit:
- 8 bouten M20x110
- 8 moeren M20
- 8 ringen M20
</t>
  </si>
  <si>
    <t>Overgangsstuk stalen flens op PE, samengesteld met een stalen flens
volgens NEN-EN 1091-1/PN16/DN50, verbinding staal op PE gefixeerd dmv
stalen ring volgens NEN-EN 10216 (DIN 2448), PE buisdeel SDR11/63mm/NEN-
EN 1555-2. Stalen delen geconserveerd volgens NEN6905.</t>
  </si>
  <si>
    <t>Overgangsstuk stalen flens op PE, samengesteld met een stalen flens
volgens NEN-EN 1091-1/PN16/DN80, overgang van staal DN80 naar PE 110mm
dmv stalen lasverloop 80x110, verbinding staal op PE gefixeerd dmv
stalen ring volgens NEN-EN 10216 (DIN 2448), PE buisdeel
SDR11/110mm/NEN-EN 1555-2. Stalen delen geconserveerd volgens NEN6905.</t>
  </si>
  <si>
    <t>Overgangsstuk stalen flens op PE, samengesteld met een stalen flens
volgens NEN-EN 1091-1/PN16/DN100, verbinding staal op PE gefixeerd dmv
stalen ring volgens NEN-EN 10216 (DIN 2448), PE buisdeel
SDR11/110mm/NEN-EN 1555-2. Stalen delen geconserveerd volgens NEN6905.</t>
  </si>
  <si>
    <t>Overgangsstuk stalen flens op PE, samengesteld met een stalen flens
volgens NEN-EN 1091-1/PN16/DN150, verbinding staal op PE gefixeerd dmv
stalen ring volgens NEN-EN 10216 (DIN 2448), PE buisdeel
SDR11/160mm/NEN-EN 1555-2. Stalen delen geconserveerd volgens NEN6905.</t>
  </si>
  <si>
    <t>Overgangsstuk stalen flens op PE, samengesteld met een stalen flens
volgens NEN-EN 1091-1/PN16/DN200, verbinding staal op PE gefixeerd dmv
stalen ring volgens NEN-EN 10216 (DIN 2448), PE buisdeel
SDR11/200mm/NEN-EN 1555-2. Stalen delen geconserveerd volgens NEN6905.</t>
  </si>
  <si>
    <t xml:space="preserve">Statische kWh-meter voor AMR
Producent:    Iskraemeco
Type:     AM550-ED1.02
Nauwkeurigheidsklasse   MID A
Aantal fasen:    1
Aansluiting:    Direct
Spanning (V):    230 V
Stroom (A):    5(80)
Aantal energierichtingen:  2
Tariefprogramma:   Conform Configuration List
Communicatiemedium:   CDMA
Protocol:    DLMS
SMR Compliant:   SMR 5.0
 (Smart Meter Requirement)
Schakelaar:    Geen
Barcode    Conform Liander Standaard.
</t>
  </si>
  <si>
    <t>BioSafe A is een geconcentreerde, waterverdunbare ontvetter op basis van
volledig biologisch afbreekbare en natuurlijke oppervlakteactieve
bestanddelen en detergenten.
Met dit product wordt rekening gehouden met mens en milieu, gebruik
maakt van biobased materialen, zonder dat dit ten koste gaat van de
kwaliteit van het reinigen.</t>
  </si>
  <si>
    <t xml:space="preserve">Mespatroon 361A DIN 4
met middenmelder,
karakteristiek gTr,
type N4306100
voor trafo 250 kVA
</t>
  </si>
  <si>
    <t xml:space="preserve">Mespatroon 577A DIN 4
met middenmelder,
karakteristiek gTr,
type N4306700
voor trafo 400 kVA
</t>
  </si>
  <si>
    <t xml:space="preserve">Mespatroon 909A DIN 4
met middenmelder,
karakteristiek gTr,
type N4307500
voor trafo 630 kVA
</t>
  </si>
  <si>
    <t>PE afblaasunit wordt geleverd in onderdelen.
1. PE kogelkraan 63mm
2. Kunststof onderplaat te fixeren d.m.v. kabelbinders
3. Spindelopbouw, lengte aan te passen op locatie
4. Afsluiterkop (geel)
5. PE knie 63mm
6. 2 x PE lassok 63mm
7. Buisdeel PE 63mm
8. Aansluitadapter met druk indicator
9. 2x metalen fixatie beugels (rubber inlage) met draadeind
10. Montage instructie.</t>
  </si>
  <si>
    <t xml:space="preserve">Kunststof zegelkap met kliksluiting, 1-delig, geel tbv gas, Fabr: KZ;
Type: VZ40669, d1 = 48 mm; d2 = 43 mm; tbv: kraankoppeling met G1 ¼"
</t>
  </si>
  <si>
    <t xml:space="preserve">Fundatieplaat, materiaal: EPS. Eenheid: 200kPa (= druksterkte bij 10%
vervorming). Afmeting LxBxH = 2 x 1 x 0,25mtr. Aanbreng methodiek
conform N3456.
</t>
  </si>
  <si>
    <t xml:space="preserve">Inbusschroevendraaier zeskant 2,5x75 mm,
lengte ca. 186mm in schroevendraaier-model.
Volgens norm NEN-EN-IEC 60900, (dompelisolatie) (VDE).
Ergonomische handgreep voorzien van zachte maar stevige grip en dient
volledig gesloten te zijn.
Voor werkzaamheden aan spanningvoerende delen tot 1.000 V AC en 1500V
DC.
Toepassing:
Voor binnenzeskantschroeven  (WIHA)
</t>
  </si>
  <si>
    <t xml:space="preserve">Klemmenkast voor meetbedrijf grootverbruik AC5 en AC6 aansluitingen.
VMS32 kast voorzien van klemmenstrook op DIN profiel.
Wordt geleverd incl. Sticker "aansluitzijde netbeheerder".
De 220 zijden van de kast zijn voorzien van wartelplaten.
De 320 zijden van de kast zijn voorzien van blindplaten.
Doorzichtig deksel.
</t>
  </si>
  <si>
    <t xml:space="preserve">Aanboorzadel toepasbaar als aftakzadel 149-169mmx1½" Polsafe materiaal:
RVS met NBR rubber.
</t>
  </si>
  <si>
    <t xml:space="preserve">Aanboorzadel toepasbaar als aftakzadel of blaasgatzadel 149-169mmx2"
Polsafe materiaal: RVS met NBR rubber.
</t>
  </si>
  <si>
    <t xml:space="preserve">Afdichtring / Dichtring / Pakkingring voor gasmeterkoppeling  G1
¾"volgens ISO 228-1, voor G10  en S-koppeling G10 DIN. Pakkingring /
nitrilring / dichtring materiaal: nitril, hardheid: shore 80,
afmetingen: 49 x 40,2 x 2, bestemd voor G10 (oud) gasmeters DIN  1 3/4"
algemene tolerantie ±0,2, rubber volgens NEN-EN 549
</t>
  </si>
  <si>
    <t xml:space="preserve">Afdichtring / Dichtring / Pakkingring / nitrilring, materiaal: NBR80-SEM
, hardheid: shore 80, afmetingen: 53,5 x 42,0 x 2, Bestemd voor puntstuk
1.1/2" voor gasleidingen.
</t>
  </si>
  <si>
    <t xml:space="preserve">Afdichtring / Dichtring / Pakkingring / nitrilring, materiaal:
NBR80-SEM, hardheid: shore 80, afmetingen: 65,5 x 54,0 x 2,Voor kraan
koppeling
</t>
  </si>
  <si>
    <t xml:space="preserve">Gasdrukregelaar, merk: Gascat. Type: Brise-plus gasgestuurd met
geintegreerde veiligheidafslagklep. Nominale diameter: DN50 / PN16 / 4
gats. Ingeregeld op een uitlaatdruk van +/- 30 mbar.
</t>
  </si>
  <si>
    <t>Zakkende grondconstructie 2" voor max 200 mbar incl:
• 1x RVS 304 beugel en flensset ZGC 110/63
• 2x RVS A2 tapbout M12x25mm met sluitring,
t.b.v. plaatsing zijkant flens/beugel.
• 4x RVS A2 tapbout M12x35mm met sluitring,
t.b.v. bevestiging bovenflens op onderflens.
• 1x O-ring NBR 110x8mm gas.
• 6x RVS bout met plug SXR M10x80 FUS,
t.b.v. bevestiging aan de fundatie.
• 1x PE ZGC bovendeel t.b.v. doorvoer door de gevel 63mm.
• 1x PE ZGC zak-deel 200 mm met uitlaat 110mm.
• 1x electrolasverloop  GF 110x63
• Qa-keur
• Montage handleiding</t>
  </si>
  <si>
    <t>Zakkende grondconstructie 4" voor max 200 mbar incl:
• 1x RVS 304 beugel en flensset ZGC 110/63
• 2x RVS A2 tapbout M12x25mm met sluitring,
t.b.v. plaatsing zijkant flens/beugel.
• 4x RVS A2 tapbout M12x35mm met sluitring,
t.b.v. bevestiging bovenflens op onderflens.
• 1x O-ring NBR 110x8mm gas.
• 6x RVS bout met plug SXR M10x80 FUS,
t.b.v. bevestiging aan de fundatie.
• 1x PE ZGC bovendeel t.b.v. doorvoer door de gevel 63mm.
• 1x PE ZGC zak-deel 200 mm met uitlaat 110mm.
• Qa-keur
• Montage handleiding</t>
  </si>
  <si>
    <t xml:space="preserve">Slang tbv drukverschilmeter.
Slang bestaande uit een spiraalslang 2x snelkoppeling en anti knikveer.
Artikel:
21SF-SL643-21SF (Spiraalslang PU-6/4-3m met 2 x snelkoppeling 21SF en
anti knikveer)
</t>
  </si>
  <si>
    <t xml:space="preserve">Snelkoppeling 21KA 20SF (rectus20-&gt;21).
Behoort bij meetslang, verloop van rectus 20 naar 21 passend op digitale
manometer.
Artikel: 21KA-20SF
</t>
  </si>
  <si>
    <t xml:space="preserve">Meetslang met rectus 21 X pete’s insteeknippel
Artikel: PP0024-6-4-sam1 (met rectus 21)
</t>
  </si>
  <si>
    <t xml:space="preserve">Ontvetter/remmenreiniger met hoog oplossend vermogen.
Laat geen residu achter, is niet geleidend en niet corrosief.
Het middel heeft een krachtig, gericht spuitbeeld en is onder elke hoek
te gebruiken.
Inhoud: spuitbus à 500 ml.
</t>
  </si>
  <si>
    <t xml:space="preserve"> Brugstuk tbv Zakkende grondconstructie 2" en 4" inclusief:
• 1x RVS 304 brugstuk (J)
• 4x RVS bout  M10 x 20mm t.b.v. bevestiging aan ZGC
• 4x RVS sluitring
• 4x RVS moer M10
• Montage handleiding</t>
  </si>
  <si>
    <t xml:space="preserve"> RVS strippenset  voor brugstuk tbv Zakkende grondconstructie
2" en 4" inclusief :
• 2x RVS 304  strip
• Montage handleiding
</t>
  </si>
  <si>
    <t>Enkelpolige langzaam-aardingsset transformatorveld, met tas,
aardingspennen met kogelbout rond 20mm en een 3 fase kortsluitrail.</t>
  </si>
  <si>
    <t xml:space="preserve">Statische kWh-meter voor AMR
Producent:    L+G
Type:
Nauwkeurigheidsklasse   MID A
Aantal fasen:    1
Aansluiting:    Direct
Spanning (V):    3 x 230/400 V
Stroom (A):    0,25 - 5(100)
Aantal energierichtingen:  2
Tariefprogramma:   Conform Configuration List
Communicatiemedium:   CDMA
Protocol:    DLMS
DSMR Compliant:   SMR 5.0
 (Dutch Smart Meter Requirement)
Barcode    Conform Liander Standaard + QR code
</t>
  </si>
  <si>
    <t xml:space="preserve">Statische kWh-meter voor AMR
Producent:    L+G
Type:
Nauwkeurigheidsklasse   MID A
Aantal fasen:    1
Aansluiting:    Direct
Spanning (V):    230 V
Stroom (A):    5(80)
Aantal energierichtingen:              2
Tariefprogramma:   Conform Configuration List
Communicatiemedium:           GPRS
Protocol:    DLMS
DSMR Compliant:               SMR 5.0
 (Dutch Smart Meter Requirement)
Barcode:
Conform Liander Standaard + QR code
</t>
  </si>
  <si>
    <t xml:space="preserve">Statische kWh-meter voor AMR
Producent:    L+G
Type:
Nauwkeurigheidsklasse   MID A
Aantal fasen:    1
Aansluiting:    Direct
Spanning (V):    3 x 230/400 V
Stroom (A):    0,25 - 5(100)
Aantal energierichtingen:  2
Tariefprogramma:   Conform Configuration List
Communicatiemedium:   GPRS
Protocol:    DLMS
DSMR Compliant:   SMR 5.0
 (Dutch Smart Meter Requirement)
Barcode    Conform Liander Standaard + QR code
</t>
  </si>
  <si>
    <t xml:space="preserve">Krompasser vervaardigd uit staal, voorzien van vastzetschroef en geharde
punten.
Lengte: 150 mm.
Type: 477101
</t>
  </si>
  <si>
    <t xml:space="preserve">Krompasser vervaardigd uit staal, voorzien van vastzetschroef en geharde
punten.
Lengte: 200 mm.
Type: 477102
</t>
  </si>
  <si>
    <t xml:space="preserve">Krompasser vervaardigd uit staal, voorzien van vastzetschroef en geharde
punten.
Lengte: 300 mm.
Type: 477104
</t>
  </si>
  <si>
    <t xml:space="preserve">Schuifmaat (digitaal) Mitutoyo 500-182-30 0-200mm.
Deze Digimatic schuifmaat maakt het mogelijk betrouwbaar te meten en
biedt u de volgende voordelen:
Dankzij de inductieve opnemer wordt het detectiesignaal niet beïnvloed
door vuil(water, olie, enz.) op het oppervlak van de liniaal.
Karakterhoogte: 9 mm.
De ABSOLUTE liniaal heeft geen nulinstelling nodig na inschakelen en
heeft ook geen gelimiteerde response snelheid.
Buitengewoon lange batterijduur.
Type: 500-182-30
Nauwkeurigheid: +/- 0,02 mm.
Bereik: 0 - 200 mm.
Wordt standaard geleverd in opbergdoos, inclusief 1 batterij.
</t>
  </si>
  <si>
    <t>Deur Xiria Eaton 20kA-1s + 100 mm,
artikel nummer Eaton 6800215</t>
  </si>
  <si>
    <t xml:space="preserve">BOSTOP1. IPCO BOSTOP 1.¼" standaard vast (32 / 23 mm)
BO stop IPCO M5V 1.¼" met flexibele greep en geschikt.
Type: 06BOSTOP1.¼"M5V
</t>
  </si>
  <si>
    <t xml:space="preserve">Bo-stop huis 1,5" (IPCO Bostop huis 1.1/4"-1.1/2"),
voor Bo-stop 1.¼" standaard vast (32 / 23 mm)
</t>
  </si>
  <si>
    <t>Hybride mof
geschikt voor 20kV XLPE 1x150-240 mm2 Al.
Inclusief schroefverbinders.</t>
  </si>
  <si>
    <t xml:space="preserve">Beugel HEHA 760x100x8, Herman Hartgers Beugel voor het meten van
hoekverdraaiing bij elektromoffen.
Fabr MCA, Type 100500.
</t>
  </si>
  <si>
    <t xml:space="preserve">Beugel HEHA 850x100x8, Herman Hartgers Beugel voor het meten van
hoekverdraaiing bij elektromoffen.
Fabr MCA, Type 100501
</t>
  </si>
  <si>
    <t>Spleetmondstuk 250 mm voor Stofzuiger
(GAS 35 M AFC) van Bosch. (2 607 000 165)</t>
  </si>
  <si>
    <t>Vloerzuigmondset voor Stofzuiger
(GAS 35 M AFC) van Bosch. (1 609 390 478)</t>
  </si>
  <si>
    <t>Bochtstuk voor Stofzuiger
(GAS 35 M AFC) van Bosch. (2 608 000 573)</t>
  </si>
  <si>
    <t>Kaart A5 – Nieuwe afspraak Gaslekzoeken
Versie:
CA-0086 "Kaart Verzoek om afspraak gasinspectie_A5 04.17
1 Pak/Blok = 50 vel</t>
  </si>
  <si>
    <t>Kabelset DA-kast-beveiligingskast i-Net. t.b.v. compact station. 3 mtr
5-velder Xiria.
Artikelnummer leverancier 1110-2274.</t>
  </si>
  <si>
    <t>Losse accu voor DA-kast 1100-0402</t>
  </si>
  <si>
    <t>Losse P111n Scheider relais 2418-0182</t>
  </si>
  <si>
    <t>Losse snoer deur contact 20 mtr 1110-2251</t>
  </si>
  <si>
    <t xml:space="preserve">Paraplu tbv montagewerk 250cm.
Goed lichtdoorlatende kunststof doek, vlamdovend (TNO getest) en kan
niet rotten. Robuust frame bestaat uit zeer stevige u-profielribben
waardoor de parasol tegen flinke wind bestand hoort zijn.
Parasol wordt inclusief stevige opbergzak.
Breedte: 2,5 meter.
</t>
  </si>
  <si>
    <t xml:space="preserve">Bouwlamp Led (accu 18V).
Accu niet bijgeleverd. De 18 Volt accu van de bosch machines zijn
uitwisselbaar met alle 18 Volt machines.
Werken op elk moment van de dag: uitstekende verlichting door een
snoerloze, krachtige LED met tot wel 1900 lumen. Accugebruiksduur tot 8
uur. Bruikbaar in elke werksituatie en 5 instelbare posities en een
5/8"-statiefschroefdraad. Voorzien van een sterk frame en eenvoudige
hantering garanderen de noodzakelijke kwaliteit voor de bouwplaats.
Aan/uit-schakelaar: incl. dimmerfunctie in 2 standen.
Accuspanning 14,4–18 V
Lichtstroom 1900 lumen
Gewicht excl. accu 1,6 kg
</t>
  </si>
  <si>
    <t xml:space="preserve">Schakelhandgreep t.b.v. type Coq O-0-10 &lt;(&gt;&amp;&lt;)&gt; O-¼-10 van stevig
geïsoleerd materiaal met handvat.
Hiermee kunnen de drie schakelstokken gelijktijdig worden aangebracht.
Hard Pvc Rood: 4mm dik.
</t>
  </si>
  <si>
    <t xml:space="preserve"> Armaflex AF-4-022-A; nom. 19mm wanddikte; Voorzien van radiale en
axiale zelfklevende strips in slang en externe tape-laag om openbreken
te voorkomen;  L=500mm;  Slang is onderdeel van CE-keur.</t>
  </si>
  <si>
    <t xml:space="preserve"> Armaflex AF-4-028-A; nom. 19mm wanddikte; Voorzien van radiale en
axiale zelfklevende strips in slang en externe tape-laag om openbreken
te voorkomen;  L=500mm;  Slang is onderdeel van CE-keur.</t>
  </si>
  <si>
    <t xml:space="preserve"> Schuimkap type Solcap 1; 75mm;  Schuimkap maakt deel uit van CE-keur.</t>
  </si>
  <si>
    <t>Schuimkap type Solcap 2; 111mm; Schuimkap maakt deel uit van CE-keur.</t>
  </si>
  <si>
    <t>Schuimkap type Solcap 3; 161mm; Schuimkap maakt deel uit van CE-keur.</t>
  </si>
  <si>
    <t xml:space="preserve"> Wiggen; kunststof; Zwart;  H= 10mm, L=50mm, D=5mm.</t>
  </si>
  <si>
    <t xml:space="preserve">Toolkit voor gasregelstations: De toolkit bevat meerdere gereedschappen
voor verschillende regelaars welke in Liander gasstations kunnen
voorkomen.
Inhoud: Zie ook productinformatie.
Hulpstuk tbv HAS set, 2x met verschillende afmetingen
Dop tbv veiligheidsafsluiter, 3x met verschillende afmetingen
Sleutel (Rockwell)
Sleutel (RMG)
Vorksleutel (W&lt;(&gt;&amp;&lt;)&gt;S)
Sleutel (IGA)
T-Sleutel, 6x met verschillende afmetingen
Instelsleutel
Sleutel (IGA)
Inbussleutel 19mm
</t>
  </si>
  <si>
    <t xml:space="preserve"> Aquaswell kit voor kelderwand waterdicht Soudal Aquaswell 1-component
PUR voor waterdicht afdichten van kelderwanden.  Koker voor standaard
kitpistool 310ml. Set = incl tuit en Nitril handschoenen.</t>
  </si>
  <si>
    <t xml:space="preserve">Omtrekmeter 60-950mm RVS.
Precisie omtrek-meter, waarbij de schaalverdeling met laser is
opgebracht. De aflees nauwkeurigheid moet op 0,1 mm nauwkeurig zijn v
olgens de NTA.(en de N9993).
Twee schaalverdelingen:
Diameter 20-300 en Omtrek 60-950 in mm
Nonius 0,1 mm.
Naar DIN 866-B specificatie.
</t>
  </si>
  <si>
    <t xml:space="preserve">Kunststof zegelkap met kliksluiting, 1-delig, geel tbv gas, Fabr: KZ;
Type: VZ40691, d1 = 16 mm; d2 = 21 mm; Tbv: kraankoppeling met G 1/2"
</t>
  </si>
  <si>
    <t xml:space="preserve">Aanwijspaal voor gasafsluiter aanduiding, vervaardigd van gerecycled
kunststof, afmetingen: breed 150mm x diep 40mm x lengte 1200mm, kleur
zwart, voorzien van 1 aanduiding bord geel 120 x 160mm met zwarte
opschrift "GAS Liander", aanduidingsbord is molest bestendig gefixeerd,
paal is uitgerust met punt, ankergat en ankerbuis.
</t>
  </si>
  <si>
    <t xml:space="preserve">Aanwijspaal voor zinker aanduiding, vervaardigd van gerecycled
kunststof, afmetingen: breed 150mm x diep 40mm x lengte 1200mm, kleur
zwart, voorzien van 1 aanduiding bord geel 120 x 160mm met zwarte
opschrift "Z GAS Liander",  aanduidingsbord is molest bestendig g
efixeerd, paal uitgerust met punt, ankergat en ankerbuis.
</t>
  </si>
  <si>
    <t xml:space="preserve">Xiria 3 frame 1220 mm x 1010 mm thermisch verzinkt.
Voor het plaatsen van een Xiria boven een sparing.
Per SET verpakken!
</t>
  </si>
  <si>
    <t>Aanwijspaal tbv zinker aanduiding vervaardigd van gerecycled kunststof -
afmeting BxDxH 150x40x1200mm – voorzien van 1 aanduiding bord geel
120x160mm – aanduiding bord molest bestendig gefixeerd – Paal uitgevoerd
met punt, ankergat en ankerbuis.</t>
  </si>
  <si>
    <t>Kabelbevestigingsblok voor single kabels (3stuks)
XLPE/PILC diameter 26-38 mm tbv Xiria</t>
  </si>
  <si>
    <t xml:space="preserve">Verloopsok malleable binnendraad-binnendraad 1½"x¾". nr240
</t>
  </si>
  <si>
    <t xml:space="preserve">Soknippel verloop, verloopsok nippel malleable binnendraad-buitendraad
¼"x1/8". nr246
</t>
  </si>
  <si>
    <t xml:space="preserve">Soknippel verloop, verloopsok nippel malleable binnendraad-buitendraad
1½"x¾". nr246
</t>
  </si>
  <si>
    <t xml:space="preserve">Rubberen manchet afdichting. Waterdichte afdichting tussen mantelbuis en
gasvoerende buis. Uitwendige maat mantelbuis range 160-180mm.
Afsluitmanchet mantelbuis.
</t>
  </si>
  <si>
    <t>Test unit voor dubbelpolige spanningstester.
De testunit dient een spanning te generen tot 690 Volt en voldoende
vermogen om de dubbelpolige spanningstester te activeren (10W)</t>
  </si>
  <si>
    <t xml:space="preserve">Silicagel (bus=3kg)
KC-Trockenperlen Orange Chameleon 2050 (BASF)
Artikel nummer leverancier 3KG: 19331601
</t>
  </si>
  <si>
    <t>Slijpmachine hks 18V zonde accu/lader!K; Borstelloze kleine haakse
accuslijper met beveiligingsschakelaar en het vermogen van een bekabeld
1000 W-apparaat. Met beveiligingsschakelaar, unieke sensorgebaseerde
KickBack Control en intelligent remsysteem. Spanmoer zonder gereedschap
voor eenvoudige en gemakkelijke bediening.
Technische gegevens: Slijpmachine, Type GWS18V-10P; Diameter slijpschijf
125 mm; Gewicht excl. Accu 1.9 kg; Onbelast toerental 9.000 min-1;
Schroefdraad van slijpas M14.</t>
  </si>
  <si>
    <t xml:space="preserve">Deksel voor toepassing op oude GEB aansluitkasten (O&lt;(&gt;&amp;&lt;)&gt;K kast) voor
aftakking stijgleiding en met één schroefpatroonhouder.
Afmeting deksel is ……(deze nog invoegen, moet fysiek worden nagemeten).
</t>
  </si>
  <si>
    <t>Adapter G 1" voor affakkelinstallatie.
Fabrieksnummer 402030.</t>
  </si>
  <si>
    <t>Koppeling, mof-mof, met RVS (A2) bouten.
Nom. diam.: DN 400 x DN 300
Aansluitmaten: 392-433 x 315-356
Werkdruk: 5 bar (gas), 16 bar (water) NBR-afdichtingen.
Huis: Nodulair Gietijzer (GGG40)
Uni-Fiksers Inbouwlengte: 552 - 648 mm.
Fabrikant: Georg Fischer
Type : Multi-joint 3007+, trekvast.</t>
  </si>
  <si>
    <t xml:space="preserve">DN50 - mechanisch bereik 46-71 op PE 63 mm.
Werkdruk MOP 8 bar.
Materiaal: behuizing nodulair gietijzer GGG45.
Klemring: nodulair gietijzer GGG45.
Coating: resicoat epoxy poedercoating.
Type: RT Varioseal ring. NBR volgens EN 682.
Unifiksring: progressieve afdichting POM en glasvezel.
Uni fiksers: RVS A4 (AISI 316)
Bouten: RVS A2 voorzien van teflon.
Moeren: gegalvaniseerd en gepassiveerd.
Onderlegring: RVS A2 (AISI 316)
PE spie-eind. PE100 SDR11.
</t>
  </si>
  <si>
    <t xml:space="preserve">Aansluitkast t.b.v. een MLOEA,
(meerdere leveranciers op een aansluiting) KV aansluiting.
=========================================
GE (voorheen)
naam: OK_NEN aansluitkast tbv MLOEA KV
type: 602973
ABB (huidig)
naam: Aansluitkast t.b.v. MLOEA KV
type: HAK602973
</t>
  </si>
  <si>
    <t>Verlengkast stijgleidingkabel t.b.v. openrailkast flataansluiting.</t>
  </si>
  <si>
    <t xml:space="preserve">LS-REK R5 V 5 GROEPEN M 1 GROEP 250A V C3P rail 50 x 10 mm, rev: A
Artikelnummer 1270405
Rek is voorzien van ophangbeugel en aangepaste afmetingen
</t>
  </si>
  <si>
    <t>Peko dienstleiding PE25, met Cu15mm lengte 6,25 meter.</t>
  </si>
  <si>
    <t>Peko dienstleiding PE25, met Cu15mm lengte 1,85 meter.</t>
  </si>
  <si>
    <t>Rechte overgangskoppeling, malleable,
van PE naar staal,
PE 25 SDR 17,6 TV x staal 3/4"
inclusief steunbus.
Voldoet aan de NEN-EN 1555-2 (nieuwe uitvoering)
Georg Fischer.</t>
  </si>
  <si>
    <t xml:space="preserve">Kogelkraan haaks, kogelafsluiter voor gas met vleugelknopbediening;
materiaal: messing;
werkdruk MOP 0.2;
aansluiting: cilindrisch afdichtend binnendraad Rp 3/4"
aansluiting: wartelbuitendraad G 1".
Doorlaat: 16mm / DN20.
Keur:QA.
</t>
  </si>
  <si>
    <t xml:space="preserve">Dop zeskant. Malleable fitting binnendraad ½". nr300.
</t>
  </si>
  <si>
    <t xml:space="preserve">Dop zeskant. Malleable fitting binnendraad 1¼". nr300
</t>
  </si>
  <si>
    <t xml:space="preserve">Dop zeskant. Malleable fitting binnendraad 1½". nr300
</t>
  </si>
  <si>
    <t xml:space="preserve">Dop zeskant. Malleable fitting binnendraad 2". nr300
</t>
  </si>
  <si>
    <t xml:space="preserve">Dubbele nippel malleable, buitendraad-buitendraad ¾". nr280
</t>
  </si>
  <si>
    <t xml:space="preserve">Dubbele nippel malleable, buitendraad-buitendraad 2". nr280
</t>
  </si>
  <si>
    <t xml:space="preserve">Sok malleable binnendraad-binnendraad ¼". nr270
</t>
  </si>
  <si>
    <t xml:space="preserve">Sok malleable binnendraad-binnendraad ½". nr270
</t>
  </si>
  <si>
    <t xml:space="preserve">Sok malleable binnendraad-binnendraad 2". nr270
</t>
  </si>
  <si>
    <t>Peko dienstleiding PE25, met Cu15mm lengte 7,50 meter.</t>
  </si>
  <si>
    <t xml:space="preserve">Blaasgatzadel PE 63mm x 2bi" - 2.1/2bu".
</t>
  </si>
  <si>
    <t xml:space="preserve">Magneet voorzien van haak (tbv RMU).
De magneet haak is bedoeld voor het ophangen van een kunststof
afbakeningsketting welke rood/wit gekleurd is.
Met deze ketting worden naastliggende plekken afgebakend welke niet
betreden mogen worden tijdens werkzaamheden.
Neodymium potmagneet m/haak W32NDH-Ni.
</t>
  </si>
  <si>
    <t xml:space="preserve">Afbakeningsketting 25meter, 55x22x6mm rood/wit PE.
In combinatie met de magneethaak wordt de kunststof ketting opgehangen
om naastliggende plekken af te bakenen welke niet betreden mogen worden
tijdens werkzaamheden.
Afzetketting rood / wit vervaardigd uit kunststof.
Afmetingen: 55 x 22 x 6 mm.
Zak a 25 meter.
</t>
  </si>
  <si>
    <t xml:space="preserve">Statische kWh-meter voor AMR
Producent:    Iskraemeco
Type:     AM550-TD2.04
Nauwkeurigheidsklasse   MID A
Aantal fasen:    3
Aansluiting:    Direct
Spanning (V):    3 x 230/400 V
Stroom (A):    5(100)
Aantal energierichtingen:  2
Tariefprogramma:   Conform Configuration List
Communicatiemedium:   CDMA
Protocol:    DLMS
SMR Compliant:   SMR 5.0
 (Smart Meter Requirements)
Schakelaar:    Geen
Barcode    Conform Liander Standaard .
</t>
  </si>
  <si>
    <t xml:space="preserve">Statische kWh-meter voor AMR
Producent:    Iskraemeco
Type:     AM550-ED1.04
Nauwkeurigheidsklasse   MID A
Aantal fasen:    1
Aansluiting:    Direct
Spanning (V):    230 V
Stroom (A):    5(80)
Aantal energierichtingen:  2
Tariefprogramma:   Conform Configuration List
Communicatiemedium:   CDMA
Protocol:    DLMS
SMR Compliant:   SMR 5.0
 (Smart Meter Requirement)
Schakelaar:    Geen
Barcode    Conform Liander Standaard
</t>
  </si>
  <si>
    <t>De Vloerbeugel "gasmeter G4/G6 St. GM3/4"x220mm" wordt met volgende
hulpmaterialen geleverd : • 2x vloerrail • 2x bout met glijmoeren t.b.v.
vloerrail montage • 2x houtdraadbout M10x45 • 2x plug M10 • 6x schroef
4.5x40 • 4x plug M8. Indien er geen achterwand is om de meterbeugel te
plaatsen kan deze middels deze beugel op de grond worden geplaatst.</t>
  </si>
  <si>
    <t>Geschermde haakse (T) steker (set van 3)
geschikt voor C-conus interface voor XLPE 10-20kV 3x1x630 mm2,
inclusief 3 schroefkabelschoenen 500-630 mm2
en 3 schroefkabelschoenen 10-50 mm2 met gat 10,5 mm voor het aardscherm.</t>
  </si>
  <si>
    <t xml:space="preserve">Geschermde haakse (T) steker
geschikt voor C-conus interface voor XLPE 10-20kV 3x95-250 mm2,
inclusief 3 schroefkabelschoenen 95-240 mm2 en
3 schroefkabelschoenen 10-50 mm2 met gat 13 mm voor het aardscherm.
</t>
  </si>
  <si>
    <t xml:space="preserve">Geschermde haakse (T) steker (set van 3)
geschikt voor C-conus interface voor XLPE 20kV 3x1x240 mm2,
inclusief 3 schroefkabelschoenen 95-240 mm2 en
3 schroefkabelschoenen 10-50 mm2 met gat 10,5 mm voor het aardscherm.
</t>
  </si>
  <si>
    <t>Steun vloermont Magnefix v betreedbare middenspanning ruimtes.
De steun kan zowel rechtsonder als linksonder de magnefix worden
geplaatst. Dit kan door het afschroefbaar deel los te schroeven en om te
draaien. steunen poedercoaten.
Ter info:
Steun wordt niet geleverd met een verhoger.</t>
  </si>
  <si>
    <t>Verhogingsbeugel voor plaatsing tussen,
het staand frame en de magnefix MD installatie
(set = 2 beugels)</t>
  </si>
  <si>
    <t>Gasmeterkopp mall-VZ 2-dl G10/G16 R1.1/2"x G2 (set) 1kop met nip
2-delige Gasmeterkoppeling, malleable verzinkt, wartel G2" en buite
ndraad R1.1/2". 1 set = 1 zakje met: - 1 puntstuk, - 1 puntstuk met meetnippel, - 2 wartelmoeren, - 2 pakkingen.</t>
  </si>
  <si>
    <t>Gasmeterkopp mall-VZ 2-dl G25 R2"xG2 1/2 (set) met nip 2-delige
Gasmeterkoppeling, malleable verzinkt, wartel G2.1/2" en buitendraad R
2". 1 set = 1 zakje met: - 1 puntstuk, - 1 puntstuk met nippel, - 2
wartelmoeren, - 2 pakkingen.</t>
  </si>
  <si>
    <t>5 velds Xiria uitbereiding schakelvelden incl. meting.
Xiria 5 velden met spanningsmeting VkkmKVVV,
bedoeld als uitbreiding van schakelvelden.
===========================================
"Deze installatie altijd leveren in combinatie met de 7 meter kabelset,
uw artikelnummer E6132993"
===========================================</t>
  </si>
  <si>
    <t xml:space="preserve">5 velds Xiria uitbereiding schakelvelden VkkKVVV.
Xiria 5 velden zonder meting VkkKVVV,
bedoeld als uitbreiding van schakelvelden.
==============================================
"Deze installatie altijd leveren in combinatie met de 7 meter kabelset,
uw artikelnummer E6110523".
==============================================
</t>
  </si>
  <si>
    <t>Zinkerbord "K"+"Liander" 40x40cm + Al frame
Zinkerbord aluminium inclusief frame.
Tekst zwart op geel.
Opschrift: " K " en " Liander ".
Afmetingen bord 40x40cm</t>
  </si>
  <si>
    <t>Perskabelschoen geschikt voor 50mm2 Cu, boutgat=9mm (M8). Volgens DIN
46235.</t>
  </si>
  <si>
    <t>Frituurpan tbv bruisproef,
Alvorens een kabelgarnituur te maken op een GPL kabel moet men in alle
gevallen een zorgvuldige vochtcontrole uitvoeren.
Gebruik hiervoor een elektrische frituurpan en vul deze met een dikke
olie (Kabelvet v Magnefix eindsluiting ).
Kleine frituurpan met laag vermogen ivm capaciteit van dienstauto.
(Friteuse Princess182611)</t>
  </si>
  <si>
    <t>Enkelzijdige cilinder Europrofiel 17mm,
standaard uitvoering,
Lengte: 35,5 mm (buitenzijde) + 9,5 mm (binnenzijde), Cataloguslengte =
35 mm,
Code 1.2 (HS),
Fabr. Lips,
Type Trivium S8461.</t>
  </si>
  <si>
    <t xml:space="preserve">Waterdichte doorvoering station
Voor 1x 3-fase kabel met buitendiameter 32-80 mm.
Incl. glijmiddel.
</t>
  </si>
  <si>
    <t xml:space="preserve">Waterdichte doorvoering station
Voor 6 kabels met buitendiameter 8-35 mm, o.a. separate aardkabel
Incl. glijmiddel.
</t>
  </si>
  <si>
    <t xml:space="preserve">Waterdichte doorvoering station
Voor 3 kabels met buitendiameter 22-54 mm
Incl. glijmiddel.
</t>
  </si>
  <si>
    <t>Kaart A5 U heeft tijdelijk geengas
Kaart A5 Lekkage binneninstallatie 250st
1 DS = 250 exemplaren</t>
  </si>
  <si>
    <t xml:space="preserve">Zeskanttapbout DIN933 - ISO 4017 M16x40
Staalklasse 8.8 elektrolytisch verzinkt volgens ISO 4042
XYLAN gecoat
Draadsoort: M16 (volledig)
Sleutelwijdte: 24 mm
Lengte steel: 40 mm
</t>
  </si>
  <si>
    <t xml:space="preserve">Zeskanttapbout DIN933 - ISO 4017 M16x45
Staalklasse 8.8 elektrolytisch verzinkt volgens ISO 4042
XYLAN gecoat
Draadsoort: M16 (volledig)
Sleutelwijdte: 24 mm
Lengte steel: 45 mm
</t>
  </si>
  <si>
    <t xml:space="preserve">Zeskanttapbout DIN933 - ISO 4017 M16x50
Staalklasse 8.8 elektrolytisch verzinkt volgens ISO 4042
XYLAN gecoat
Draadsoort: M16 (volledig)
Sleutelwijdte: 24 mm
Lengte steel: 50 mm
</t>
  </si>
  <si>
    <t xml:space="preserve">Zeskanttapbout DIN933 - ISO 4017 M20x45
Staalklasse 8.8 elektrolytisch verzinkt volgens ISO 4042
XYLAN gecoat
Draadsoort: M20 (volledig)
Sleutelwijdte: 30 mm
Lengte steel: 45 mm
</t>
  </si>
  <si>
    <t xml:space="preserve">Zeskanttapbout DIN933 - ISO 4017 M20x55
Staalklasse 8.8 elektrolytisch verzinkt volgens ISO 4042
XYLAN gecoat
Draadsoort: M20 (volledig)
Sleutelwijdte: 30 mm
Lengte steel: 55 mm
</t>
  </si>
  <si>
    <t xml:space="preserve">Zeskanttapbout DIN933 - ISO 4017 M16x55
Staalklasse 8.8 elektrolytisch verzinkt volgens ISO 4042
XYLAN gecoat
Draadsoort: M16
Sleutelwijdte: 24 mm
Lengte steel: 55 mm
</t>
  </si>
  <si>
    <t>Afstandhouder voor gaslekdetectieapparaat.
Diameter 14mm en 16mm.
Afstandhouder (opzetkorf) voor het gaslekdetectie apparaat, is een
hulpstuk tbv de afstand tussen het meetapparaat en het te meten object
om zo een zo’n goed mogelijk meting te verkrijgen. Deze houder dient
altijd op de gasdetectie bevestigd te zijn bij inpandige metingen.</t>
  </si>
  <si>
    <t xml:space="preserve">Keilbout met moer M6x60 elvz ds a 100st
</t>
  </si>
  <si>
    <t xml:space="preserve">Brandblusser A/B (spuitbus 750ml). Binnen de VIAG is bij
meterwisselingen is een A/B brandblusser toegestaan met een vulgewicht
van minimaal 0,5 kg.
Blusser geschikt voor met name beginnende branden in en om het huis.
Niet geschikt voor frituurolie-vet. De blusser kan worden ingezet voor
5A Vaste stoffen (papier, karton, textiel, kunststoffen) 21B
Vloeistoffen (benzines, diesel, spiritus) en is vorstbestendig tot -15
graden. De spray-schuim-blusser werkt als een spuitbus. De verzegelde
dop kunt u moeiteloos draaien en verwijderen waarna de blusser meteen
klaar is voor gebruik. De aluminium brandblusser blust met schuim.
Schuim is niet schadelijk voor de omgeving en niet voor personen. Het
schuim dringt in de brandstof of zorgt voor een filmlaag. Het vuur dooft
door zuurstof af te sluiten of door het koelend vermogen van het schuim
op de brandbare stof. De blussers voldoen aan de strengste
kwaliteitseisen in Europa; EN 3-7 norm.
Inhoud: 750 ml.
Afmeting: 263 x 74 mm.
Vulgewicht 810 gram
Gewicht: 950 gram.
Spuittijd: ca. 34 sec.
Spuitbereik: 3 - 4 meter
Gebruikstemperatuur: -/- 15 0 C tot +50 0 C.
</t>
  </si>
  <si>
    <t>Decoupeerzaag stof afzuig set.
De stof afzuig set verbindt decoupeerzaag met de slang van de
stofzuiger. Het is wettelijk verplicht om met stof afzuiging te werken.</t>
  </si>
  <si>
    <t xml:space="preserve">Accu Klauke RA5 12V 3Ah, accu geschikt voor alle Klauke 12 volt
aangedreven apparaten.
Temperatuurbereik: -20°C / +40°C.
Capaciteit: 12 V / 3,0 Ah.
Laadtijd: circa 40 min.
Uitvoering: NiMH.
Gewicht: 0,6 kg.
</t>
  </si>
  <si>
    <t xml:space="preserve">Zeskantbout DIN931 - ISO 4014 M16x60
Staalklasse 8.8 elektrolytisch verzinkt volgens ISO 4042
XYLAN gecoat
Draadsoort: M16
Sleutelwijdte: 24 mm
Lengte steel: 60 mm
</t>
  </si>
  <si>
    <t xml:space="preserve">Zeskantbout DIN931 - ISO 4014 M16x65
Staalklasse 8.8 elektrolytisch verzinkt volgens ISO 4042
XYLAN gecoat
Draadsoort: M16
Sleutelwijdte: 24 mm
Lengte steel: 65 mm
</t>
  </si>
  <si>
    <t xml:space="preserve">Zeskantbout DIN931 - ISO 4014 M16x70, staalklasse 8.8 elektrolytisch
verzinkt volgens ISO 4042, XYLAN gecoat, Draadsoort: M16, Sleutelwijdte:
24 mm, Lengte steel: 70 mm.
</t>
  </si>
  <si>
    <t xml:space="preserve">Zeskantbout DIN931 - ISO 4014 M16x75, staalklasse 8.8 elektrolytisch
verzinkt volgens ISO 4042, XYLAN gecoat, Draadsoort: M16, Sleutelwijdte:
24 mm, Lengte steel: 75 mm.
</t>
  </si>
  <si>
    <t xml:space="preserve">Zeskantbout DIN931 - ISO 4014 M16x80, staalklasse 8.8 elektrolytisch
verzinkt volgens ISO 4042, XYLAN gecoat, Draadsoort: M16, Sleutelwijdte:
24 mm, Lengte steel: 80 mm.
</t>
  </si>
  <si>
    <t xml:space="preserve">Zeskantbout DIN931 - ISO 4014 M16x90, staalklasse 8.8 elektrolytisch
verzinkt volgens ISO 4042, XYLAN gecoat, Draadsoort: M16, Sleutelwijdte:
24 mm, Lengte steel: 90 mm.
</t>
  </si>
  <si>
    <t xml:space="preserve">Zeskantbout DIN931 - ISO 4014 M16x100, staalklasse 8.8 elektrolytisch
verzinkt volgens ISO 4042, XYLAN gecoat, Draadsoort: M16, Sleutelwijdte:
24 mm, Lengte steel: 100 mm.
</t>
  </si>
  <si>
    <t xml:space="preserve">Zeskantbout DIN931 - ISO 4014 M16x110, staalklasse 8.8 elektrolytisch
verzinkt volgens ISO 4042, XYLAN gecoat, Draadsoort: M16, Sleutelwijdte:
24 mm, Lengte steel: 110 mm.
</t>
  </si>
  <si>
    <t xml:space="preserve">Zeskantbout DIN931 - ISO 4014 M16x120, staalklasse 8.8 elektrolytisch
verzinkt volgens ISO 4042, XYLAN gecoat, Draadsoort: M16, Sleutelwijdte:
24 mm, Lengte steel: 120 mm.
</t>
  </si>
  <si>
    <t xml:space="preserve">Zeskantbout DIN931 - ISO 4014 M20x70, staalklasse 8.8 elektrolytisch
verzinkt volgens ISO 4042, XYLAN gecoat, Draadsoort: M20, Sleutelwijdte:
30 mm, Lengte steel: 70 mm.
</t>
  </si>
  <si>
    <t xml:space="preserve">Zeskantbout DIN931 - ISO 4014 M20x75, staalklasse 8.8 elektrolytisch
verzinkt volgens ISO 4042, XYLAN gecoat, Draadsoort: M20, Sleutelwijdte:
30 mm, Lengte steel: 75 mm.
</t>
  </si>
  <si>
    <t xml:space="preserve">Zeskantbout DIN931 - ISO 4014 M20x80, staalklasse 8.8 elektrolytisch
verzinkt volgens ISO 4042, XYLAN gecoat, Draadsoort: M20, Sleutelwijdte:
30 mm, Lengte steel: 80 mm.
</t>
  </si>
  <si>
    <t xml:space="preserve">Zeskantbout DIN931 - ISO 4014 M20x90, staalklasse 8.8 elektrolytisch
verzinkt volgens ISO 4042, XYLAN gecoat, Draadsoort: M20, Sleutelwijdte:
30 mm, Lengte steel: 90 mm.
</t>
  </si>
  <si>
    <t xml:space="preserve">Zeskantbout DIN931 - ISO 4014 M20x100, staalklasse 8.8 elektrolytisch
verzinkt volgens ISO 4042, XYLAN gecoat, Draadsoort: M20, Sleutelwijdte:
30 mm, Lengte steel: 100 mm.
</t>
  </si>
  <si>
    <t xml:space="preserve">Kabelbevestigingsklem v 1 kabel 18-26mm
Kabelbevestigingsklem (ST 18-26) geschikt voor 1 kabel met een
buitendiameter van 18 t/m 26 mm.
Inclusief RVS bevestigingsmateriaal (M10 – 85 mm).
Aanhaalmoment voor het bevestigingsmateriaal 5 Nm.
</t>
  </si>
  <si>
    <t xml:space="preserve">Kabelbevestigingsklem v 1 kabel 36-52mm
Kabelbevestigingsklem (STC 36-52) geschikt voor 1 kabel met een
buitendiameter van 36 t/m 52 mm.
Inclusief RVS bevestigingsmateriaal (M12 – 125mm).
Aanhaalmoment voor het bevestigingsmateriaal 5 Nm.
</t>
  </si>
  <si>
    <t xml:space="preserve">Zeskantbout DIN931 - ISO 4014 M20x110, staalklasse 8.8 elektrolytisch
verzinkt volgens ISO 4042, XYLAN gecoat, Draadsoort: M20, Sleutelwijdte:
30 mm, Lengte steel: 110 mm.
</t>
  </si>
  <si>
    <t xml:space="preserve">Zeskantbout DIN931 - ISO 4014 M20x120, staalklasse 8.8 elektrolytisch
verzinkt volgens ISO 4042, XYLAN gecoat, Draadsoort: M20, Sleutelwijdte:
30 mm, Lengte steel: 120 mm.
</t>
  </si>
  <si>
    <t xml:space="preserve">Zeskantbout DIN931 - ISO 4014 M20x130, staalklasse 8.8 elektrolytisch
verzinkt volgens ISO 4042, XYLAN gecoat, Draadsoort: M20, Sleutelwijdte:
30 mm, Lengte steel: 130 mm.
</t>
  </si>
  <si>
    <t xml:space="preserve">Zeskantbout DIN931 - ISO 4014 M20x140, staalklasse 8.8 elektrolytisch
verzinkt volgens ISO 4042, XYLAN gecoat, Draadsoort: M20, Sleutelwijdte:
30 mm, Lengte steel: 140 mm.
</t>
  </si>
  <si>
    <t xml:space="preserve">Zeskantbout DIN931 - ISO 4014 M20x160, staalklasse 8.8 elektrolytisch
verzinkt volgens ISO 4042, XYLAN gecoat, Draadsoort: M20, Sleutelwijdte:
30 mm, Lengte steel: 160 mm
</t>
  </si>
  <si>
    <t xml:space="preserve">Zeskantbout DIN931 - ISO 4014 M20x180, staalklasse 8.8 elektrolytisch
verzinkt volgens ISO 4042, XYLAN gecoat, Draadsoort: M20, Sleutelwijdte:
30 mm, Lengte steel: 180 mm.
</t>
  </si>
  <si>
    <t xml:space="preserve">Zeskantbout DIN931 - ISO 4014 M24x80, staalklasse 8.8 elektrolytisch
verzinkt volgens ISO 4042, XYLAN gecoat, Draadsoort: M24, Sleutelwijdte:
36 mm, Lengte steel: 80 mm.
</t>
  </si>
  <si>
    <t xml:space="preserve">Zeskantbout DIN931 - ISO 4014 M24x90, staalklasse 8.8 elektrolytisch
verzinkt volgens ISO 4042, XYLAN gecoat, Draadsoort: M24, Sleutelwijdte:
36 mm, Lengte steel: 90 mm.
</t>
  </si>
  <si>
    <t xml:space="preserve">Zeskantbout DIN931 - ISO 4014 M24x120, staalklasse 8.8 elektrolytisch
verzinkt volgens ISO 4042, XYLAN gecoat, Draadsoort: M24, Sleutelwijdte:
36 mm, Lengte steel: 120 mm.
</t>
  </si>
  <si>
    <t xml:space="preserve">Zeskantbout DIN931 - ISO 4014 M24x140, staalklasse 8.8 elektrolytisch
verzinkt volgens ISO 4042, XYLAN gecoat, Draadsoort: M24, Sleutelwijdte:
36 mm, Lengte steel: 140 mm.
</t>
  </si>
  <si>
    <t xml:space="preserve">Zeskantbout DIN931 - ISO 4014 M24x150, staalklasse 8.8 elektrolytisch
verzinkt volgens ISO 4042, XYLAN gecoat, Draadsoort: M24, Sleutelwijdte:
36 mm, Lengte steel: 150 mm.
</t>
  </si>
  <si>
    <t xml:space="preserve">Zeskantbout DIN931 - ISO 4014 M27x100, staalklasse 8.8 elektrolytisch
verzinkt volgens ISO 4042, XYLAN gecoat, Draadsoort: M27, Sleutelwijdte:
41 mm, Lengte steel: 100 mm.
</t>
  </si>
  <si>
    <t xml:space="preserve">Zeskantbout DIN931 - ISO 4014 M27x150, staalklasse 8.8 elektrolytisch
verzinkt volgens ISO 4042, XYLAN gecoat, Draadsoort: M27, Sleutelwijdte:
41 mm, Lengte steel: 150 mm.
</t>
  </si>
  <si>
    <t xml:space="preserve">Zeskantmoer DIN 934 - ISO 4032 M16,  staalklasse 8.8 elektrolytisch
verzinkt volgens ISO 4042, XYLAN gecoat, Draadsoort: M16, Sleutelwijdte:
24.
</t>
  </si>
  <si>
    <t xml:space="preserve">Zeskantmoer DIN 934 - ISO 4032 M20,  staalklasse 8.8 elektrolytisch
verzinkt volgens ISO 4042, XYLAN gecoat, Draadsoort: M20, Sleutelwijdte:
30.
</t>
  </si>
  <si>
    <t xml:space="preserve">Zeskantmoer DIN 934 - ISO 4032 M24,  staalklasse 8.8 elektrolytisch
verzinkt volgens ISO 4042, XYLAN gecoat, Draadsoort: M24, Sleutelwijdte:
36.
</t>
  </si>
  <si>
    <t xml:space="preserve">Zeskantmoer DIN 934 - ISO 4032 M27,  staalklasse 8.8 elektrolytisch
verzinkt volgens ISO 4042, XYLAN gecoat, Draadsoort: M27, Sleutelwijdte:
41.
</t>
  </si>
  <si>
    <t>Mondstuk kleine ronde borstel, Mondstuk met kleine, ronde borstel is een
hulpstuk voor externe stofafzuiging.
Door de speciale vorm is het ideaal voor de reiniging van kleine
objecten en ongelijke oppervlakken.
Wordt aangesloten op de standaard 35 mm stofzuigerbuizen van de
stofzuigers van Bosch. Art. nr.160939048</t>
  </si>
  <si>
    <t xml:space="preserve">Dummie v mespatroonhouder gr.1-2-3. spec.
De Dummie is geschikt voor zowel open als gesloten afgaande groepen gr.
DIN 1-2-3.
GE SZ123/SL rood PE
</t>
  </si>
  <si>
    <t xml:space="preserve">Kabelbevestigingsklem v 3 kabels 38-53mm.
Kabelbevestigingsklem (TRI 38-53) geschikt voor 3 kabels met een
buitendiameter van 38 t/m 53 mm. Inclusief RVS bevestigingsmateriaal
(M12 – 160mm). Aanhaalmoment voor het bevestigingsmateriaal 5 Nm.
</t>
  </si>
  <si>
    <t xml:space="preserve">Kaart A5 Asbestverdachte situatie
Versie: CA-0092 02.18
1 BLOK = 50 exemplaren
</t>
  </si>
  <si>
    <t>Kabel Y MeKrvaslqwd of P1 MeKrvaslqwd 12/20 kV 1 x 800 Alrm + as 35 rPE
volgens HD620 S2:2016 S2:2016 pages 10-J-38 and 10-J-40. Brandklasse
Fca. Haspels van 1.000m of 1.250m.</t>
  </si>
  <si>
    <t>Fase-uitkleur unit MUCO-alléén de zender FPN-50ACC.
Het faseuitkleurapparaat is bestemd voor het veilig en zeker uitkleuren
van hoogspanningsystemen in geaarde toestand.
SET = 1 apparaat met inhoud.</t>
  </si>
  <si>
    <t>Install.draad VD  6mm2 rood massief
NEN: VD 450/750 H07V-U Eca
Doos a 100 meter.</t>
  </si>
  <si>
    <t>Install.draad VD  6mm2 geel massief
NEN: VD 450/750 H07V-U Eca
Doos a 100 meter.</t>
  </si>
  <si>
    <t xml:space="preserve">Ontbramer Noga NG 1003 incl.S10, S20 en S35
Ontbramer met ergonomische handgreep, vervaardigd uit hoogwaardig
2-componenten kunststof.
De handgreep biedt plaats voor reservemesjes via een dop aan de
achterzijde.
Ontbramen van PE-leidingen en ook geschikt voor directe, zwaardere
ontbramingstoepassingen.
Wordt geleverd inclusief drie mesjes van het type S-10, S-20 en S-35.
</t>
  </si>
  <si>
    <t xml:space="preserve">Blaasgatzadel PE 75mm x 2bi" - 2.1/2bu".
</t>
  </si>
  <si>
    <t xml:space="preserve">Eindkap elektrolas PE100 SDR11, 63 mm, 10 bar gas.
</t>
  </si>
  <si>
    <t xml:space="preserve">Enveloppe: "Vernieuwen van uw energiemeter"
met port betaald,
gegomd
Doos = 500st
</t>
  </si>
  <si>
    <t xml:space="preserve">Enveloppe: "Datum voor het vernieuwen van uw energiemeter"
zonder port betaald,
gegomd
Doos = 500st
</t>
  </si>
  <si>
    <t>Buispatroon 25A gG 10x38mm</t>
  </si>
  <si>
    <t>Buispatroon 32A gG 10x38mm</t>
  </si>
  <si>
    <t xml:space="preserve">Anti-insectenspray (teken en Muggen) VOORKOM beten en steken. Een
insectenbeet is niet alleen vervelend, maar kan ook ernstige gezon
dheidsproblemen veroorzaken.
Muggen kunnen ziekten zoals malaria, knokkelkoorts (dengue) en gele
koorts overbrengen. Door een tekenbeet kun je de onder andere ziekte van
Lyme en FSME oplopen. Redenen genoeg om jezelf en je gezin optimaal te
beschermen tegen insecten- en tekenbeten!
Beschermt 8 uur tegen muggen en 4 uur tegen teken;
Geschikt voor kinderen vanaf 13 jaar;
Bevat de bittere geurloze stof Bitrex® om de kans op doorslikken te
verkleinen.
Inhoud 60ml
</t>
  </si>
  <si>
    <t>Verhoogd C-Profiel L=1meter Electrolytisch verzinkt</t>
  </si>
  <si>
    <t xml:space="preserve">Laagspanningsstrook,
scheiderstroken, zonder aansluitstukken 1000 A,
1-polig, schakelbaar.
Beschermkap onder,
(over de kabelaansluiting onderzijde afgaande stroken).
Hager type LVSR910LLE
</t>
  </si>
  <si>
    <t>Beproevingsplug voor opzetstuk, Polsafe,
Materiaal: PVC-slagvast (CPE / PVC-A),
kleur: geel,
afmetingen: 2"</t>
  </si>
  <si>
    <t xml:space="preserve">Assortimentsdoos (9 vaks).
Afmetingen en gewicht:
Gewicht :0,263 kg
Lengte :240 mm
Hoogte 43 mm
Breedte :195 mm
</t>
  </si>
  <si>
    <t>Kabelbevestigingsblok voor single kabels (3stuks),
XLPE/PILC diameter 36-52 mm tbv Xiria.</t>
  </si>
  <si>
    <t>Externe antenne
Utility Connect BV
Procom  CXL 70-1h Omni 110000136</t>
  </si>
  <si>
    <t xml:space="preserve">Kapbeugel zonder gat
Voorkeursleverancier - Utility Connect BV
Fabrikant                - BODT Staaltechniek
Fabriekstype           - KapBeugel zonder gat
</t>
  </si>
  <si>
    <t xml:space="preserve">Gasdetector 0-100% Gasurveyor 700 + lader
Type : Fabrikaat : G.M.I. Draagbare uitvoering, zelfaanzuigend.
Standaard uitgevoerd met LCD- display met automatische verlichting en
automatische nulpuntsinstelling.
Explosieveilig conform ATEX, klasse EEX iad IIC T4.
Data-opslag, optisch en akoestisch alarm.
Voeding door middel van oplaadbare batterijen.
Geschikt voor het meten van brandbare gassen, gekalibreerd voor aardgas
(80% methaan).  Alarmgrenzen ingesteld op 10% en 20% LEL Meetbereik: :
 Methaan  0 – 100 % vol 0 – 100 % L.E.L.  0 – 10 % L.E.L. 0 – 1000 ppm
Levering kompleet met schouderriem,
Pipeline gastest GMI tbv Gasurveyor 700 A469539
Sensor GMI H2S tbv Gasurveyor700 A469537
Sensor GMI O2 tbv Gasurveyor700 A469538
Let op: met Nederlands menu!
</t>
  </si>
  <si>
    <t>Samengestelde beugel met muurplaat
Voorkeursleverancier Utility Connect BV
Fabrikant                 BODT Staaltechniek
Fabriekstype            samengestelde beugel 300 mm.</t>
  </si>
  <si>
    <t>Samengestelde beugel met muurplaat
Voorkeursleverancier Utility Connect BV
Fabrikant                 BODT Staaltechniek
Fabriekstype            samengestelde beugel 600 mm.</t>
  </si>
  <si>
    <t>Antennebuis 500 mm
Voorkeursleverancier  Utility Connect BV
Fabrikant                 BODT Staaltechniek
Fabriekstype            Antennebuis 500 mm</t>
  </si>
  <si>
    <t>Antennebuis 800 mm
Voorkeursleverancier  Utility Connect BV
Fabrikant                 BODT Staaltechniek
Fabriekstype            Antennebuis 800 mm</t>
  </si>
  <si>
    <t xml:space="preserve">Tekenpincet ten behoeve van het verwijderen van teken.
Kleur: groen
Type: 7145
</t>
  </si>
  <si>
    <t>Flexseal glijmiddel voor kunststof buis 500 ml,
t.b.v. aanboorgereedschap voor gasmeteropstellingen 22/28mm.</t>
  </si>
  <si>
    <t>Antennebuis 1200 mm
Voorkeursleverancier  Utility Connect BV
Fabrikant                 BODT Staaltechniek
Fabriekstype            Antennebuis 1200 mm</t>
  </si>
  <si>
    <t>Tapbout M8x30RVS  incl zelfborgende moer M8 RVS.</t>
  </si>
  <si>
    <t xml:space="preserve">Kabel t.b.v. externe antenne
Levr: Utility Connect BV
Fabr: E&lt;(&gt;&amp;&lt;)&gt;T
Jumper cable N-male to SMA-male 2M RG223
(tinned copper conductor + braid) + dust cover.
</t>
  </si>
  <si>
    <t>Kabel t.b.v. externe antenne
Levr: Utility Connect BV
Fabr: E&lt;(&gt;&amp;&lt;)&gt;T
E&lt;(&gt;&amp;&lt;)&gt;T P/N: ASSY-06390-002
Jumper cable N-male to SMA-male 4M RG223
(tinned copper conductor + braid) + dust cover.</t>
  </si>
  <si>
    <t>Kabel t.b.v. externe antenne
Levr: Utility Connect BV
Fabr: E&lt;(&gt;&amp;&lt;)&gt;T
E&lt;(&gt;&amp;&lt;)&gt;T P/N: ASSY-06390-002
Jumper cable N-male to SMA-male 7M RG223
(tinned copper conductor + braid) + dust cover.</t>
  </si>
  <si>
    <t>Samengestelde beugel met muurplaat
Voorkeursleverancier Utility Connect BV
Fabrikant                 BODT Staaltechniek
Fabriekstype            Samengestelde beugel met muurplaat.</t>
  </si>
  <si>
    <t xml:space="preserve">Muurplaat
Voorkeursleverancier - Utility Connect BV
Fabrikant                 - BODT Staaltechniek
Fabriekstype           - muurplaat
</t>
  </si>
  <si>
    <t>Samengestelde beugel met muurplaat
Voorkeursleverancier Utility Connect BV
Fabrikant                 BODT Staaltechniek
Fabriekstype            samengestelde beugel 100 mm.</t>
  </si>
  <si>
    <t>Steun verhoger voor vloermont Magnefix v betreedbare middenspanning
ruimtes.
De verhoger poedercoaten.</t>
  </si>
  <si>
    <t>Gasmeteropstelling G10/G16 compleet t.b.v. nieuwbouw.
Pi=30mbar Pu=30 mbar Qmax=25m3/h aansluiting PE40
1) GMA G10/G16 Pi=30mbar Pu=30mbar Qmax=25m3/h HDPE40,
2x Wartelmoer G1½",
1x Pakkingring 27
2x Drukmeetnippel R ⅛"
2x Wartelmoer G2"
1xTransfer Onbedrukt
8x Sluitring DIN 125-A M8
6x Bout zeskant houtdraad 8x25
1x Puntstuk G10-16 R1¼"--&gt; W2"
2x Puntstuk G10-16 G1½"--&gt; W2" Incl. ⅛"
1x Beugel G10-16 Steek 300mm Wanddikte 3mm
2x Pakkingring G2" wartel DIN 3376 Teil 1 tbv G10/G16
2x Pakkingring voor NEN 2542:1967 Rc1¼" puntstuk voor gasleidingen
volgens NEN 2545:1967.
1x Muursteun tbv G10/G16/G25
2x Puntstuk R1¼" --&gt; W1½" NEN 2542:1967
1x Afdichtingsplug PE40 63x57x40
2x Slotbout M10x16 Klasse 8.8 DIN 603
2x Dopmoer M10 Klasse 8.8 DIN 1587
1x Extrusienippel 6K-44xØ34 L=58mm
2x Slotbout M8x70 DIN 603
1x Kogelkraan DN32 R1¼" --&gt; G1½"
1x Afdichtdop Kunststof 1¼"
1x Koppeling PE40 --&gt; R1¼" SDR17.6
1x Zegel 2-Delige koppeling G1½"
1x Vloerring tbv fixeerelement
1x Rotatiedeel fixeerelement PE40
2x Borgmoer M8 DIN985
1x Schroefbuisklem zonder inlage, 64-71mm gegalvaniseerd
1x Muurfixatie tbv leidingen L=320mm
1x MPC-Hamerkopbevestiger M8x40mm voor profiel 27/18-28/30
1x Schutbuis tbv PE40 450-840mm Incl. Fixatie
1xBeulco Steunbus SDR17.6
2x Carosserriering Ø10,5 DIN 9021
2x Zegel met kliksluiting tbv G2" Meteraansluiting
1x MF Knie BiBi Fig.090 Incl. ⅛" aansluiting
1x Regelaar Sperryn G1000 Haaks
1x Handleiding 30mbar PE
1x Doos G10-16 PE
1x "Zakje" losse onderdelen.</t>
  </si>
  <si>
    <t xml:space="preserve">Gasmeterbeugel set G10/G16 compleet t.b.v. nieuwbouw Pi=100mbar Pu=30
mbar Qmax=25m3/h aansluiting PE40
GMA G10/G16 Pi=100mbar Pu=30mbar Qmax=25m3/h HDPE40, 2xWartelmoer G1½",
1xPakkingring 27, 2x Drukmeetnippel R ⅛", 2x Wartelmoer G2", 1xTransfer
Onbedrukt, 8x Sluitring DIN 125-A M8, 6x Bout zeskant houtdraad 8x25, 1x
Puntstuk G10-16 R1¼"--&gt; W2" , 2x Puntstuk G10-16 G1½"--&gt; W2" Incl. ⅛",1x
Beugel G10-16 Steek 300mm Wanddikte 3mm,2x Pakkingring G2" wartel DIN
3376 Teil 1 tbv G10/G16, 2x Pakkingring voor NEN 2542:1967 Rc1¼"
puntstuk voor gasleidingen volgens NEN 2545:1967,1x Muursteun tbv
G10/G16/G25, 2x Puntstuk R1¼" --&gt; W1½" NEN 2542:1967,1x Afdichtingsplug
PE40 63x57x40, 2x Slotbout M10x16 Klasse 8.8 DIN 603, 2x Dopmoer M10
Klasse 8.8 DIN 1587,1x Extrusienippel 6K-44xØ34 L=58mm, 2x Slotbout
M8x70 DIN 603,1x Kogelkraan DN32 R1¼" --&gt; G1½", 1x Afdichtdop Kunststof
1¼",1x Koppeling PE40 --&gt; R1¼" SDR17.6, 1x Zegel 2-Delige koppeling
G1½", 1x Vloerring tbv fixeerelement, 1x Rotatiedeel fixeerelement PE40,
2x Borgmoer M8 DIN985, 1x Schroefbuisklem zonder inlage, 64-71mm
gegalvaniseerd, 1x Muurfixatie tbv leidingen L=180mm, 1xMPC-
Hamerkopbevestiger M8x40mm voor profiel 27/18-28/30,1x Schutbuis tbv
PE40 450-840mm Incl. Fixatie, 1xBeulco Steunbus SDR17.6, 2x
Carosserriering Ø10,5 DIN 9021 2x Zegel met kliksluiting tbv G2"
Meteraansluiting, 1x MF Knie BiBi Fig.090 Incl. ⅛" aansluiting,1x
Regelaar Sperryn G1000 Haaks,1x Handleiding 100mbar PE,1x Doos G10-16
PE, 1x "Zakje" losse onderdelen.
</t>
  </si>
  <si>
    <t xml:space="preserve">Gasmeterbeugel set G10/G16 Renovatie Pi=30mbar Pu=30 mbar Qmax=25m3/h
GMA G10/G16 Pi=30mbar Pu=Pi-ΔP Qmax=25m3/h Renovatie W1½" , 2x
Wartelmoer G1½", 1xPakkingring 27, 2x Drukmeetnippel R ⅛", 2xWartelmoer
G2", 6x Sluitring DIN 125-A M8, 4x Bout zeskant houtdraad 8x25, 1x
Puntstuk G10-16 R1¼"--&gt; W2" , 1x Puntstuk G10-16 G1½"--&gt; W2" Incl. ⅛",
1x Beugel G10-16 Steek 300mm Wanddikte 3mm, 2x Pakkingring G2" wartel
DIN 3376 Teil 1 tbv G10/G16, 2x Pakkingring voor NEN 2542:1967 Rc1¼"
puntstuk voor gasleidingen volgens NEN 2545:1967, 1x Muursteun tbv
G10/G16/G25, 1x Puntstuk R1¼" --&gt; W1½" NEN 2542:1967, 2x Slotbout M10x16
Klasse 8.8 DIN 603, 2x Dopmoer M10 Klasse 8.8 DIN 1587, 1x
Extrusienippel 6K-44xØ34 L=89mm, 2xSlotbout M8x70 DIN 603,1x Afdichtdop
Kunststof 1¼", 1x Zegel 2-Delige koppeling G1½", 2x Borgmoer M8 DIN985,
2x Carosserriering Ø10,5 DIN 9021, 1x MF Knie BiBi Fig.090, 1x Zegel met
kliksluiting tbv G2" Meteraansluiting, 1x MF Knie BiBi Fig.090 Incl. ⅛"
aansluiting, 1x Handleiding 30mbar Renovatie,1x Doos G10-16, 1x "Zakje"
losse onderdelen.
</t>
  </si>
  <si>
    <t xml:space="preserve">Gasmeterbeugel set G10/G16 Renovatie Pi=100mbar Pu=30 mbar Qmax=25m3/h
GMA G10/G16 Pi=100mbar Pu=30mbar Qmax=25m3/h Renovatie W1½", 2x
Wartelmoer G1½", 1x Pakkingring 27,2x Drukmeetnippel R ⅛", 2xWartelmoer
G2",1x Transfer Onbedrukt, 6x Sluitring DIN 125-A M8, 4x Bout zeskant
houtdraad 8x25,1x Puntstuk G10-16 R1¼"--&gt; W2" ,1x Puntstuk G10-16
G1½"--&gt; W2" Incl. ⅛",1x Beugel G10-16 Steek 300mm Wanddikte 3mm,2x
Pakkingring G2" wartel DIN 3376 Teil 1 tbv G10/G16, 2x Pakkingring voor
NEN 2542:1967 Rc1¼" puntstuk voor gasleidingen volgens NEN 2545:1967,1x
Muursteun tbv G10/G16/G25, 2x Puntstuk R1¼" --&gt; W1½" NEN 2542:1967, 2x
Slotbout M10x16 Klasse 8.8 DIN 603, 2x Dopmoer M10 Klasse 8.8 DIN
1587,1x Extrusienippel 6K-44xØ34 L=58mm, 2x Slotbout M8x70 DIN 603, 1x
Afdichtdop Kunststof 1¼", 1x Zegel 2-Delige koppeling G1½", 2x Borgmoer
M8 DIN985, 2x Carosserriering Ø10,5 DIN 9021, 1x Zegel met kliksluiting
tbv G2" Meteraansluiting, 1x MF Knie BiBi Fig.090 Incl. ⅛"
aansluiting,1x Regelaar Sperryn G1000 Haaks,1x Handleiding 100mbar
Renovatie, 1x Doos G10-16,1x "Zakje" losse onderdelen.
</t>
  </si>
  <si>
    <t>Gasmeterbeugel set G25 compleet t.b.v. nieuwbouw Pi=30mbar Pu=30 mbar
Qmax=40m3/h aansluiting PE50
1)
GMA G25 Pi=30mbar Pu=Pi-ΔP Qmax=40m3/h HDPE50, 2x Wartelmoer G2",1x
Pakkingring 33,5, 2x Drukmeetnippel R ⅛", 2x Wartelmoer 2½",1x Transfer
Onbedrukt, 8x Sluitring DIN 125-A M8, 6x Bout zeskant houtdraad 8x25,1x
Puntstuk G25 R1½"--&gt; W2½" ,1x Puntstuk G25 G2"--&gt; W2½" Incl. ⅛", 1x
Beugel G25 Steek 400mm Wanddikte 4mm,2x Pakkingring G2½" wartel DIN 3376
Teil 1 tbv G25 , 2x Pakkingring voor NEN 2542:1967 Rc1½" puntstuk voor
gasleidingen volgens NEN 2545:1967,1x Muursteun tbv G10/G16/G25,2x
Puntstuk R1½" --&gt; W2" NEN 2542:1967,1x Afdichtplug PE50 75x68.6x50, 2x
Slotbout M10x16 Klasse 8.8 DIN 603,2x Dopmoer M10 Klasse 8.8 DIN 1587,
1x Extrusienippel 6K-48xØ38 L=83mm, 2x Slotbout M8x85 DIN 603,1x
Kogelkraan DN40 R1½" --&gt; G2",1x Pijpbeugel 75mm Enkel grijs TBV
schutbuis PE50,1x Schutbuis Ø75 tbv PE50,1x Afdichtdop Kunststof 1½",1x
Koppeling PE50 --&gt; R1½" SDR17.6, 2x Borgmoer M8 DIN985, 1x Vloerring tbv
PE50 mantelbuis en schutbuis,1x Muurfixatie tbv leidingen L=180mm,1x
Schroefbuisklem zonder inlage, 79-85mm gegalvaniseerd,1x MPC-
Hamerkopbevestiger M8x40mm voor profiel 27/18-28/30,1x MF Knie BiBi
Fig.090,1x Beulco Steunbus SDR17.6, 2x Carosserriering Ø10,5 DIN 9021,
1x Zegel met kliksluiting tbv G2" Meteraansluiting, 2xVerzegelkap 2½"
Wartel tbv Meteropstelling,1x MF Knie BiBi Fig.090 Incl. ⅛" Aansluiting,
1x Handleiding 30mbar PE,1x Doos G25 PE,1x "Zakje" losse onderdelen.</t>
  </si>
  <si>
    <t xml:space="preserve">Gasmeterbeugel set G25 compleet t.b.v. nieuwbouw Pi=100mbar Pu=30 mbar
Qmax=40m3/h aansluiting PE40
1)
GMA G25 Pi=100mbar Pu=30mbar Qmax=40m3/h HDPE40, 1x Wartelmoer G2", 1x
Wartelmoer G1½", 1x Pakkingring 33,5,2x Drukmeetnippel R ⅛", 2x
Wartelmoer 2½",1x Transfer Onbedrukt, 8x Sluitring DIN 125-A M8, 6x Bout
zeskant houtdraad 8x25, 1x Puntstuk G25 R1¼"--&gt; W2½" , 1x Puntstuk G25
G2"--&gt; W2½" Incl. ⅛",1x Beugel G25 Steek 400mm Wanddikte 4mm, 1x
Pakkingring G2½" wartel DIN 3376 Teil 1 tbv G25 , 1x Pakkingring voor
NEN 2542:1967 Rc1¼" puntstuk voor gasleidingen volgens NEN 2545:1967,1x
Pakkingring voor NEN 2542:1967 Rc1½" puntstuk voor gasleidingen volgens
NEN 2545:1967,1x Muursteun tbv G10/G16/G25,1x Puntstuk R1¼" --&gt; W1½" NEN
2542:1967,1x Puntstuk R1½" --&gt; W2" NEN 2542:1967,1x Afdichtingsplug PE40
63x57x40, 2x Slotbout M10x16 Klasse 8.8 DIN 603, 2x Dopmoer M10 Klasse
8.8 DIN 1587, 1x Extrusienippel 6K-44xØ34 L=58mm, 2x Slotbout M8x85 DIN
603, 1x Kogelkraan DN32 R1¼" --&gt; G1½", 1x Afdichtdop Kunststof 1½", 1x
Koppeling PE40 --&gt; R1¼" SDR17.6, 1x Zegel 2-Delige koppeling G1½", 1x
Vloerring tbv fixeerelement, 1x Rotatiedeel fixeerelement PE40, 2x
Borgmoer M8 DIN985, 1x Schroefbuisklem zonder inlage, 64-71mm
gegalvaniseerd, 1x Muurfixatie tbv leidingen L=180mm,1x MPC-
Hamerkopbevestiger M8x40mm voor profiel 27/18-28/30 1x Schutbuis tbv
PE40 450-840mm Incl. Fixatie,1x Beulco Steunbus SDR17.6, 2x
Carosserriering Ø10,5 DIN 9021 ,1x Zegel met kliksluiting tbv G2"
Meteraansluiting, 1x Verzegelkap 2½" Wartel tbv Meteropstelling,1x MF
Knie BiBi Fig.090 Incl. ⅛" aansluiting, 1x Regelaar Sperryn G1000 Haaks,
1x Handleiding 100mbar PE, 1x Doos G25 PE, 1x "Zakje" losse onderdelen.
</t>
  </si>
  <si>
    <t xml:space="preserve">Gasmeterbeugel set G25 Renovatie Pi=30mbar Pu=30 mbar Qmax=40m3/h
1)
GMA G25 Pi=30mbar Pu=Pi-ΔP Qmax=40m3/h Renovatie W2", 2x Wartelmoer G2",
1x Pakkingring 33,5, 2x Drukmeetnippel R ⅛", 2x Wartelmoer 2½", 1x
Transfer Onbedrukt, 6x Sluitring DIN 125-A M8, 4x Bout zeskant houtdraad
8x25, 1x Puntstuk G25 R1½"--&gt; W2½" , 1x Puntstuk G25 G2"--&gt; W2½" Incl.
⅛", 1x Beugel G25 Steek 400mm Wanddikte 4mm, 2x Pakkingring G2½" wartel
DIN 3376 Teil 1 tbv G25, 2x Pakkingring voor NEN 2542:1967 Rc1½"
puntstuk voor gasleidingen volgens NEN 2545:1967, 1x Muursteun tbv
G10/G16/G25, 2x Puntstuk R1½" --&gt; W2" NEN 2542:1967, 2x Slotbout M10x16
Klasse 8.8 DIN 603, 2x Dopmoer M10 Klasse 8.8 DIN 1587, 1x
Extrusienippel 6K-48xØ38 L=83mm, 2x Slotbout M8x85 DIN 603, 1x
Afdichtdop Kunststof 1½", 2x Borgmoer M8 DIN985, 1x MF Knie BiBi
Fig.090, 2x Carosserriering Ø10,5 DIN 9021 , 1x Zegel met kliksluiting
tbv G2" Meteraansluiting, 1x Verzegelkap 2½" Wartel tbv Meteropstelling,
1x MF Knie BiBi Fig.090 Incl. ⅛" Aansluiting, 1x Handleiding 30mbar
Renovatie, 1x Doos G25, 1x "Zakje" losse onderdelen.
</t>
  </si>
  <si>
    <t>Gasmeterbeugel set G25 Renovatie Pi=100mbar Pu=30 mbar Qmax=40m3/h
GMA G25 Pi=100mbar Pu=30mbar Qmax=40m3/h Renovatie W1½", 1x Wartelmoer
G2", 1x Wartelmoer G1½", 1x Pakkingring 33,5, 2x Drukmeetnippel R ⅛", 2x
Wartelmoer 2½", 1x Transfer Onbedrukt, 6x Sluitring DIN 125-A M8, 4x
Bout zeskant houtdraad 8x25, 1x Puntstuk G25 R1¼"--&gt; W2½" , 1x Puntstuk
G25 G2"--&gt; W2½" Incl. ⅛",1x Beugel G25 Steek 400mm Wanddikte 4mm, 2x
Pakkingring G2½" wartel DIN 3376 Teil 1 tbv G25 , 1x Pakkingring voor
NEN 2542:1967 Rc1¼" puntstuk voor gasleidingen volgens NEN 2545:1967, 1x
Pakkingring voor NEN 2542:1967 Rc1½" puntstuk voor gasleidingen volgens
NEN 2545:1967, 1x Muursteun tbv G10/G16/G25, 1x Puntstuk R1¼" --&gt; W1½"
NEN 2542:1967,1x Puntstuk R1½" --&gt; W2" NEN 2542:1967, 2x Slotbout M10x16
Klasse 8.8 DIN 603 2x Dopmoer M10 Klasse 8.8 DIN 1587, 1x Extrusienippel
6K-44xØ34 L=58mm,2x Slotbout M8x85 DIN 603, 1x Afdichtdop Kunststof 1½",
1x Zegel 2-Delige koppeling G1½", 2x Borgmoer M8 DIN985, 2x
Carosserriering Ø10,5 DIN 9021 , 1x Verzegelkap 2½" Wartel tbv
Meteropstelling,&lt;(&gt;,&lt;)&gt; 1x MF Knie BiBi Fig.090 Incl. ⅛" aansluiting, 1x
Regelaar Sperryn G1000 Haaks, 1x Handleiding 100mbar Renovatie, 1x Doos
G25, 1x "Zakje" losse onderdelen.</t>
  </si>
  <si>
    <t>Schilboor 22.4mm tbv PE, type Peb-22.4, Schroefdraad aansluiting G3/8"
voor aanboortoestellen P3 van Kleiss &lt;(&gt;&amp;&lt;)&gt; Co.</t>
  </si>
  <si>
    <t>Schilboor 29.5mm tbv PE, type Peb-29.5, Schroefdraad aansluiting G3/8"
voor aanboortoestellen P3 van Kleiss &lt;(&gt;&amp;&lt;)&gt; Co.</t>
  </si>
  <si>
    <t>Schilboor 39mm tbv PE, type Peb-39, Schroefdraad aansluiting G3/8" voor
aanboortoestellen P3 van Kleiss &lt;(&gt;&amp;&lt;)&gt; Co.</t>
  </si>
  <si>
    <t>Schilboor 49mm tbv PE, type Peb-49, Schroefdraad aansluiting G3/8" voor
aanboortoestellen P3 van Kleiss &lt;(&gt;&amp;&lt;)&gt; Co.</t>
  </si>
  <si>
    <t xml:space="preserve">Set voor het monteren van MS-kabel 3x1x240Al onder een Magnefix
schakelinstallatie. Set bestaat uit twee kabelbevestigingsklemmen van 3
gestapelde kunststofblokken voor het monteren van MS-kabel 3x1x240Al.
Kunststof kabelbevestigingsblokken type ST 26-38 (lengte 92mm).
Inclusief bevestigingsmateriaal (M10 ELVZ).
</t>
  </si>
  <si>
    <t xml:space="preserve">Ontluchtingslang gasmeter G10/16/G25 als niet G-06 Gasmeters ≤ G25
plaatsen, verwisselen of verwijderen.
De ontluchtingslang bestaat uit de volgende onderdelen
1 messing afsluitkap 2" binnendraad
1 messing afsluitkap 21/2 " binnendraad
1 x knie met binnen- en buiten draad
2 x kraan (Kogelafsluiter) Legris 0492-04-13 G1/4 CuZn-NI binnendraad
2 x Snelkoppeling Rectus 21KAAW13MPX 1/4" CuZn buitendraad
2 x slangpilaar buitendraad 1/4" 11,5mm CuZn
1 x insteeknippel Rectus 21SFAW13MXX 1/4" CuZn buitendraad
1 x insteeknippel (esders)
10 meter slang,
2 x oorklem
</t>
  </si>
  <si>
    <t>Stofzuigerslang Lengte 5 m, Diameter 35 mm antistatisch.
De slang is antistatisch en voorzien van een bajonetsluiting.
Voor Stofzuiger (GAS 35 M AFC) van Bosch</t>
  </si>
  <si>
    <t xml:space="preserve">Koperen strip met 3* M10 bout en bevestigingsklem (U-beugel) voor
montage op de aardrail van een Magnefix schakelinstallatie. Voor het
aansluiten van aardschermen 1-fase kabels.
U-beugel is geschikt voor een aardrail met afmetingen 25x5mm (Eaton,
AKA) en 30x5mm (Alfen).
</t>
  </si>
  <si>
    <t>Flenzenpen (boutenpen)
Voor het uitlijnen van de gaten in flenzen zodat de bouten goed
geplaatst kunnen worden.</t>
  </si>
  <si>
    <t>Messen voor kabelsnijkop TC-096 (20035208)</t>
  </si>
  <si>
    <t xml:space="preserve">Aanboortoestel gasmeter opstelling 3\4"-1" Staal. Aanboortoestel
geschikt voor het verwisselen van gasvoerende meterbeugel met een 3
\4"-1" stalen leiding.
Type 30MEWISLIANDER03    IPCOSAFE MEWIS gasv. meterbeugels wissel
ST3\4"1"
Inhoud:
Artikel Omschrijving Aantal
30297KISTG Gereedschapswagen 65x64x39cm 1
30297KVUL2 Schuimbodem 540x245x19mm antraciet 1
30OMEWISSTICKER IPCO + MEWIS sticker voor kist 1
30297000 Unidrill basis toestel 1
30297022 Aanboorspil 16mm 11G M10 RVS L=420 1
30297022A Aanboorspil 16mm 11G 3/8" RVS L=420 1
30297014 Ratel voor Unidrill vk 1/2" 1
30297016 Steeksleutel 15 mm 1
30297018 Haaksleutel 52/55 met pen 1
30297027 Verlenging spoelstuk 1¼" H=89mm 1
30O297052 Messing verloopnippel 1¼"x1" 1
30O297217 Verloop M10xM8 70mm lang 1
30O297210 RVS Zeskant adaptor M10xSLW17 1
30954019 Frees HM gold 19mm x M8 2
30954020 Frees HM gold 22,4mm x 3/8"G 2
05IPULSADAPTER IPCOPULS Adapter 1.1/4" x 3/4", L= 120mm 1
06BOSTOPHUIS1" IPCO Bostop huis 1" 1
30504040 IPULS magneet incl. greep L=500 1
06BOSTOPV¾"M3FLWILSON IPCO BOSTOP (VERL.WILSON) ¾" speciaal flex (13 /
11,5 mm) 1
06BOSTOPV1"XSFL IPCO BOSTOP (VERLENGD) 1" XS flex (13 / 11.5 mm) 1
30ISTOPFEZ3/4" Zadel (gereedschap) staal 3/4" , aftak ¾" 1
30ISTOPFEZ1" Zadel (gereedschap) staal 1" , aftak 1" 1
35WH005090 4 wiel snijder 5090 1
05OKRAAN¾"BIBU Kogelkraan ¾" (bi-bu) 1
30KRAAN1"BIBUAC Kogelkraan 1" bi/bu AC 1
30ISTOP03/4" IPCOSAFE STOP 3/4" 2
30ISTOP1" IPCOSAFE STOP 1" 2
</t>
  </si>
  <si>
    <t xml:space="preserve">Aanboortoestel gasmeter opstelling 22/28mm CU. Aanboortoestel geschikt
voor het verwisselen van gasvoerende meterbeugel met een 22/28mm koperen
leiding.
Type 30MEWISLIANDER02    IPCOSAFE MEWIS om gasvoerende  meterbeugels te
wisselen CU22/28.
Inhoud:
Artikel Omschrijving Aantal
30297KISTG Gereedschapswagen 65x64x39cm 1
30297KVUL2 Schuimbodem 540x245x19mm antraciet 1
30OMEWISSTICKER IPCO + MEWIS sticker voor kist 1
30297000 Unidrill basis toestel 1
30297020 Aanboorspil 16mm 9G M10 RVS L=350 1
30297014 Ratel voor Unidrill vk 1/2" 1
30297016 Steeksleutel 15 mm 1
30297018 Haaksleutel 52/55 met pen 1
30297038 Messingverloop/nylonring 1.1/4" x 1" H=28 1
3029721019 Gatzaagadapter M10xUNF½"CB 19mm 1
30950019FT Gatzaag 19 mm FT koper 3
30KRAAN3/4"MEWIS Kogelkraan 3/4" Mewis 2
05IPULSKORT IPCOPULS met terugslagklepje 3/4" t/m 1.1/2" (Kort) 2
05IPULSADAPTER IPCOPULS Adapter 1.1/4" x 3/4", L= 120mm 1
06BOSTOPHUIS1" IPCO Bostop huis 1" 1
06BOSTOPV¾"M3FLWILSON IPCO BOSTOP (VERL.WILSON) ¾" speciaal flex (13 /
11,5 mm) 1
06BOSTOPV1"XSFL IPCO BOSTOP (VERLENGD) 1" XS flex (13 / 11.5 mm) 1
30ISTOPCUZ22 Zadel (gereedschap) koper 22 , aftak ¾" 1
30ISTOPCUZ28 Zadel (gereedschap) koper 28 , aftak ¾" 1
35WH005691 Auto-C snijder 22 mm, SS/CU/PVC 1
35WH005692 Auto-C snijder 28 mm, SS/CU/PVC 1
</t>
  </si>
  <si>
    <t xml:space="preserve">Aanboortoestel gasmeter opstelling 22/28CU (koper) 3\4"-1"ST (Staal).
Aanboortoestel geschikt voor het verwisselen van gasvoerende meterbeugel
met zowel een koperen als een stalen leidingen CU22/28 ST3\4"1".
30MEWISLIANDER01    IPCOSAFE MEWIS gasv. meterbeugels wissel CU22/28
ST3\4"1"
Inhoud:
Artikel Omschrijving Aantal
30297KISTG Gereedschapswagen 65x64x39cm 1
30OMEWISSTICKER IPCO + MEWIS sticker voor kist 1
30297000 Unidrill basis toestel 1
30297022 Aanboorspil 16mm 11G M10 RVS L=420 2
30297022A Aanboorspil 16mm 11G 3/8" RVS L=420 1
30297014 Ratel voor Unidrill vk 1/2" 1
30297016 Steeksleutel 15 mm 1
30297018 Haaksleutel 52/55 met pen 1
30297027 Verlenging spoelstuk 1¼" H=89mm 1
30O297052 Messing verloopnippel 1¼"x1" 1
3029721019 Gatzaagadapter M10xUNF½"CB 19mm 1
30950019FT Gatzaag 19 mm FT koper 3
30950022FT Gatzaag 22 mm FT koper 3
30O297217 Verloop M10xM8 70mm lang 1
30O297210 RVS Zeskant adaptor M10xSLW17 1
30954019 Frees HM gold 19mm x M8 2
30954020 Frees HM gold 22,4mm x 3/8"G 2
05IPULSADAPTER IPCOPULS Adapter 1.1/4" x 3/4", L= 120mm 1
06BOSTOPHUIS1" IPCO Bostop huis 1" 1
30504040 IPULS magneet incl. greep L=500 1
06BOSTOPV¾"M3FLWILSON IPCO BOSTOP (VERL.WILSON) ¾" speciaal flex (13 /
11,5 mm) 1
06BOSTOPV1"XSFL IPCO BOSTOP (VERLENGD) 1" XS flex (13 / 11.5 mm) 1
30ISTOPCUZ22 Zadel (gereedschap) koper 22 , aftak ¾" 1
30ISTOPCUZ28X1" Zadel (gereedschap) koper 28 , aftak 1" 1
30ISTOPFEZ3/4" Zadel (gereedschap) staal 3/4" , aftak ¾" 1
30ISTOPFEZ1" Zadel (gereedschap) staal 1" , aftak 1" 1
35WH005691 Auto-C snijder 22 mm, SS/CU/PVC 1
35WH005692 Auto-C snijder 28 mm, SS/CU/PVC 1
35WH005090 4 wiel snijder 5090 1
05OKRAAN¾"BIBU Kogelkraan ¾" (bi-bu) 2
30KRAAN1"BIBUAC Kogelkraan 1" bi/bu AC 2
30ISTOP03/4" IPCOSAFE STOP 3/4" 2
30ISTOP1" IPCOSAFE STOP 1" 2
</t>
  </si>
  <si>
    <t>Stofzuiger Vliesafvoerzak (pak5).
De vliesfilterzak is een vervangende stofzak voor droog stofzuigen. Met
de stofzak van vliesmateriaal wordt stof eenvoudig verzameld en
verwijderd. Bedoeld voor stofzuigers van Bosch.</t>
  </si>
  <si>
    <t>Aardingsoverbrugging set voor een Hakatel / Kupfer Welle /
kopergolfmantel laagspanningskabel. Set bestaat uit 2x LDV klem 50/70,
2m Litze plat 35mm2 vertind en een rol kopergaasband.</t>
  </si>
  <si>
    <t xml:space="preserve">Aansluitkast 250 A,
geschikt voor klanten vanaf 3 x 80A t/m 160 kVa.
Incl. sticker A6 (145x100) Liander+storingnr.
Fabr: GE,
(ABB 855780)
VMS grootverbruiker kast AK250+klemmenkast links.
</t>
  </si>
  <si>
    <t xml:space="preserve">Slijptol haaks 125mm KLN Dschijf=125 (Gebruikt) !K
Type: GWS 13-125 CI Professional
Snel resultaat door krachtige 1.300 wattmotor met Constant-Electronic
met directe motorkoeling, overbelastingsbeveiliging en lange
koolborstelstandtijd. Toonaangevende gebruikersbescherming door KickBack
Stop, heraanloopbeveiliging, tegen verdraaien beveiligde beschermkap.
Geoptimaliseerde luchtgeleiding en verbeterde bescherming tegen stof.
Vibration Control extra handgreep met 40% trillingsreductie (EN 60745).
goed hanteerbaar door een slanke behuizing.
Aanloopstroombegrenzing en zachte aanloop.
Tandwielkop in 90°-stappen draaibaar.
Handgreep links en rechts inzetbaar.
Grote asvergrendelingsknop.
Nom, opgenomen vermogen: 1.300 W.
Onbelast toerental: 11.500 min-1.
Afgiftecapaciteit 700 W.
Schijfdiameter: 125 mm.
Aansluiting: M 14.
Hoogte: 103 mm.
Lengte: 297 mm.
Gewicht: 2,3 kg.
</t>
  </si>
  <si>
    <t xml:space="preserve">Bocht, 45 graden, materiaal: roodkoper, aansluiting: pers 22 mm x pers
22 mm.
</t>
  </si>
  <si>
    <t xml:space="preserve">Bocht, 45 graden, materiaal: roodkoper, aansluiting: pers 28 mm x pers
28 mm.
</t>
  </si>
  <si>
    <t xml:space="preserve">Bocht, 45 graden, materiaal: roodkoper, aansluiting: pers 35 mm x pers
35 mm.
</t>
  </si>
  <si>
    <t>Kabelbokje (singels); kabelbokje wat zowel geschikt is voor drieaderige
als éénaderige kabel (singel)</t>
  </si>
  <si>
    <t>Frees 19mm x M8 (IPCO); Frees HM gold 19mm x M8 voor het aanboren, icm
het IPCO aanboortoestel, van stalen leidingen tbv het vervangen van de
meterbeugel.</t>
  </si>
  <si>
    <t>Gatzaag 22 mm FT CU,  voor het aanboren, icm het IPCO aanboortoestel,
van koperen leidingen tbv het vervangen van de meterbeugel.</t>
  </si>
  <si>
    <t xml:space="preserve">Bocht, 90 graden, materiaal: roodkoper, aansluiting: pers 22 mm x pers
22 mm. Sanha.  QA keurmerk.
</t>
  </si>
  <si>
    <t xml:space="preserve">Bocht, 90 graden, materiaal: roodkoper, aansluiting: pers 28 mm x pers
28 mm. Sanha.  QA keurmerk.
</t>
  </si>
  <si>
    <t xml:space="preserve">Bocht, 90 graden, materiaal: roodkoper, aansluiting: pers 35 mm x pers
35 mm. Sanha.  QA keurmerk.
</t>
  </si>
  <si>
    <t xml:space="preserve">Bocht, 90 graden, materiaal: roodkoper, aansluiting: pers 42 mm x pers
42 mm. Sanha.  QA keurmerk.
</t>
  </si>
  <si>
    <t xml:space="preserve">Bocht, 90 graden, materiaal: roodkoper, aansluiting: pers 54 mm x pers
54 mm. Sanha.  QA keurmerk.
</t>
  </si>
  <si>
    <t xml:space="preserve">Bocht, 45 graden, materiaal: roodkoper, aansluiting: pers 42 mm x pers
42 mm.
</t>
  </si>
  <si>
    <t xml:space="preserve">Bocht, 45 graden, materiaal: roodkoper, aansluiting: pers 54 mm x pers
54 mm.
</t>
  </si>
  <si>
    <t xml:space="preserve">Koppeling recht (overgangsstuk), materiaal: brons, aansluiting: pers 22
mm x binnendraad 1" Rp. Sanha.  QA keurmerk.
</t>
  </si>
  <si>
    <t xml:space="preserve">Koppeling recht (overgangsstuk), materiaal: brons, aansluiting: pers 28
mm x binnendraad 1" Rp. Sanha.  QA keurmerk.
</t>
  </si>
  <si>
    <t xml:space="preserve">Splitter t.b.v. P1 communicatiepoort van de slimme meter. Aanleiding is
het invoeren van de boilermind (type 5). Deze schakelt de boiler in of
uit door middel van het signaal van de P1 poort. Indien deze bij klanten
reeds in gebruik is of snel in gebruik wordt genomen bieden we een
splitter aan. Dus alleen bij P1 gebruik door Liander. Bij P1 gebruik
door de klant is het de eigen verantwoordelijkheid van de klant om zelf
een splitter aan te schaffen.
Let op alleen te bestellen met toestemming en opgave van reden.
</t>
  </si>
  <si>
    <t xml:space="preserve">Bocht, 45 graden, materiaal: koper, aansluiting: pers 22 mm x spie 22
mm.
</t>
  </si>
  <si>
    <t>Bocht, 45 graden, materiaal: koper, aansluiting: pers 28 mm x spie 28
mm.</t>
  </si>
  <si>
    <t xml:space="preserve">Ongeïsoleerde moerklem, geschikt voor 2 kabels 10 t/m 25 mm2.
</t>
  </si>
  <si>
    <t xml:space="preserve">Knie, 90 graden, materiaal: brons, aansluiting: pers 22 mm x binnendraad
1" Rp. Sanha.  QA keurmerk.
</t>
  </si>
  <si>
    <t xml:space="preserve">Knie, 90 graden, materiaal: brons, aansluiting: pers 28 mm x binnendraad
1" Rp. Sanha.  QA keurmerk.
</t>
  </si>
  <si>
    <t xml:space="preserve">T-stuk, materiaal: roodkoper, aansluiting: pers 22 mm x pers 22 mm x
pers 22 mm. Sanha.  QA keurmerk.
</t>
  </si>
  <si>
    <t xml:space="preserve">T-stuk, materiaal: roodkoper, aansluiting: pers 28 mm x pers 28 mm x
pers 28 mm. Sanha.  QA keurmerk.
</t>
  </si>
  <si>
    <t xml:space="preserve">T-stuk, materiaal: roodkoper, aansluiting: pers 42 mm x pers 42 mm x
pers 42 mm. Sanha.  QA keurmerk.
</t>
  </si>
  <si>
    <t xml:space="preserve">T-stuk, materiaal: roodkoper, aansluiting: pers 54 mm x pers 54 mm x
pers 54 mm. Sanha.  QA keurmerk.
</t>
  </si>
  <si>
    <t xml:space="preserve">T-stuk, verlopend, materiaal: roodkoper, aansluiting: pers 28 mm x pers
22 mm x pers 28 mm. Sanha.  QA keurmerk.
</t>
  </si>
  <si>
    <t xml:space="preserve">T-stuk, verlopend, materiaal: roodkoper, aansluiting: pers 35 mm x pers
22 mm x pers 35 mm. Sanha.  QA keurmerk.
</t>
  </si>
  <si>
    <t xml:space="preserve">T-stuk, verlopend, materiaal: roodkoper, aansluiting: pers 35 mm x pers
28 mm x pers 35 mm. Sanha.  QA keurmerk.
</t>
  </si>
  <si>
    <t xml:space="preserve">T-stuk, verlopend, materiaal: roodkoper, aansluiting: pers 42 mm x pers
28 mm x pers 42 mm. Sanha.  QA keurmerk.
</t>
  </si>
  <si>
    <t xml:space="preserve">T-stuk, verlopend, materiaal: roodkoper, aansluiting: pers 54 mm x pers
42 mm x pers 54 mm. Sanha.  QA keurmerk.
</t>
  </si>
  <si>
    <t xml:space="preserve">Sok, materiaal: roodkoper, aansluiting: pers 22 mm x pers 22 mm. Sanha.
 QA keurmerk.
</t>
  </si>
  <si>
    <t xml:space="preserve">Sok, materiaal: roodkoper, aansluiting: pers 28 mm x pers 28 mm. Sanha.
 QA keurmerk.
</t>
  </si>
  <si>
    <t xml:space="preserve">Sok, materiaal: roodkoper, aansluiting: pers 35 mm x pers 35 mm. Sanha.
 QA keurmerk.
</t>
  </si>
  <si>
    <t xml:space="preserve">Sok, materiaal: roodkoper, aansluiting: pers 42 mm x pers 42 mm. Sanha.
 QA keurmerk.
</t>
  </si>
  <si>
    <t xml:space="preserve">Sok, materiaal: roodkoper, aansluiting: pers 54 mm x pers 54 mm. Sanha.
 QA keurmerk.
</t>
  </si>
  <si>
    <t xml:space="preserve">Reparatiesok, materiaal: roodkoper, aansluiting: pers 22 mm x pers 22
mm. Sanha.  QA keurmerk.
</t>
  </si>
  <si>
    <t xml:space="preserve">Reparatiesok, materiaal: roodkoper, aansluiting: pers 28 mm x pers 28
mm. Sanha.  QA keurmerk.
</t>
  </si>
  <si>
    <t xml:space="preserve">Reparatiesok, materiaal: roodkoper, aansluiting: pers 35 mm x pers 35
mm. Sanha.  QA keurmerk.
</t>
  </si>
  <si>
    <t xml:space="preserve">Reparatiesok, materiaal: roodkoper, aansluiting: pers 42 mm x pers 42
mm. Sanha.  QA keurmerk.
</t>
  </si>
  <si>
    <t xml:space="preserve">Reparatiesok, materiaal: roodkoper, aansluiting: pers 54 mm x pers 54
mm. Sanha.  QA keurmerk.
</t>
  </si>
  <si>
    <t xml:space="preserve">Verloopsok, materiaal: roodkoper, aansluiting: spie 28 mm x pers 22 mm.
Sanha.  QA keurmerk.
</t>
  </si>
  <si>
    <t xml:space="preserve">Verloopsok, materiaal: roodkoper, aansluiting: spie 35 mm x pers 22 mm.
Sanha.  QA keurmerk.
</t>
  </si>
  <si>
    <t xml:space="preserve">Verloopsok, materiaal: roodkoper, aansluiting: spie 35 mm x pers 28 mm.
Sanha.  QA keurmerk.
</t>
  </si>
  <si>
    <t xml:space="preserve">Verloopsok, materiaal: roodkoper, aansluiting: spie 42 mm x pers 22 mm.
Sanha.  QA keurmerk.
</t>
  </si>
  <si>
    <t xml:space="preserve">Verloopsok, materiaal: roodkoper, aansluiting: spie 42 mm x pers 28 mm.
Sanha.  QA keurmerk.
</t>
  </si>
  <si>
    <t xml:space="preserve">Verloopsok, materiaal: roodkoper, aansluiting: spie 42 mm x pers 35 mm.
Sanha.  QA keurmerk.
</t>
  </si>
  <si>
    <t xml:space="preserve">Verloopsok, materiaal: roodkoper, aansluiting: spie 54 mm x pers 42 mm.
Sanha.  QA keurmerk.
</t>
  </si>
  <si>
    <t xml:space="preserve">Eindkap recht Materiaal: roodkoper Aansluiting : pers 54 mm Sanha.  QA
keurmerk.
</t>
  </si>
  <si>
    <t>Eindkap recht
Materiaal: roodkoper
Aansluiting : pers 54mm
Sanha</t>
  </si>
  <si>
    <t xml:space="preserve">Bocht, 45 graden, materiaal: koper, aansluiting: pers 35 mm x spie 35
mm.
</t>
  </si>
  <si>
    <t>Bocht, 45 graden, materiaal: koper, aansluiting: pers 42 mm x spie 42
mm.</t>
  </si>
  <si>
    <t>Bocht, 45 graden, materiaal: koper, aansluiting: pers 54 mm x spie 54
mm.</t>
  </si>
  <si>
    <t xml:space="preserve">Knie, 90 graden, materiaal: brons, aansluiting: pers 35 mm x binnendraad
1.1/4" Rp. Sanha
</t>
  </si>
  <si>
    <t xml:space="preserve">Knie, 90 graden, materiaal: brons, aansluiting: pers 42 mm x binnendraad
1.1/2" Rp. Sanha.  QA keurmerk.
</t>
  </si>
  <si>
    <t xml:space="preserve">Knie, 90 graden, materiaal: brons, aansluiting: pers 54 mm x binnendraad
2" Rp. Sanha.  QA keurmerk.
</t>
  </si>
  <si>
    <t xml:space="preserve">Koppeling recht (overgangsstuk), materiaal: brons, aansluiting: pers 35
mm x buitendraad 1.1/4" R. Sanha.  QA keurmerk.
</t>
  </si>
  <si>
    <t xml:space="preserve">T-stuk, materiaal: roodkoper, aansluiting: pers 35 mm x pers 35 mm x
pers 35 mm. Sanha.  QA keurmerk.
</t>
  </si>
  <si>
    <t xml:space="preserve">T-stuk, verlopend, materiaal: roodkoper, aansluiting: pers 42 mm x pers
35 mm x pers 42 mm. Sanha.  QA keurmerk.
</t>
  </si>
  <si>
    <t xml:space="preserve">Koppeling recht (overgangsstuk), materiaal: brons, aansluiting: pers 35
mm x binnendraad 1.1/4" Rp. Sanha.  QA keurmerk.
</t>
  </si>
  <si>
    <t xml:space="preserve">Koppeling recht (overgangsstuk), materiaal: brons, aansluiting: pers 42
mm x binnendraad 1.1/2" Rp. Sanha.  QA keurmerk.
</t>
  </si>
  <si>
    <t xml:space="preserve">Koppeling recht (overgangsstuk), materiaal: brons, aansluiting: pers 54
mm x binnendraad 2" Rp. Sanha.  QA keurmerk.
</t>
  </si>
  <si>
    <t xml:space="preserve">Koppeling recht (overgangsstuk), materiaal: brons, aansluiting: pers 22
mm x buitendraad 1" R. Sanha.  QA keurmerk.
</t>
  </si>
  <si>
    <t xml:space="preserve">Koppeling recht (overgangsstuk), materiaal: brons, aansluiting: pers 28
mm x buitendraad 1.1/4" R. Sanha.  QA keurmerk.
</t>
  </si>
  <si>
    <t xml:space="preserve">Koppeling recht (overgangsstuk), materiaal: brons, aansluiting: pers 35
mm x buitendraad 1.1/2" R. Sanha.  QA keurmerk.
</t>
  </si>
  <si>
    <t xml:space="preserve">Koppeling recht (overgangsstuk), materiaal: brons, aansluiting: pers 42
mm x buitendraad 1.1/4" R. Sanha.  QA keurmerk.
</t>
  </si>
  <si>
    <t xml:space="preserve">Koppeling recht (overgangsstuk), materiaal: brons, aansluiting: pers 42
mm x buitendraad 1.1/2" R. Sanha.  QA keurmerk.
</t>
  </si>
  <si>
    <t xml:space="preserve">Koppeling recht (overgangsstuk), materiaal: brons, aansluiting: pers 54
mm x buitendraad 1.1/2" R. Sanha.  QA keurmerk.
</t>
  </si>
  <si>
    <t xml:space="preserve">Koppeling recht (overgangsstuk), materiaal: brons, aansluiting: pers 54
mm x buitendraad 2" R. Sanha.  QA keurmerk.
</t>
  </si>
  <si>
    <t xml:space="preserve">Verloopsok, materiaal: roodkoper, aansluiting: spie 54 mm x pers 35 mm.
Sanha.  QA keurmerk.
</t>
  </si>
  <si>
    <t xml:space="preserve">Koppeling recht (overgangsstuk), materiaal: brons, aansluiting: pers 22
mm x buitendraad 3/4" Rp. Sanha.  QA keurmerk.
</t>
  </si>
  <si>
    <t xml:space="preserve">Koppeling recht (overgangsstuk), materiaal: brons, aansluiting pers 22mm
x buitendraad 3/4"  R. Sanha.  QA keurmerk.
</t>
  </si>
  <si>
    <t xml:space="preserve">T-stuk, verlopend, materiaal roodkoper, aansluiting:pers 42mmxpers22mmx
 pers 42mm, Sanha.  QA keurmerk.
</t>
  </si>
  <si>
    <t xml:space="preserve">Koppeling recht (overgangsstuk), materiaal; Brons; aansluiting pers 28mm
x buitendraad 1" R. Sanha.  QA keurmerk.
</t>
  </si>
  <si>
    <t xml:space="preserve">Koppeling recht (overgangsstuk), materiaal; Brons; aansluiting pers 28mm
x buitendraad 3/4" R. Sanha.  QA keurmerk.
</t>
  </si>
  <si>
    <t xml:space="preserve">Eindkap, Materiaal: roodkoper, Aansluiting : pers 22mm Sanha.  QA
keurmerk.
</t>
  </si>
  <si>
    <t xml:space="preserve">Eindkap recht Materiaal: roodkoper Aansluiting: pers 28 mm Sanha.  QA
keurmerk.
</t>
  </si>
  <si>
    <t xml:space="preserve">Eindkap recht Materiaal: roodkoper Aansluiting : pers 35mm Sanha.  QA
keurmerk.
</t>
  </si>
  <si>
    <t>Ringklem geschikt voor hoofdkabel 4x95-120Cu met aftak 4x6Cu-4x50Al.</t>
  </si>
  <si>
    <t>Ringklem geschikt voor hoofdkabel 4x95-150Al met aftak 4x6Cu-4x50Al.
Type 331896005</t>
  </si>
  <si>
    <t xml:space="preserve">Verloopsok, materiaal: roodkoper, aansluiting: spie 22 mm x pers 15 mm.
Sanha.  QA keurmerk.
</t>
  </si>
  <si>
    <t xml:space="preserve">Knie, 90 graden, materiaal: brons, aansluiting: pers 22 mm x binnendraad
3/4" Rp. Sanha.  QA keurmerk.
</t>
  </si>
  <si>
    <t xml:space="preserve">Koppeling recht (overgangsstuk), materiaal: brons, aansluiting: pers 15
mm x binnendraad 3/4" Rp. Sanha.  QA keurmerk.
</t>
  </si>
  <si>
    <t xml:space="preserve">Bocht, 90 graden, materiaal: roodkoper, aansluiting: pers 15mm x pers 15
mm. Sanha.  QA keurmerk.
</t>
  </si>
  <si>
    <t xml:space="preserve">Koppeling recht (overgangsstuk), materiaal: brons, aansluiting: pers 15
mm x buitendraad 3/4" R. Sanha.  QA keurmerk.
</t>
  </si>
  <si>
    <t xml:space="preserve">Reparatiesok, materiaal: roodkoper, aansluiting: pers 15 mm x pers 15
mm. Sanha.  QA keurmerk.
</t>
  </si>
  <si>
    <t xml:space="preserve">Knie, 90 graden, materiaal: brons, aansluiting: pers 22 mm x buitendraad
3/4" R. Sanha.  QA keurmerk.
</t>
  </si>
  <si>
    <t xml:space="preserve">Bocht, 90 graden, materiaal: koper, aansluiting: pers 35 mm x spie 35 mm
Sanha.  QA keurmerk.
</t>
  </si>
  <si>
    <t xml:space="preserve">Bocht, 90 graden, materiaal: koper, aansluiting: pers 22 mm x spie 22 mm
Sanha.  QA keurmerk.
</t>
  </si>
  <si>
    <t xml:space="preserve">Bocht, 90 graden, materiaal: koper, aansluiting: pers 28 mm x spie 28 mm
Sanha.  QA keurmerk.
</t>
  </si>
  <si>
    <t xml:space="preserve">Koppeling recht (overgangsstuk), materiaal: brons, aansluiting: pers 35
mm x buitendraad 1" R. Sanha.  QA keurmerk.
</t>
  </si>
  <si>
    <t xml:space="preserve">Kopp. 2-dlg Ms wrt G1" x 22 Pers. Puntstuk volgens NEN2542, NBR
afdichtring  volgens NEN2545, Wartelmoer (slw, materiaal en schroefd
raad) volgens NEN2544 Sanha.  QA keurmerk.
</t>
  </si>
  <si>
    <t>Snelkoppeling Rectus 21ka 1/4 buitendraad.</t>
  </si>
  <si>
    <t>Heater 2kW; Oklima luchtverhitter voorzien van een thermisch beveiligde
motor en RVS verwarmingselementen.
Praktische bediening en veiligheid dankzij een meerstandenschakelaar,
interne ruimtethermostaat en oververhittingsthermostaat. Deze
geluidsarme heater is geschikt voor gesloten ruimten doordat hij geen
zuurstof verbruikt, en geeft hierbij een geurloze droge warmte af.
Type: FE2
Capaciteit: 1,0 - 2.0 kW / 860 – 1.720 Kcal/h.
Luchtverplaatsing: 300 m³/h.
Spanning: 230 V / 50 Hz.</t>
  </si>
  <si>
    <t xml:space="preserve">Ongeïsoleerde schroefverbinder met afbreekbout
geschikt voor kabel 1 t/m 16mm2 Cu rm/rs.
</t>
  </si>
  <si>
    <t xml:space="preserve">Ongeïsoleerde schroefverbinder met afbreekbout
geschikt voor kabel 4 t/m 50mm2.
</t>
  </si>
  <si>
    <t xml:space="preserve">Ongeïsoleerde schroefverbinder met afbreekbout geschikt voor kabel 25
t/m 150mm2.
</t>
  </si>
  <si>
    <t xml:space="preserve">Kunststof blok met 4 ongeïsoleerde schroefverbinder met afbreekbout
geschikt voor kabel 6 t/m 50mm2.
</t>
  </si>
  <si>
    <t xml:space="preserve">Kunststof blok met 4 ongeïsoleerde schroefverbinder met afbreekbout
geschikt voor kabel 25 t/m 150 mm2.
</t>
  </si>
  <si>
    <t xml:space="preserve">Ongeïsoleerde moerklem geschikt voor 2 kabels 2,5 t/m 6 mm2
</t>
  </si>
  <si>
    <t xml:space="preserve">Ongeïsoleerde moerklem geschikt voor 2 kabels 6 t/m 16 mm2.
</t>
  </si>
  <si>
    <t xml:space="preserve">Ongeïsoleerde moerklem, geschikt voor 2 kabels 10 t/m 35 mm2.
</t>
  </si>
  <si>
    <t xml:space="preserve">Ongeïsoleerde moerklem geschikt voor 2 kabels 25 t/m 50 mm2.
</t>
  </si>
  <si>
    <t>PVC buis 315mm/0,5mtr. Benodigd voor de aansluit/afblaasopbouw PVC buis
315mm lengte 50cm, t.b.v. de aansluit/afblaas opbouw methodiek conform
 N2134. Kleur geel of grijs.</t>
  </si>
  <si>
    <t xml:space="preserve">Desinfectiemiddel Spray (500ml), Alcoholspray voor het desinfecteren van
oppervlaktes en voorwerpen en worden alle micro-organisme gedood.
Deze desinfecterende alcoholspray is goedgekeurd onder toelatingsnummer
N14026 als verdrijver van bacteriën, schimmels en gisten.
</t>
  </si>
  <si>
    <t>Leaflet algemeen Slimme Meter voor Aansluitingen
Doos = 500st</t>
  </si>
  <si>
    <t>Leaflet Altijd 3 fasen
Doos = 500st</t>
  </si>
  <si>
    <t xml:space="preserve">Ringklem
geschikt voor hoofdkabel GPL 4x150Cu met aftak 4x6Cu-4x50Al -
type Pfisterer SCK 330499495.
</t>
  </si>
  <si>
    <t xml:space="preserve">Ringklem geschikt voor hoofdkabel 4x95Al met aftak 4x95-150Al
- type Pfisterer SCK 332241005.
</t>
  </si>
  <si>
    <t xml:space="preserve">Ringklem
geschikt voor hoofdkabel 4x150Al en GPL 4x120Cu met aftak 4x95-150Al -
type Pfisterer SCK 332241006.
</t>
  </si>
  <si>
    <t xml:space="preserve">Ringklem
geschikt voor hoofdkabel GPL 4x150 Cu met aftak 4x150 Al -
type Pfisterer SCK 332241004.
</t>
  </si>
  <si>
    <t xml:space="preserve">Enkelvoudige geïsoleerde aftakklem met afbreekbout, geschikt voor
hoofdkabel 16-95 Cu en 25-150 Al met aftak 150Al.
</t>
  </si>
  <si>
    <t xml:space="preserve">Ringklem geschikt voor hoofdkabel GPL 4x35-4x70Cu met aftak
4x6Cu-4x50Al.
</t>
  </si>
  <si>
    <t xml:space="preserve">Ringklem
geschikt voor hoofdkabel GPL 3x25+1x16Cu met aftak 4x6Cu-4x50Al -
type Pfisterer SCK 332069142
</t>
  </si>
  <si>
    <t xml:space="preserve">Ringklem
geschikt voor hoofdkabel GPL 4x25Cu met aftak 4x6Cu-4x50Al -
type Pfisterer SCK 332069141.
</t>
  </si>
  <si>
    <t xml:space="preserve">Ringklem geschikt voor hoofdkabel GPL 3x70+1x50Cu en GPL 3x95+1x70Cu met
aftak 4x6Cu-4x50Al.
</t>
  </si>
  <si>
    <t>Led lamp E27 3,4W-40W kleur 2700K Philips</t>
  </si>
  <si>
    <t>Full Range Patroon 10 A geschikt voor 10 en 20kV lengte 424 mm met
slagstift 80N 30mm</t>
  </si>
  <si>
    <t xml:space="preserve">Full Range Patroon 16 A geschikt voor 10 en 20kV lengte 424 mm met
slagstift 80N 30mm
</t>
  </si>
  <si>
    <t>Full Range Patroon 20 A geschikt voor 10 en 20kV lengte 424 mm met
slagstift 80N 30mm</t>
  </si>
  <si>
    <t>Full Range Patroon 25 A geschikt voor 10 en 20kV lengte 424 mm met
slagstift 80N 30mm</t>
  </si>
  <si>
    <t xml:space="preserve">Full Range Patroon 31,5 A geschikt voor 10 en 20kV lengte 424 mm met
slagstift 80N 30mm
</t>
  </si>
  <si>
    <t xml:space="preserve">Aanboorzadel RVS T-klem, RVS 304, DN100 (108-128mm) x Flens DN50,
L=500mm, Afdichting NBR rubber, toepassing tot 8 bar, Flens volgens
NEN1092-1.
</t>
  </si>
  <si>
    <t xml:space="preserve">Aanboorzadel RVS T-klem, RVS 304, DN150 (168-188mm) x Flens DN50,
L=500mm, Afdichting NBR rubber, toepassing tot 8 bar, Flens volgens
NEN1092-1.
</t>
  </si>
  <si>
    <t xml:space="preserve">Enkelvoudige geïsoleerde aftakklem met afbreekbout. Geschikt voor
hoofdkabel 1-10Cu rm met aftak 1-10Cu rm.
</t>
  </si>
  <si>
    <t xml:space="preserve">Enkelvoudige geïsoleerde aftakklem met afbreekbout. Geschikt voor
hoofdkabel 16Cu rs met aftak 6-16Cu rm/rs.
</t>
  </si>
  <si>
    <t xml:space="preserve">Geïsoleerde schroefverbinder met afbreekbout
geschikt voor kabel 16-35Cu rs en 50-95Al svm
type Pfisterer LV piercing type 3 332710030
en
Sicame PHSR70-150SE.
</t>
  </si>
  <si>
    <t xml:space="preserve">LED lamp E27 8W (voorheen 60W) kleur 2700K, fabrikaat Philips.
</t>
  </si>
  <si>
    <t>LED lamp E27 13W (voorheen 100W) kleur 2700K, Philips.</t>
  </si>
  <si>
    <t>Lamp E27 LED 13W (voorheen 120W) 4000K
CorePro LEDBulbND 120W E27 A67 840 FR G.</t>
  </si>
  <si>
    <t xml:space="preserve">Volledige productcode 871951431304000
Productnaam voor bestelling CorePro lustre ND 7-60W E14 827 P48 FR
EAN/UPC - Product 8719514313040
</t>
  </si>
  <si>
    <t xml:space="preserve">Lamp E27 Led 7W (60W) 2700K Philips CorePro P48FR.
</t>
  </si>
  <si>
    <t xml:space="preserve">Enkelvoudige geïsoleerde aftakklem met afbreekbout geschikt voor
hoofdkabel 16-70mm2 met aardscherm 16-35mm2.
</t>
  </si>
  <si>
    <t xml:space="preserve">Enkelvoudige geïsoleerde aftakklem geschikt voor hoofdkabel 95-150mm2
met aardscherm 35-50mm2.
</t>
  </si>
  <si>
    <t>Cilinder europr 1.3 EZ 35/10       #Lips , S8461A05 NUON Lips-Trivium,
enkele europrofielcilinder 17 mm, SKG** 5 mm verlengd. In nuonprofiel.
Merk 1,3 EXX</t>
  </si>
  <si>
    <t xml:space="preserve">Dopsleutel VDE 3/8" 13mm 6-kant (lang) lengte 80mm
</t>
  </si>
  <si>
    <t xml:space="preserve">Hamer VDE; De hamer is volledig geïsoleerd tegen 1000 volt volgens
NEN-60900. Het biedt een hoge mate van bescherming. De kop is gemaakt
van robuust geel polyurethaan, dat niet alleen een uitstekend,
niet-geleidend materiaal is, maar ook sterk genoeg is om zwaar h
amermechanisme te weerstaan. Met verwisselbare kop. De hamer is licht en
voorzien van een ergonomisch handvat
Hamer KS-Tools 1171126 25mm kunststof VDE
</t>
  </si>
  <si>
    <t xml:space="preserve">Gasmeter
Fabricaat:  Flonidan
Type:   Uniflo G4 SRT
Meetprincipe:  Balg
Klasse:   1,5
Capaciteit:  G4 (0,04 – 6 m³/h)
Compliance:  SMR 5.0
Temperatuurcorrectie: Ja
Drukcorrectie:  Ja ( luchtdruk: 1015,5 mbar; voordruk: 28 mbar)
Klep:   Geen
Communicatie:  Mbus Draadloos
Nominale diameter:  DN20
Hartafstand:   220 mm
Schroefdraad:  GM¾"
</t>
  </si>
  <si>
    <t xml:space="preserve">Gasmeter
Fabricaat:  Flonidan
Type:   Uniflo G6 SRT
Meetprincipe:  Balg
Klasse:   1,5
Capaciteit:  G6 (0,06 – 10 m³/h)
Compliance:  SMR 5.0
Temperatuurcorrectie: Ja
Drukcorrectie:  Ja ( luchtdruk: 1015,5 mbar; voordruk: 28 mbar)
Klep:   Geen
Communicatie:  Mbus Draadloos
Nominale diameter:  DN20
Hartafstand:   220 mm
Schroefdraad:  GM¾"
</t>
  </si>
  <si>
    <t xml:space="preserve">Gasmeter
Fabricaat:  Flonidan
Type:   Uniflo G10SRT
Meetprincipe:  Balg
Klasse:   1,5
Capaciteit:  G10 (0,1 – 16 m³/h)
Compliance:  SMR 5.0
Temperatuurcorrectie: Ja
Drukcorrectie:  Ja ( luchtdruk: 1015,5 mbar; voordruk: 28 mbar)
Klep:   Geen
Communicatie:  Mbus Draadloos
Nominale diameter:  DN40
Hartafstand:   300 mm
Schroefdraad:  G2"
</t>
  </si>
  <si>
    <t xml:space="preserve">Gasmeter
Fabricaat:  Flonidan
Type:   Uniflo G16 SRT
Meetprincipe:  Balg
Klasse:   1,5
Capaciteit:  G16 (0,16 – 25 m³/h)
Compliance:  SMR 5.0
Temperatuurcorrectie: Ja
Drukcorrectie:  Ja ( luchtdruk: 1015,5 mbar; voordruk: 28 mbar)
Klep:   Geen
Communicatie:  Mbus Draadloos
Nominale diameter:  DN40
Hartafstand:   300 mm
Schroefdraad:  G2"
</t>
  </si>
  <si>
    <t>Kabelbeschermband 250 x 2,5 mm
Kleur: rood.
Opdruk: "Liander hoogspanningskabel"
Per haspel van 1.440 meter ( 3 banen naast elkaar van 480 meter).</t>
  </si>
  <si>
    <t xml:space="preserve">Ipcosafe stop 1"; artikel nummer 30ISTOP1"
</t>
  </si>
  <si>
    <t xml:space="preserve">Ipcosafe stop 3/4"; artikel nummer 30ISTOP03/4"
</t>
  </si>
  <si>
    <t xml:space="preserve">Kabel VO- of VG-YMvKas 0,6/1 kV – 4 x 6 mm2 Cu + as 6 mm2 Cu volgens
NEN3616.
Aderkleuren rood, geel, blauw en geel/blauw.
Brandklasse Dca-s2,d2,a3.
Haspels met 250m.
</t>
  </si>
  <si>
    <t>Beveiligingkast 3 relais voor ABB.
Artikelnummer leverancier (HTM): 1100-0411.</t>
  </si>
  <si>
    <t>Beveiligingkast 4 relais voor ABB.
Artikelnummer leverancier (HTM): 1100-0410.</t>
  </si>
  <si>
    <t xml:space="preserve">Kabelset voor beveiligingkast 1, 2, 3 of 4 relais betreedbaar station
Artikelnummer leverancier 1110-2281.
</t>
  </si>
  <si>
    <t xml:space="preserve">Kabelset voor beveiligingkast zonder relais betreedbaar station
Artikelnummer leverancier 1110-2283.
</t>
  </si>
  <si>
    <t xml:space="preserve">Kabelset voor beveiligingkast zonder relais compact station
Artikelnummer leverancier 1110-2284.
</t>
  </si>
  <si>
    <t>Montageframe tbv beveiligingkast voor ABB.
Artikelnummer leverancier (HTM):  1100-0415.</t>
  </si>
  <si>
    <t>Montageframe tbv DA-kast Alliander
Artikelnummer leverancier 1100-0390.</t>
  </si>
  <si>
    <t xml:space="preserve">Back Up Patroon 50 A geschikt voor 10 en 20kV lengte 442 mm met
slagstift 80N 30mm
</t>
  </si>
  <si>
    <t>Back Up Patroon 80 A geschikt voor 10 en 20kV lengte 442 mm met
slagstift 80N 30mm</t>
  </si>
  <si>
    <t>Porseleinen diazed D02 smeltveiligheden 25A Type LE1825 Un = 400 V~ +
250 V- Ik = 50 kA~ / 8 kA - karakteristiek gG - overeenkomstig EN 60269
- VDE-keur</t>
  </si>
  <si>
    <t>Centreerboor ø8mm x100mm t.b.v. 43mm gatzaag onderdeel van HD
aanboortoestel. Leveranciers-artikelnummer: 71.150.0810</t>
  </si>
  <si>
    <t xml:space="preserve">Aanboortoestel fabricaat IPCO voor het aanboren door HD-afblaasunit van
gietijzer en stalen HD gasleidingen.
Inhoud;
Artikel                                      Artikelnummer        Aantal
Pelikoffer met interieur              30OHDKOFFER        1
Adapter 2" naar Unidrill             30OHDADAPTER        1
Undrill basis toestel             30297000        1
Ratel                                     30297014        1
Steeksleutel                         30297016        1
Haaksleutel                         30297018        2
Aanboorspil Lengte 660mm             30297023        1
Aanboorspil Lengte 850mm             30297023C        1
Handkap PU                         20297028AC               1
Gatzaag 44mm                         30950044        5
Gatzaagmagneet                         30297215                  1
Reserve centreerboor             30O297215T1            1
Inbussleutel met T handgreep        30297209T        1
</t>
  </si>
  <si>
    <t xml:space="preserve">Schroevendraaier zaagsn. VDE  4 x ±100; Schroevendraaier zaagsnede 4mm,
Lengte ca. 100mm. Volgens norm NEN-EN- IEC 60900 (VDE). Schacht
vervaardigd van vanadium speciaalstaal, gesmeed. Direct op de schacht
aangespoten isolatie die aan de voorzijde volledig in de schacht is
geïntegreerd. Ergonomische handgreep voorzien van zachte maar stevige
grip. Voor werkzaamheden aan spanningvoerende delen tot 1.000 V AC en
1500 V DC. Type: 320N (wiha)
</t>
  </si>
  <si>
    <t>Dopsleutel 19mm tbv isolatiestop geschermde eindsluiting; een aangepaste
dopsleutel, inclusief verlengstuk van 250mm, dat voorkomt dat de
isolatiestop (capacitief beleg) uit de geschermde stekker valt bij het
wegnemen.</t>
  </si>
  <si>
    <t xml:space="preserve">Dopsleutel 22mm tbv isolatiestop geschermde eindsluiting; een aangepaste
dopsleutel, inclusief verlengstuk van 250mm, dat voorkomt dat de
isolatiestop (capacitief beleg) uit de geschermde stekker valt bij het
wegnemen.
</t>
  </si>
  <si>
    <t xml:space="preserve">Meet- aarding/pennen tbv geschermde stekkers; drie meet- aarding/pennen
met aardsnoer van 16mm2. Deze meet- aarding/pennen zijn tbv beproeven,
selecteren en uitkleuren van kabels vanuit een geschermde eindsluiting.
Wordt geleverd in een koffer incl:
- een tool voor het wegnemen van het cap. beleg
- aardsnoer
- drie meetpennen
- Ontluchtingshulpmiddel voor het plaatsen van het cap. beleg
- Twee tubes vet 60 gram tbv cap. beleg (GM1 vet Cellpack) (montage
pasta EPPA 064-60)
- In de koffer is ruimte om drie stuks cap. beleg tijdelijk in te leggen
</t>
  </si>
  <si>
    <t>Reciproluchtzaag STS325R compleet; Reciprozaag Fein STS325R pneumatisch
compl tot 400mm incl nakoeler RA- 20-PN Type: STS325R Pneumatische
recipro zaag Merk: Fein Werkdruk 6,0 bar Luchtverbruik 1,45 m³ / min
 Vermogen 1100 W  330 slagen 1/min  Slaglengte van 60 mm Gewicht van 7,2
kg Max materiaaldikte:  Buizen tot Ø 440 mm Compleet met ketting tot
400mm en spanvoorziening.  Met luchtgedreven nakoeler RA-20-PN</t>
  </si>
  <si>
    <t xml:space="preserve">Meetpen met aardkogel MS v Magnefix MF, De meetpennen zijn niet geschikt
als overneemaarde en voor bij het uitkleuren van MS kabels. De Magnefix
MF meetpen alléén toepassen bij metingen, beproevingen en Storing
zoeken.
</t>
  </si>
  <si>
    <t>Type: GBH 2-26 Professional Boorhamermachine SDSplus 2-26mm. Toepassing
voor boor-, hamerboor- en hakwerkzaamheden.  Kogelmof voor het voorkomen
van draadbreuken en Draaibare borstelplaat voor gelijke kracht bij het
rechts- en linksdraaien.  Overbelastingskoppeling ter bescherming van
gebruiker en machine. Rechts- en linksdraaien voor het lossen bij
vastgeklemde boren. Traploze toerentalregeling voor het zuiver aanboren.
Vastzetknop om permanent en zonder moe te worden te werken. Nominaal
opgenomen vermogen: 830 W. Slagenergie, max.: 2,7 J. Aantal slagen bij
nominaal toerental: 0 ? 4.000 min-1. Nominaal toerental: 0 ? 900 min-1.
Gewicht: 2,7 kg. Afmeting (LxBxH): 377x83x210 mm. Wordt geleverd met:
 Extra handgreep, opbergkoffer, diepteaanslag 210 mm en machinedoek.</t>
  </si>
  <si>
    <t xml:space="preserve">Deze kast en uitbreidingsset dient te worden toegepast bij een AC4 MLOEA
(Meerdere Leveranciers Op Een Aansluiting). De basis is de bestaande
AK250 kast (links). Deze set zorgt voor de materialen om de SAP aan de
PAP te kunnen aansluiten. Levering is incl. tussenkast, aansluitklemmen
voor meerdere aders en kabels van primaire aansluiting naar secundaire
aansluiting. Zie de N4291 en de X4291 voor detail informatie over de
kast.
</t>
  </si>
  <si>
    <t>Bedieningsstok voor Magnefix MD/MF, Bedieningsstok voor het aanbrengen
van de meetkappen in de Magnefix type MD en voor het aanbrengen van de
meetpennen in de Magnefix type MF. Tevens kan met de bedieningsstok het
aardingsgarnituur (snelaarding) voor de Magnefix type MD worden
aangebracht.</t>
  </si>
  <si>
    <t xml:space="preserve">-LS REK 6R VOOR GIETIJZEREN KAST AMSTERDAM VOORZIEN VAN:
- 6 X JEAN MULLER SCHAKELBARE STROOK 400A
- 1 X WCD EN VERLICHTING
</t>
  </si>
  <si>
    <t xml:space="preserve">Blokkering voor beveiligingsautomaat t/m 80 Amp. Blokkering is tegen het
(spontaan) weder inschakelen van een beveiligingsautomaat t/m 80 Amp.
</t>
  </si>
  <si>
    <t>Gatzaag 43mm, Merk Morse, (tbv HD aanboortoestel) voor staal en
gietijzer</t>
  </si>
  <si>
    <t>Leaflet ‘U heeft tijdelijk geen gas’
Doos = 500st</t>
  </si>
  <si>
    <t xml:space="preserve">Geschermde haakse (elbow) steker
geschikt voor A-conus interface (set van 3) voor XLPE 20kV 3x1x25 mm2
Cu,
inclusief 3 schroefkabelschoenen 25 mm2 en
3 schroefkabelschoenen 10-50 mm2 met gat 10,5 mm voor het aardscherm.
</t>
  </si>
  <si>
    <t xml:space="preserve">Geschermde haakse (T) steker (set van 3)
geschikt voor C-conus interface voor XLPE 15kV 3x1x16 mm2 Cu en XLPE
20kV 3x1x25 mm2 Cu,
inclusief 3 schroefkabelschoenen 16-25 mm2 en
3 schroefkabelschoenen 10-50 mm2 met gat 10,5 mm voor het aardscherm.
</t>
  </si>
  <si>
    <t>Meetkap met aardkogel MS v Magnefix MD. De meetkappen niet toepassen als
overneemaarde en bij het uitkleuren van kabels. De Magnefix MD meetkap
alléén toepassen bij metingen, beproevingen en Storing zoeken.</t>
  </si>
  <si>
    <t xml:space="preserve">Persbek 15mm voor Ridgid RP340b en Viega 4b en 5b.Voor persfittingen
voor metalen perssystemen.
</t>
  </si>
  <si>
    <t>Persbek 22mm voor Ridgid RP240 en Viega Picco, Voor persfittingen voor
metalen perssystemen.</t>
  </si>
  <si>
    <t>Persbek 22mm voor Ridgid RP340b en Viega 4b en 5b.Voor persfittingen
voor metalen perssystemen.</t>
  </si>
  <si>
    <t>Persbek 35mm voor Ridgid RP240 en Viega Picco, Voor persfittingen voor
metalen perssystemen.</t>
  </si>
  <si>
    <t>Persmachine Ridgid RP 340-B + 18V 2.0A Advanced Lithium Batterij + 230V
Advanced Lithium oplader + koffer + V 15-22-28mm bekken. Bekken. Viega
bekken (4b en 5b machine) zijn toepasbaar in deze machine.</t>
  </si>
  <si>
    <t>Accu tbv Persmachine Ridgid RP 340-B en Viega 4B en 5B ,18V 2.5A
Advanced Lithium Batterij.</t>
  </si>
  <si>
    <t>Accu voor Ridgid RP240, 12V Lithium-Ion Battery</t>
  </si>
  <si>
    <t>Persbek 15mm voor Ridgid RP240 en Viega Picco, Voor persfittingen voor
metalen perssystemen.</t>
  </si>
  <si>
    <t>Haakse plugkraan verwisselset, Vervangen Haakse Plugkraan onder gasdruk</t>
  </si>
  <si>
    <t>Mengstaaf
- Mr2 80x500mm Zk8.
-Voor het mengen van 2 componenten encapress (Epi)</t>
  </si>
  <si>
    <t>Reservemes voor Martor Secumax 350
- Afname per stuk, minimaal 100 stuks</t>
  </si>
  <si>
    <t>Reservemes voor Martor Secupro 625
Afname per stuk</t>
  </si>
  <si>
    <t>Mes Secupro 625
- Merk Martor
- Aluminium handgreep
- Bijzonder grote snijdiepte</t>
  </si>
  <si>
    <t>Mes Secumax 350
- Merk Martor
- Innovatief wisselsysteem</t>
  </si>
  <si>
    <t>Pipelife Spinnpro.Uitwendige afschuiner voor kunststof buizen
buitendiameter 110mm t/m 160mm, voor toepassing bij mofverbindingen. Te
gebruiken i.c.m. accuboormachine.</t>
  </si>
  <si>
    <t>Pipelife Spinnpro.Uitwendige afschuiner voor kunststof buizen
buitendiameter 75mm t/m 110mm, voor toepassing bij mofverbindingen. Te
gebruiken i.c.m. accuboormachine.</t>
  </si>
  <si>
    <t>Universeel sjabloon voor het markeren van de insteekdiepte voor alle
SANHA-Press®, 15-54mm.
Fabriekstype: 84993</t>
  </si>
  <si>
    <t>Verhogingsplint voor een drie velds ABB SafePlus installatie.
Hoogte 29 cm.</t>
  </si>
  <si>
    <t>Verhogingsplint voor een vier velds ABB SafePlus installatie.
Hoogte 29 cm.</t>
  </si>
  <si>
    <t>Verhogingsplint voor een vijf velds ABB SafePlus installatie.
Hoogte 29 cm.</t>
  </si>
  <si>
    <t>In V module gemonteerde ombouwset voor toepassing 630mm alu kabel.
Stroomtransformatoren 3 x CT KOKM 1EB8-V1 300-600/1A; 5P10 5-10VA. Deze
passen op de plaats van de standaard stroomtransformatoren en worden dus
in het kabelcompartiment gemonteerd.
Bij de bestelling veldnummers opgeven.</t>
  </si>
  <si>
    <t>Los geleverde ombouwset voor V module met 630mm alu kabel.
Stroomtransformatoren 3 x CT KOKM 1EB8-V1 300-600/1A; 5P10 5-10VA plus
montage materiaal. Deze passen op de plaats van de standaard
stroomtransformatoren en kunnen dus in het kabelcompartiment gemonteerd
worden.</t>
  </si>
  <si>
    <t>Hybride mof
geschikt voor 10kV XLPE 1x400 mm2 Al op 20kV XLPE 1x630 mm2 Al .
Inclusief schroefverbinders.</t>
  </si>
  <si>
    <t>Breekpen tbv Kabelsnijkop hydraulisch #TC-085,
met artikelnummer 20015137.
Per stuk.</t>
  </si>
  <si>
    <t>Aardrail (koper 25x5mm) tbv montage aardelektrodes in MS ruimten.
Universeel geschikt voor betreedbaar en compact ruimtes in oude en
nieuwe situaties.
Set inclusief 5 kabelschoenen (M8 - 25mm2) , 5 moeren (M8 lengte 30mm )
en montage materialen, incl 2 kunststof afstandhouders. Als set te
bestellen.</t>
  </si>
  <si>
    <t>Stuurstroomleiding
12 x 2,5 mm2.
#Lapp Olflex Classic 110, 1119412.</t>
  </si>
  <si>
    <t xml:space="preserve"> Afdichtplug t.b.v. kabel in mantelbuis 50mm.
Plug bestaat uit 2 schalen die om de kabel worden gemonteerd en dient
vervolgens in de mantelbuis te worden gedrukt. Bereik plug is 17-19mm.
Voor doorvoeren met mantelbuis 50mm geeft dit een goede afdichting.
</t>
  </si>
  <si>
    <t xml:space="preserve">Afdichtplug t.b.v. kabel in mantelbuis 50mm.
Plug bestaat uit 2 schalen die om de kabel worden gemonteerd en dient
vervolgens in de mantelbuis te worden gedrukt. Bereik plug is 25-27mm.
Voor doorvoeren met mantelbuis 50mm geeft dit een goede afdichting.
2 schalen samengebonden met een elastiekje.
</t>
  </si>
  <si>
    <t>Insteekkoppeling knie, 2 x insteekfitting , nominale aansluiting: 32mm x
32mm, materiaal POM, kleur koppeling zwart, Kleur O-ring geel, materiaal
O-ring NBR, trekring t.b.v. PE, Qa keur, HAWLE K6425.</t>
  </si>
  <si>
    <t>Insteekkoppeling knie, 2 x insteekfitting , nominale aansluiting: 40mm x
40mm, materiaal POM, kleur koppeling zwart , Kleur O-ring geel,
materiaal O-ring NBR, trekring t.b.v. PE, Qa keur, HAWLE K6425.</t>
  </si>
  <si>
    <t xml:space="preserve">Insteekkoppeling knie, 2 x insteekfitting , nominale aansluiting: 50mm x
50mm, materiaal POM ,kleur koppeling zwart , Kleur O-ring geel,
materiaal O-ring NBR, trekring t.b.v. PE, Qa keur, HAWLE K6425.
</t>
  </si>
  <si>
    <t xml:space="preserve">Insteekkoppeling knie, 2 x insteekfitting , nominale aansluiting: 63mm x
63mm, materiaal POM ,kleur koppeling zwart , Kleur O-ring geel,
materiaal O-ring NBR, trekring t.b.v. PE, Qa keur, HAWLE K6425.
</t>
  </si>
  <si>
    <t>Sok verloop malleable met bi draad 1 ¼" x bi draad ¾" type 240
gegalvaniseerd.</t>
  </si>
  <si>
    <t xml:space="preserve">Snijring koppeling, artikel GE12LR14-WD, code 100531.
Materiaal: staal Zi-Ni gecoat.
Het betreft een rechte snijring koppeling 12mm x 1/4" rechte
buitendraad, de afdichting van de koppeling op de body van het aan te s
luiten component vind plaats door de op de koppeling aanwezige NBR afdichtingsring.
</t>
  </si>
  <si>
    <t xml:space="preserve">Insteekkoppeling verloop, 2 x insteekfitting , nominale aansluiting:
25mm x 20mm, materiaal POM ,kleur koppeling zwart , Kleur O-ring geel,
materiaal O-ring NBR, trekring t.b.v. PE, Qa keur, HAWLE, K6335
</t>
  </si>
  <si>
    <t xml:space="preserve">Insteekkoppeling verloop, 2 x insteekfitting , nominale aansluiting:
32mm x 25mm, materiaal POM ,kleur koppeling zwart , Kleur O-ring geel,
materiaal O-ring NBR, trekring t.b.v. PE, Qa keur, K6335
</t>
  </si>
  <si>
    <t xml:space="preserve">Insteekkoppeling verloop, 2 x insteekfitting , nominale aansluiting:
40mm x 25mm, materiaal POM ,kleur koppeling zwart , Kleur O-ring geel,
materiaal O-ring NBR, trekring t.b.v. PE, Qa keur Hawle K6335
</t>
  </si>
  <si>
    <t xml:space="preserve">Insteekkoppeling verloop, 2 x insteekfitting , nominale aansluiting:
40mm x 32mm, materiaal POM ,kleur koppeling zwart , Kleur O-ring geel,
materiaal O-ring NBR, trekring t.b.v. PE, Qa keur,  K6335
</t>
  </si>
  <si>
    <t xml:space="preserve">Insteekkoppeling verloop, 2 x insteekfitting , nominale aansluiting:
50mm x 32mm, materiaal POM ,kleur koppeling zwart , Kleur O-ring geel,
materiaal O-ring NBR, trekring t.b.v. PE, Qa keur, K6335
</t>
  </si>
  <si>
    <t xml:space="preserve">Insteekkoppeling verloop, 2 x insteekfitting , nominale aansluiting:
50mm x 40mm, materiaal POM ,kleur koppeling zwart , Kleur O-ring geel,
materiaal O-ring NBR, trekring t.b.v. PE, Qa keur, K6335
</t>
  </si>
  <si>
    <t xml:space="preserve">Insteekkoppeling verloop, 2 x insteekfitting , nominale aansluiting:
63mm x 40mm, materiaal POM ,kleur koppeling zwart , Kleur O-ring geel,
materiaal O-ring NBR, trekring t.b.v. PE, Qa keur, K6335
</t>
  </si>
  <si>
    <t xml:space="preserve">Bithouder ¼"x300mm; Bithouder KS-Tools 5141111 1/4"x300mm magnetisch
snelwissel.
Magnetische bithouder voorzien van snelwisselsysteem, geschikt voor 1/4"
bits met buitenzeskant volgens DIN 3126 / ISO 1173 - C 6,3. Geschikt
voor gebruik met de hand, accu en elektrische boormachine. Is handig bij
schroeven die achter een gasbeugel zitten. Type: 514.1111
Materiaal: speciaalstaal.
Lengte: 300 mm.
</t>
  </si>
  <si>
    <t>Warmtekrimp mof
geschikt voor 10kV (V)GPLK 3x25-70 mm2 op XLPE 20kV 3x1x240 mm2.
Inclusief schroefverbinders</t>
  </si>
  <si>
    <t>Warmtekrimp mof
geschikt voor 10kV (V)GPLK 3x95-240 mm2 op XLPE 20kV 3x1x240 mm2.
Inclusief schroefverbinders.</t>
  </si>
  <si>
    <t>Hybride mof
geschikt voor XLPE 10-20kV 3x95-240 mm2 Al op XLPE 20kV 3x1x240 mm2 Al
XLPE 20kV.
Inclusief schroefverbinders.</t>
  </si>
  <si>
    <t xml:space="preserve">Schroevendraaier z accu 12V #Bosch !K
Met 169 mm enorm korte bouwvorm voor optimale bediening vooral bij
bovenhandse boor- en schroeftoepassingen en op moeilijk bereikbare
plaatsen. Professioneel vermogen: drijfwerk met 2 standen zorgt voor
krachtige 15 Nm (zachte schroefverbinding) bij het boren (tot 19 mm) en
schroeven (tot 7 mm). Volwaardige 10-mm-Auto-Lock-boorhouder.
Levering in een doos, zonder Accu, zonder Acculader.
</t>
  </si>
  <si>
    <t xml:space="preserve">910+ strook (SL3-3x/SR/SL/910+ ) Geschikt voor de toepassing van 910
mespatroon. Met aansluitvlaggen 50x10 aan linkerzijde. Op iedere vlag
gemonteerd:
- Stroomtrafo 1000/5A RM85-E6A kl.1, fabr. Eleq
- Klem met grijze meet bus op kunststof DIN profiel (t.b.v. referentie
aansluiting aggregaat)
- 10x38mm buispatroonhouder (676558) (t.b.v. referentie aansluiting
aggregaat)
- Voorzien van M12 inpersmoer t.b.v. kabelschoenaansluiting.
Meegeleverd:
- Afschermkap
- 3 stuks 10X38mm buiszekering 10A (los in zakje)
- set inbusbouten
Fabrikaat Jean Mueller.
</t>
  </si>
  <si>
    <t xml:space="preserve">910+ strook (SL3-3x/SR/SL/910+ ) Geschikt voor de toepassing van 910
mespatroon. Met aansluitvlaggen 50x10 aan rechterzijde. Op iedere vlag
gemonteerd:
- Stroomtrafo 1000/5A RM85-E6A kl.1, fabr. Eleq
- Klem met grijze meet bus op kunststof DIN profiel (t.b.v. referentie
aansluiting aggregaat)
- 10x38mm buispatroonhouder (676558) (t.b.v. referentie aansluiting
aggregaat)
- Voorzien van M12 inpersmoer t.b.v. kabelschoenaansluiting.
Meegeleverd:
- Afschermkap
- 3 stuks 10X38mm buiszekering 10A (los in zakje)
- set inbusbouten
Fabrikaat Jean Mueller.
</t>
  </si>
  <si>
    <t xml:space="preserve">Insteek T-stuk, 3 x insteekfitting , nominale aansluiting: 32mm x 32mm x
32mm, materiaal POM ,kleur koppeling zwart , Kleur O-ring geel,
materiaal O-ring NBR, trekring t.b.v. PE, HAWLE K6555
</t>
  </si>
  <si>
    <t xml:space="preserve">Insteek T-stuk, 3 x insteekfitting , nominale aansluiting: 40mm x 40mm x
40mm, materiaal POM ,kleur koppeling zwart , Kleur O-ring geel,
materiaal O-ring NBR, trekring t.b.v. PE, HAWLE K6555
</t>
  </si>
  <si>
    <t>Buisklem RVS,
aansluitmaat: 216 - 238 mm,
breedte klem: 600 mm.
Incl. beleidssticker.</t>
  </si>
  <si>
    <t>Buisklem RVS,
aansluitmaat: 168 - 190 mm,
breedte klem: 600 mm.
Incl. beleidssticker.</t>
  </si>
  <si>
    <t>Buisklem RVS,
aansluitmaat: 190 - 210 mm,
breedte klem: 600 mm.
Incl. beleidssticker.</t>
  </si>
  <si>
    <t>Buisklem RVS,
aanluitklem: 158 - 180 mm,
breedte klem: 600 mm.
Incl. beleidssticker.</t>
  </si>
  <si>
    <t>Buisklem RVS,
aansluitklem 108 - 128 mm,
breedte klem: 600 mm.
Incl. beleidssticker.</t>
  </si>
  <si>
    <t>Buisklem RVS,
aansluitmaat: 130 - 150 mm,
breedte klem: 600 mm.
Incl. beleidssticker.</t>
  </si>
  <si>
    <t>Buisklem RVS,
aansluitmaat: 138 - 160 mm,
breedte klem: 600 mm.
Incl. beleidssticker.</t>
  </si>
  <si>
    <t>Buisklem RVS,
aansluitmaat: 88 -110 mm,
Breedte klem 600 mm.
Incl. beleidssticker.</t>
  </si>
  <si>
    <t>Platbekbektang (volledig geisoleerd); Volledige geïsoleerd ter
voorkoming van kortsluitingKunststof, glasvezelversterkt. Grepen met
zone van zachte kunststof voor een betere houding. Knipex
Kunststof-Grijptang 220 mm VDE, Knipex 986202 Platspitstang - 220mm Type
 nummer, 986202 / 98 62 02
EAN 4003773073963.</t>
  </si>
  <si>
    <t xml:space="preserve">Insteekkoppeling verloop, 2 x insteekfitting , nominale aansluiting:
63mm x 50mm, materiaal POM ,kleur koppeling zwart , Kleur O-ring geel,
materiaal O-ring NBR, trekring t.b.v. PE, Qa keur, K6335
</t>
  </si>
  <si>
    <t xml:space="preserve">Insteekkoppeling, insteekfitting t.b.v. PE X insteekfitting koper,
nominale aansluiting: 25mm PE x 15mm koper, materiaal POM ,kleur
koppeling zwart , Kleur O-ring geel, materiaal O-ring NBR, trekring
t.b.v. PE. Trekvast te realiseren aan koperzijde middels ril aanbrengen
in koperen leiding, Qa keur, HAWLE K6385
</t>
  </si>
  <si>
    <t xml:space="preserve">Insteekkoppeling, insteekfitting t.b.v. PE X insteekfitting koper,
nominale aansluiting: 25mm PEx 22mm koper, materiaal POM ,kleur k
oppeling zwart , Kleur O-ring geel, materiaal O-ring NBR, trekring t.b.v. PE. Trekvast te realiseren aan koperzijde middels ril
aanbrengen in koperen leiding, Qa keur, HAWLE K6385
</t>
  </si>
  <si>
    <t xml:space="preserve">Insteekkoppeling, insteekfitting t.b.v. PE X insteekfitting koper,
nominale aansluiting: 32mm PEx 22mm koper, materiaal POM ,kleur k
oppeling zwart , Kleur O-ring geel, materiaal O-ring NBR, trekring t.b.v. PE. Trekvast te realiseren aan koperzijde middels ril
aanbrengen in koperen leiding, Qa keur, HAWLE K6385
</t>
  </si>
  <si>
    <t xml:space="preserve">Insteekkoppeling, insteekfitting t.b.v. PE X insteekfitting koper,
nominale aansluiting: 32mm PEx 28mm koper, materiaal POM ,kleur k
oppeling zwart , Kleur O-ring geel, materiaal O-ring NBR, trekring t.b.v. PE. Trekvast te realiseren aan koperzijde middels ril
aanbrengen in koperen leiding, Qa keur, HAWLE K6385
</t>
  </si>
  <si>
    <t xml:space="preserve">Insteekkoppeling Eindkap,  insteekfitting , nominale aansluiting: 25mm,
materiaal POM ,kleur koppeling zwart , Kleur O-ring geel, materiaal
O-ring NBR, trekring t.b.v. PE, Qa keur, HAWLE K6226
</t>
  </si>
  <si>
    <t xml:space="preserve">Insteekkoppeling Eindkap,  insteekfitting , nominale aansluiting: 32mm,
materiaal POM ,kleur koppeling zwart , Kleur O-ring geel, materiaal
O-ring NBR, trekring t.b.v. PE, Qa keur, HAWLE K6226
</t>
  </si>
  <si>
    <t xml:space="preserve">Insteekkoppeling Eindkap,  insteekfitting , nominale aansluiting: 40mm,
materiaal POM ,kleur koppeling zwart , Kleur O-ring geel, materiaal
O-ring NBR, trekring t.b.v. PE,  Qa keur, HAWLE K6226
</t>
  </si>
  <si>
    <t xml:space="preserve">Insteekkoppeling Eindkap,  insteekfitting , nominale aansluiting: 50mm,
materiaal POM ,kleur koppeling zwart , Kleur O-ring geel, materiaal
O-ring NBR, trekring t.b.v. PE, Qa keur, HAWLE K6226
</t>
  </si>
  <si>
    <t xml:space="preserve">Insteekkoppeling Eindkap,  insteekfitting , nominale aansluiting: 63mm,
materiaal POM ,kleur koppeling zwart , Kleur O-ring geel, materiaal
O-ring NBR, trekring t.b.v. PE, Qa keur, HAWLE K6226
</t>
  </si>
  <si>
    <t xml:space="preserve">Steunbus voor steekfitting, PE 20mm SDR 17,6 (oud) kleur wit, bestemd
voor oude uitvoering PE leidingen 20mm van voor 2005, wanddikte 2,0mm,
HAWLE K6031
</t>
  </si>
  <si>
    <t xml:space="preserve">Steunbus voor steekfitting, PE 25 SDR 17,6 (oud), bestemd voor oude
uitvoering PE leidingen 25mm van voor 2005, wanddikte 2,0mm, kleur wit,
HAWLE K6031.
</t>
  </si>
  <si>
    <t xml:space="preserve">Steunbus voor steekfitting, PE 32 SDR 17,6 (oud), bestemd voor oude
uitvoering pe leidingen 32mm van voor 2005, wanddikte 2,0mm, kleur wit,
HAWLE K6031.
</t>
  </si>
  <si>
    <t xml:space="preserve">Steunbus voor steekfitting, kleur geel PE25 SDR 17,6 ,bestemd voor  PE
leidingen 25 mm van na 2005, wanddikte 2,3mm , HAWLE K6031
</t>
  </si>
  <si>
    <t xml:space="preserve">Steunbus voor steekfitting, kleur geel PE32 SDR 17,6 ,bestemd voor  PE
leidingen 32mm van na  2005, wanddikte 2,3mm, HAWLE K6031
</t>
  </si>
  <si>
    <t xml:space="preserve">Steunbus voor steekfitting, kleur geel, PE40 SDR 17,6 wanddikte 2,3mm,
HAWLE K6031.
</t>
  </si>
  <si>
    <t xml:space="preserve">Steunbus voor steekfitting, kleur geel PE50 SDR 17,6  wanddikte 2,9mm,
HAWLE K6031
</t>
  </si>
  <si>
    <t xml:space="preserve">Steunbus voor steekfitting, kleur geel PE63 SDR 17,6  wanddikte 3,6mm,
HAWLE K6031
</t>
  </si>
  <si>
    <t xml:space="preserve">Steunbus voor steekfitting, kleur grijs PE25 SDR 11 (bestemd voor oude
uitvoering pe SDR 11 leidingen van na 2005, wanddikte 3,0mm, HAWLE K6031
</t>
  </si>
  <si>
    <t xml:space="preserve">Steunbus voor steekfitting, kleur grijs PE32 SDR 11  wanddikte 3,0 mm,
HAWLE K6031
</t>
  </si>
  <si>
    <t xml:space="preserve">Steunbus voor steekfitting, kleur grijs PE40 SDR 11, wanddikte 3,7 mm,
HAWLE K6031
</t>
  </si>
  <si>
    <t xml:space="preserve">Steunbus voor steekfitting, kleur grijs, PE50 SDR 11, wanddikte 4,6 mm,
HAWLE K6031
</t>
  </si>
  <si>
    <t xml:space="preserve">Steunbus voor steekfitting, kleur grijs, PE63 SDR 11, wanddikte 5,8 mm,
HAWLE K6031
</t>
  </si>
  <si>
    <t xml:space="preserve">Insteekkoppeling recht, 2 x insteekfitting , nominale aansluiting: PE
25mm x PVC16mm, materiaal POM ,kleur koppeling zwart , Kleur O-ring
geel, materiaal O-ring NBR, trekring t.b.v. PE en  mettrekring t.b.v.
PVC, HAWLE K6386
</t>
  </si>
  <si>
    <t xml:space="preserve">Insteekkoppeling recht, 2 x insteekfitting , nominale aansluiting: 25mm
x 25mm, materiaal POM , kleur koppeling zwart , kleur O-ring geel,
materiaal O-ring NBR, trekring t.b.v. PE, HAWLE K6325.
</t>
  </si>
  <si>
    <t xml:space="preserve">Insteekkoppeling recht, 2 x insteekfitting , nominale aansluiting: 32mm
x 32mm, materiaal POM , kleur koppeling zwart , kleur O-ring geel,
materiaal O-ring NBR, trekring t.b.v. PE, HAWLE K6325.
</t>
  </si>
  <si>
    <t xml:space="preserve">Insteekkoppeling recht, 2 x insteekfitting , nominale aansluiting: 40mm
x 40mm, materiaal POM , kleur koppeling zwart , kleur O-ring geel,
materiaal O-ring NBR, trekring t.b.v. PE, HAWLE K6325.
</t>
  </si>
  <si>
    <t xml:space="preserve">Insteekkoppeling recht, 1x insteekfitting  PE25m ,1x binnendraad 3/4"Rp
volgens de EN10226-1, nominale aansluiting: 25mm x 3/4", materiaal POM
,kleur koppeling zwart , Kleur O-ring geel, materiaal O-ring NBR,
trekring t.b.v. PE  Hawle K6225
</t>
  </si>
  <si>
    <t xml:space="preserve">Insteek T-stuk, 3 x insteekfitting , nominale aansluiting: 50mm x 50mm x
50mm, materiaal POM ,kleur koppeling zwart , Kleur O-ring geel,
materiaal O-ring NBR, trekring t.b.v. PE, HAWLE K6555
</t>
  </si>
  <si>
    <t xml:space="preserve">Insteek T-stuk, 3 x insteekfitting 63mm, nominale aansluiting: 63mm x
63mm x 63mm, materiaal POM ,kleur koppeling zwart , Kleur O-ring geel,
materiaal O-ring NBR, trekring t.b.v. PE, HAWLE K6555
</t>
  </si>
  <si>
    <t xml:space="preserve">Insteekkoppeling recht, 2 x insteekfitting , nominale aansluiting: 50mm
x 50mm, materiaal POM , kleur koppeling zwart , kleur O-ring geel,
materiaal O-ring NBR, trekring t.b.v. PE, HAWLE K6325.
</t>
  </si>
  <si>
    <t xml:space="preserve">Insteekkoppeling recht, 2 x insteekfitting , nominale aansluiting: 63mm
x 63mm, materiaal POM ,kleur koppeling zwart , Kleur O-ring geel,
materiaal O-ring NBR, trekring t.b.v. PE, HAWLE K6325
</t>
  </si>
  <si>
    <t xml:space="preserve">Insteek Schuifafsluiter, recht, Nominale druk: PN 8. Materiaal huis:
POM, Materiaal O-ring: Elastomeer (DIN 3535), kleur O-ring geel
aansluitingen: ISO steekfitting voor PE-buis 32 mm, inbouwlengte: 174 mm
hoogte: 177 mm. spindel: 16 mm. Hawle, type K2635.
Type afsluiter: Schuif. Merk: Hawle. Diameter: 32 mm. Draairichting:
Rechts. Aantal slagen: 7.  Verbindingstechniek 1: Mof. Verbindi
ngstechniek 2: Mof. Afsluiter bekleed: Nee. Inbouwmaat: 174 mm. Afsluiter bediening: Spindel.
Kleur: Zwart.
</t>
  </si>
  <si>
    <t xml:space="preserve">Insteek Schuifafsluiter, recht, Nominale druk: PN 8. Materiaal huis:
POM, Materiaal O-ring: Elastomeer (DIN 3535), kleur O-ring geel
aansluitingen: ISO steekfitting voor PE-buis 40 mm, inbouwlengte:  208
 mm hoogte: 205 mm. spindel: 16 mm. Hawle, type K2635.
Type afsluiter: Schuif. Merk: Hawle. Diameter: 40 mm. Draairichting:
Rechts. Aantal slagen: 7. Verbindingstechniek 1: Mof. Verbindin
gstechniek 2: Mof. Afsluiter bekleed: Nee. Inbouwmaat: 174 mm. Afsluiter bediening: Spindel.
Kleur: Zwart.
</t>
  </si>
  <si>
    <t xml:space="preserve">Insteek Schuifafsluiter, recht, Nominale druk: PN 8. Materiaal huis:
POM, Materiaal O-ring: Elastomeer (DIN 3535), kleur O-ring geel
aansluitingen: ISO steekfitting voor PE-buis 50 mm, inbouwlengte:  246
 mm hoogte: 205 mm. spindel: 16 mm. Hawle, type K2635.
Type afsluiter: Schuif. Merk: Hawle. Diameter: 50 mm. Draairichting:
Rechts. Aantal slagen: 7. Verbindingstechniek 1: Mof. Verbindin
gstechniek 2: Mof. Afsluiter bekleed: Nee. Inbouwmaat: 174 mm. Afsluiter bediening: Spindel.
Kleur: Zwart.
</t>
  </si>
  <si>
    <t>Insteek Schuifafsluiter, recht, Nominale druk: PN 8. Materiaal huis:
POM, Materiaal O-ring: Elastomeer (DIN 3535), kleur O-ring geel
aansluitingen: ISO steekfitting voor PE-buis 63 mm, inbouwlengte:  261
mm hoogte: 221 mm. spindel: 16 mm. Hawle, type K2635.
Type afsluiter: Schuif. Merk: Hawle. Diameter: 63 mm. Draairichting:
Rechts. Aantal slagen: 7. Verbindingstechniek 1: Mof. Verbindin
gstechniek 2: Mof. Afsluiter bekleed: Nee. Inbouwmaat: 174 mm. Afsluiter bediening: Spindel. Kleur: Zwart.</t>
  </si>
  <si>
    <t xml:space="preserve">Insteekkoppeling recht, 1x insteekfitting PE32mm  ,1x   binnendraad 1"Rp
 volgens de EN10226-1, nominale aansluiting: 32mm x 1", materiaal POM
,kleur koppeling zwart , Kleur O-ring geel, materiaal O-ring NBR,
trekring t.b.v. PE  Hawle K6225
</t>
  </si>
  <si>
    <t xml:space="preserve">Insteekkoppeling recht, 1x insteekfitting PE40mm  ,1x   binnendraad 1
1/4"Rp  volgens de EN10226-1, nominale aansluiting: 40mm x 1 1/4",
materiaal POM ,kleur koppeling zwart , Kleur O-ring geel, materiaal
O-ring NBR, trekring t.b.v. PE Hawle  K6225
</t>
  </si>
  <si>
    <t xml:space="preserve">Insteekkoppeling recht, 1x insteekfitting PE 50mm,1x 1/2"  binnendraad 1
1/2 " Rp volgens de EN10226-1, nominale aansluiting: 50mm x 1 1/2",
materiaal POM ,kleur koppeling zwart , Kleur O-ring geel, materiaal
O-ring NBR, trekring t.b.v. PE  Hawle K6225
</t>
  </si>
  <si>
    <t xml:space="preserve">Insteekkoppeling recht, 1x insteekfitting PE 63mm, binnendraad 2" Rp
 volgens de EN10226-1, nominale aansluiting: 63mm x 2", materiaal POM
,kleur koppeling zwart , Kleur O-ring geel, materiaal O-ring NBR,
trekring t.b.v. PE  Hawle  K6225
</t>
  </si>
  <si>
    <t xml:space="preserve">Trekring POM met loodvrije messing messen t.b.v. PVC 20mm
</t>
  </si>
  <si>
    <t xml:space="preserve">Trekring POM met loodvrije messing messen t.b.v. PVC 25mm
</t>
  </si>
  <si>
    <t xml:space="preserve">Trekring POM met loodvrije messing messen t.b.v. PVC 32mm
</t>
  </si>
  <si>
    <t xml:space="preserve">Trekring POM met loodvrije messing messen t.b.v. PVC 40mm
</t>
  </si>
  <si>
    <t xml:space="preserve">Trekring POM met loodvrije messing messen t.b.v. PVC 50mm
</t>
  </si>
  <si>
    <t xml:space="preserve">Trekring POM met loodvrije messing messen t.b.v. PVC 63mm
</t>
  </si>
  <si>
    <t xml:space="preserve">Veiligheid afsluiter DN50 – PN16 – geflensd - compleet samengesteld
Samengesteld d.m.v. 3 deel componenten:
1. Afsluiter:                merk Wouter Witzel, type Vlinderklep EVFL,
DN50 geflensd, inbouwmaat 150mm.
2. Stelcilinder:            merk Actuatech, type GD106.
3. Commandoventiel: merk Combifit, type SP2000, instelveer type LD goud
Ingesteld op een afslagwaarde van 150mbar.
</t>
  </si>
  <si>
    <t>Kabelbevestigingsklem 52-56mm K56-2S met tegenplaat GW52-56 en
tussenplaat DW 56.</t>
  </si>
  <si>
    <t>Kabelbevestigingsklem 52-56mm K56-2U met tegenplaat GW52-56 en
tussenplaat DW 56.</t>
  </si>
  <si>
    <t>Kabelbevestigingsklem 52-56mm K56-S met tegenplaat GW52-56.</t>
  </si>
  <si>
    <t>Kabelbevestigingsklem 52-56mm K56U met tegenplaat GW52-56.</t>
  </si>
  <si>
    <t xml:space="preserve">Wartel M40, bereik 16 – 28 mm, IP68, kunststof, kleur RAL 7035 (licht
grijs), inbouw gat 40mm, schroefdraad metrisch, bestel ook de wartelmoer
M40 voor bevestigen wartel in behuizing. Levering per stuk. Wiska
(ESKV40).
</t>
  </si>
  <si>
    <t xml:space="preserve">Revisieset voor drukregelaar type RS-300-SAF, DN50, met 37,5mm klep.
Het betreft de revisieset alleen voor het klepgedeelte van de regelaar.
Revisieset code = D37070.
</t>
  </si>
  <si>
    <t>Deurhanger Wat kun je met de slimme meter doen?
Doos = 1.000 st</t>
  </si>
  <si>
    <t xml:space="preserve">Adapter met buitendraad, gegalvaniseerd, recht, voor ISO 65 stalen buis
conform R/EN 10226-1. Overgang staal 1"x 1" R Primofit,  NBR rubber.
</t>
  </si>
  <si>
    <t xml:space="preserve">Adapter met buitendraad, gegalvaniseerd, recht, voor ISO 65 stalen buis
conform R/EN 10226-1. Overgang staal 1.1/4"x 1.1/4" R #Primofit, NBR
rubber.
</t>
  </si>
  <si>
    <t xml:space="preserve">Adapter met buitendraad, gegalvaniseerd, recht, voor ISO 65 stalen buis
conform R/EN 10226-1. Overgang staal 1.1/2"x  1.1/2" R #Primofit, NBR
rubber.
</t>
  </si>
  <si>
    <t xml:space="preserve">Adapter met buitendraad, gegalvaniseerd, recht, voor ISO 65 stalen buis
conform R/EN 10226-1. Overgang staal 2" x 2" R #Primofit, NBR rubber.
</t>
  </si>
  <si>
    <t>Buigveer Wymefa  1"x80cm met binnenkabel Verzinkt met binnenkabel tegen
uittrekken. Voor het met de hand buigen van installatiebuis. Voorzien
van 2 ogen.</t>
  </si>
  <si>
    <t xml:space="preserve">Verfschraper; Verfschraper voorzien van ergonomisch hecht en hardmetalen
mes voor het schrapen van verf, lijm, vernis en roest. Ook te gebruiken
als pakkingschraper.
Type: 625
Vorm mes: driekant.
Lengte: 25 mm
</t>
  </si>
  <si>
    <t xml:space="preserve">Adapter met buitendraad, gegalvaniseerd, recht, voor ISO 65 stalen buis
conform R/EN 10226-1. Overgang staal 3/4" x 3/4" R #Primofit, NBR
rubber.
</t>
  </si>
  <si>
    <t>Kabelbevestigingsklem 20-24mm K24U met tegenplaat GW 24.</t>
  </si>
  <si>
    <t>Kabelbevestigingsklem 24-28mm K28U met tegenplaat GW 28.</t>
  </si>
  <si>
    <t>Kabelbevestigingsklem 36-40mm K40U met tegenplaat GW 40.</t>
  </si>
  <si>
    <t>Kabelbevestigingsklem 64-70mm K70U met tegenplaat GW64-70.</t>
  </si>
  <si>
    <t xml:space="preserve">Gasmeter
Fabricaat:  Landis+Gyr
Familie:  G350
Type:   E06D4056+348A
Meetprincipe:  Ultrasoon
Klasse:   1,5
Capaciteit:  G4 (0,04 – 6 m³/h)
Compliance:  SMR 5.0
Temperatuurcorrectie: Ja
Drukcorrectie:  Ja ( luchtdruk: 1015,5 mbar; voordruk: 28 mbar)
Klep:   Geen
Communicatie:  Mbus Draadloos
Nominale diameter:  DN20
Hartafstand:   220 mm
Schroefdraad:  GM¾"
</t>
  </si>
  <si>
    <t>Polyetheen band voor GPLK eindsluitingen Magnefix schakelinstallaties.</t>
  </si>
  <si>
    <t>Aardpen T-model (30x120cm); voor het toepassen bij bijvoorbeeld
kabelselectie. Geïsoleerd handvat.</t>
  </si>
  <si>
    <t xml:space="preserve">Stalen vloerframe
ten behoeve van het plaatsen van ABB installatie 3-velds.
Levering is inclusief:
- 2x aluminium hoekstrip.
Excl hoeklijn.
Per SET verpakken!
</t>
  </si>
  <si>
    <t>Stalen vloerframe
ten behoeve van het plaatsen van ABB installatie 4-velds.
Levering is inclusief: - 2x aluminium hoekstrip.
Excl hoeklijn.
Per SET verpakken!</t>
  </si>
  <si>
    <t xml:space="preserve">Stalen vloerframe
ten behoeve van het plaatsen van ABB installatie 5-velds.
Levering is inclusief: - 2x aluminium hoekstrip.
Excl hoeklijn.
Per SET verpakken!
</t>
  </si>
  <si>
    <t xml:space="preserve">Set bestaande uit 2x hoekstrip aluminium
tbv het plaatsen ABB installatie 3- 4- of 5-velds.
Per SET verpakken!
</t>
  </si>
  <si>
    <t xml:space="preserve">Stalen inlaatstuk DN80 – PN16. Totale lengte 800mm.
Samengesteld door :
1. Stalen voorlasflens DN80
2. Lasisolatiestuk        DN80
3. Pijpstuk staal          DN80
4. 3 stuks KB kabels aangebracht, d.m.v. de Pinbrase methodiek. 2 stuks
onder het lasisolatiestuk en 1 stuks boven het lasisolatiestuk
(flenszijde), aan het einde voorzien van kabelschoen 10mm oog M8. Lengte
kabels 5mtr.
</t>
  </si>
  <si>
    <t>Stalen inlaatstuk DN100 – PN16. Totale lengte 800mm.
Samengesteld door :
1. Stalen voorlasflens DN100
2. Lasisolatiestuk        DN100
3. Pijpstuk staal          DN100
4. 3 stuks KB kabels aangebracht, d.m.v. de Pinbrase methodiek. 2 stuks
onder het lasisolatiestuk en 1 stuks boven het lasisolatiestuk
(flenszijde), aan het einde voorzien van kabelschoen 10mm oog M8. Lengte
kabels 5mtr.</t>
  </si>
  <si>
    <t>Tordeersleutel vde 50-300mm; tordeersleutel voor het torderen van
geleiders met een doorsnede van 50-300mm.</t>
  </si>
  <si>
    <t>PE-buis, Materiaal : PE 80, Afmetingen: diameter 32 x wanddikte 3.0 mm,
rol van 100 meter, Kleur    : volwandig geel, Klasse: SDR 11,
QA-keurmerk, voldoet aan NEN 7244-2 en NEN-EN 1555-2, inclusief
beschermdoppen.</t>
  </si>
  <si>
    <t xml:space="preserve">Stalen inlaatstuk DN50 – PN16. Totale lengte 800mm.
Samengesteld door :
1. Stalen voorlasflens DN50
2. Lasisolatiestuk        DN50
3. Pijpstuk staal          DN50
4. 3 stuks KB kabels aangebracht, d.m.v. de Pinbrase methodiek. 2 stuks
onder het lasisolatiestuk en 1 stuks boven het lasisolatiestuk
(flenszijde), aan het einde voorzien van kabelschoen 10mm oog M8. Lengte
kabels 5mtr.
</t>
  </si>
  <si>
    <t>Afdichtplug t.b.v. kabel in mantelbuis 50mm.
Plug bestaat uit 2 schalen die om de kabel worden gemonteerd en  dient
vervolgens in de mantelbuis te worden gedrukt. Bereik plug is 19-22mm.
Voor doorvoeren met mantelbuis 50mm geeft dit een goede afdichting.
2 schalen samengebonden met een elastiekje.</t>
  </si>
  <si>
    <t>LS-rek 4R t.b.v. gietijzeren kast Amsterdam
Voorzien van:
- 4 x Jean Muller schakelbare strook 400A
- 1 x WCD en verlichting
- 16 x hoofdschakelaar t.b.v. hulpaders 1P 40A
- Roodkoper platstaaf 40x8mm
- GVK C-profiel
- Montagesnoer 6mm2
- Bevestigingsmateriaal
- Snel-montagesysteem
- Alfenklemmen op PEN-rail</t>
  </si>
  <si>
    <t>Accustofzuiger GAS 18V-10 L; Deze is uitgerust met roterende
luchtstroomtechnologie die voorkomt dat de filters verstopt raken en die
een blijvende en ononderbroken zuigkracht levert. Door het lichte en
compacte ontwerp is de stofzuiger makkelijk te transporteren en op te
bergen. Door het zakloze ontwerp en de vele (meegeleverde) accessoires
is deze ideaal voor een verscheidenheid aan droge en natte toepassingen.
De stofzuiger is compatibel met het Bosch Click &lt;(&gt;&amp;&lt;)&gt; Clean System en
met alle Bosch Professional 18 V-accu's en opladers (Professional 18V
System). 0 601 9C6 300.
Inclusief:
1 x 1,6 m slang 2 608 000 658
1 x gebogen buis 2 608 000 659
3-delige zuigbuisset 2 608 000 660
1 x spleetzuigmond, 250 mm 2 608 000 661
1 x platte plooifilter 2 608 000 663
1 x vloermondstuk 2 608 000 707
1 x adapter elektrisch gereedschap 2 608 000 708
1 x schouderriem 2 608 000 706
4-delige zwenkwielenset 2 608 000 705
Kartonnen doos.
Exclusief: Accu, acculader.</t>
  </si>
  <si>
    <t xml:space="preserve">Stuurventiel, merk OPSO
Pneumax. Type: LP.
Aansluitmaten: 3/2 ventiel 1/4"BSP, afslagunit 1/4"NPT.
Veertype 888-888-513-061 / 70017PO75.
Kleur licht blauw Veerbereik 35 tot 70mbar.
Geschikt voor een omgevingstemperatuur van -20°C tot +60°C.
</t>
  </si>
  <si>
    <t xml:space="preserve">Statische kWh-meter voor AMR
Producent:    L+G
Type:
Nauwkeurigheidsklasse   MID A
Aantal fasen:    3
Aansluiting:    Direct
Spanning (V):    3 x 230/400 V
Stroom (A):    0,25 - 5(100)
Aantal energierichtingen:  2
Tariefprogramma:   Conform Configuration List
Communicatiemedium:   CDMA
Protocol:    DLMS
DSMR Compliant:   SMR 5.0
 (Dutch Smart Meter Requirement)
Barcode    Conform Liander Standaard + QR code
</t>
  </si>
  <si>
    <t>Sticker met opdruk GAS, Afmeting 15mm x 165mm, Kleuren veiligheidsgeel
en zwart, zelfklevend vinyl glans, rugsplit, per 50 stuks verpakt in een
zakje.</t>
  </si>
  <si>
    <t xml:space="preserve">Perstang 6 t/m 300mm; Electrische Hydraulische Perstang Klauke. Bij het
verpersen van kabelschoenen is het van essentieel belang dat de juiste
kabelschoen op de juiste kabel wordt verperst. Hierbij is het ook nog
van belang dat de juiste persvorm gebruikt wordt. Kop 360° draaibaar en
openklapbaar Snelstop motor Controle op verpersing (optisch en
akoestisch) Lichtindicatie t. b.v. baterij en onderhoudscyclus.
Automatische terugloop. Perstang Klauke EKM6022CFB 6-300mm2. Exclusief
Accu en acculader.
</t>
  </si>
  <si>
    <t xml:space="preserve">Matrijs zeskant 95mm; Geschikt voor perskabelschoenen volgens DIN 46235
en connectoren volgens DIN 46267, Cu.
D2295, code 18, krimpwijdte 5mm.
</t>
  </si>
  <si>
    <t xml:space="preserve">Matrijs zeskant 150mm; Geschikt voor perskabelschoenen volgens DIN 46235
en connectoren volgens DIN 46267, Cu.
D22150, code 22, krimpwijdte 5mm.
</t>
  </si>
  <si>
    <t xml:space="preserve">Matrijs zeskant 185mm; Geschikt voor perskabelschoenen volgens DIN 46235
en connectoren volgens DIN 46267, Cu.
D22185, code 25, krimpwijdte 5mm.
</t>
  </si>
  <si>
    <t xml:space="preserve">Matrijs zeskant 300mm; Geschikt voor perskabelschoenen volgens DIN 46235
en connectoren volgens DIN 46267, Cu.
D22300, code 32, krimpwijdte 5mm.
</t>
  </si>
  <si>
    <t xml:space="preserve">Filter v Masker Half gelaat ABEK P3 ; Het 6092 Gas-, damp- en stoffilter
beschermt tegen organische dampen (kookpunt boven de 65 °C)
niet-organische dampen, zure gassen en afgeleiden, formaldehyde tot en
met 10 ppm. Dankzij de bajonetbevestiging kunnen filters gedraaid worden
en snel en eenvoudig worden vastgeklikt.
Geschikt voor gebruik met 3M Herbruikbare maskers met het Bajonet
filterverbindingssysteem:
- 3M 7097S Herbruikbare volgelaatsmaskers.
- 3M 6000 Serie Herbruikbare volgelaatsmaskers.
- 3M 7500 Serie Herbruikbaar halfgelaatsmaskers.
- 3M 6500 Serie Herbruikbaar halfgelaatsmaskers.
- 3M 6000 Serie Herbruikbaar halfgelaatsmaskers.
Type: 6092
Filterklasse: A1B1E1K1P3 R
</t>
  </si>
  <si>
    <t>Kabelbevestiging
met 3x klemblok 35-54mm t.b.v. ABB schakelinstallaties RMU.</t>
  </si>
  <si>
    <t>Afdekzeil 5x15m. PE240 (240 gr/m2), 18 maanden UV bestendig.</t>
  </si>
  <si>
    <t>Warmtekrimp mof met schroefverbinders
geschikt voor 10kV XLPE 1x150Al op 20kV XLPE 1x240Al.</t>
  </si>
  <si>
    <t>Afschermset voor het afwerken van een telcon kabel onder een Magnefix
schakelinstallatie.</t>
  </si>
  <si>
    <t>Voor nat schuren van leidingen verdacht van asbest besmet fitterskit.
Voor toepassing van de Syntho-Glass methode.</t>
  </si>
  <si>
    <t xml:space="preserve">Bocht 160mm x 90 ˚, materiaal PE-100 SDR.17, samengesteld door 2 x 45 ˚
bochten d.m.v. stuiklasmethodiek.
Artikel nr. 3002051609045. Tekening nr. 00.009.228-001.
</t>
  </si>
  <si>
    <t xml:space="preserve">Bocht 200mm x 90 ˚, materiaal PE-100 SDR.17,6, samengesteld door 2 x 45
˚ bochten d.m.v. stuiklasmethodiek.
Artikel nr. 3002052009045. Tekening nr. 00.009.228-002.
</t>
  </si>
  <si>
    <t>T-stuk 160mm x 90 ˚, materiaal PE-100 SDR.17,6, samengesteld door 1 x 45
˚ bocht en T-stuk 45° d.m.v. stuiklasmethodiek.
Artikel nr. 30030516045. Tekening nr. 00.009.228-001.</t>
  </si>
  <si>
    <t xml:space="preserve">T-stuk 200mm x 90 ˚, materiaal PE-100 SDR.17,6, samengesteld door 1 x 45
˚ bocht en T-stuk x 45° d.m.v. stuiklasmethodiek.
Artikel nr. 30030520045. Tekening nr. 00.009.228-002.
</t>
  </si>
  <si>
    <t xml:space="preserve">Mof verloop elektrolas PE100 SDR11, 10 bar gas.
Set bestaande uit:
- elektrolasmof 110 mm
- spie-verloopstuk 110 naar 75 mm
- elektrolasmof 75 mm.
</t>
  </si>
  <si>
    <t>UV-bestendige, flexibele PVC afdekband dat gebruikt wordt als
mechanische bescherming van corrosiebeschermingssystemen zoals wikkelb
and CZH. Dit artikel is opgenomen i.v.m. de tijdelijke reparatie methode vanwege de asbest houdende fitterskit.</t>
  </si>
  <si>
    <t>Ontmantelhaak voor kunststof MS-kabel; De ontmantelhaak is om de
PE-mantel (buitenmantel) van de kunststof (XLPE) MS-kabel eenvoudig te
verwijderen.</t>
  </si>
  <si>
    <t xml:space="preserve">Chroom 6 Kit; is een starterskit tbv monstername chroom 6.
Inhoud Kit:
- 1 Schraper Bahco 625 25mm driekant mes (A012023)
- 50 gripzakjes 160x250
- 1 bus Desinfectiedoekjes 20x20cm bus a 200 stuks alcoholbasis
(A299031)
- 1 rol Linnentape Raltec 810 50mm grijs weefsel/PE a50m (A325710)
- 1 ds Wegwerphandschoen CMT poedervrij XL blauw nitril ds a 100st
(A313211)
- 5 Stofmasker 3M 9332+ FFP3 met ventiel vpe=10 (A197664)
- 1 Veiligheidsbril Uvex skyper 9195-075 zwart/transparant PC (A551596)
</t>
  </si>
  <si>
    <t xml:space="preserve">Ophoogstuk geschikt voor automaten van 25A, 40A, 50A en 63A.
Artikelkleur is wit.
=======================================
GE (voorheen)
naam: OPHOOGSTUK 63A              (iinkoop = 350 ST)
type: '
ABB (huidig)
naam: Verhogingsstuk HAK 63A
type: 2020.051 63A
</t>
  </si>
  <si>
    <t>Schroefkabelschoen geschikt voor 630mm2 Cu en Al samengeslagen en
massieve geleiders. Met opgeboord gat 21mm.</t>
  </si>
  <si>
    <t>Vulkraan voor bijvullen Magnefix Eindsluiting; Met het vulkraantje wordt
het bijvullen van de Magnefix Eindsluiting vergemakkelijkt. Het
bijvullen van Magnefix Eindsluitingen valt binnen het onderhoudspakket
van Netcare.</t>
  </si>
  <si>
    <t xml:space="preserve">Perstang 0,08-16mm : automatische krimptang 0,08-16mm. Doormiddel van
een geïntegreerde hendel kan het krimpproces handmatig worden
onderbroken op elk gewenst moment. Hoge betrouwbaarheid van het proces
als gevolg van de toevoerhulp welke verhindert dat de kunststof mantel
van de draad kapot gaat. Automatische aanpassing aan de grootte van de
krimphulzen, met geschikte drukkracht voor een breed scala van
toepassingen tussen 00:08 - 16mm².
Voor verwerking van adereindhulzen met en zonder geïsoleerde kraag
conform DIN 46228, EN 50027.
</t>
  </si>
  <si>
    <t>Acculader v kniptang (Klauke) Acculader ten behoeve van 10,8 V accu's
van Klauke.</t>
  </si>
  <si>
    <t>T-stopper 22mm en ¾". Afsluitorgaan voor koper 22 mm en staal ¾".Ten
behoeve van wegnemen hoofdkraan in de hoogbouw bij gasafsluiting.</t>
  </si>
  <si>
    <t xml:space="preserve">Statische kWh-meter voor AMR
Producent:    Iskraemeco
Type:     AM550-ED1.04
Nauwkeurigheidsklasse   MID A
Aantal fasen:    1
Aansluiting:    Direct
Spanning (V):    230 V
Stroom (A):    5(80)
Aantal energierichtingen:  2
Tariefprogramma:   Conform Configuration List
Communicatiemedium:   LTE-M
Protocol:    DLMS
SMR Compliant:   SMR 5.0
 (Smart Meter Requirement)
Schakelaar:    Geen
Barcode    Conform Liander Standaard
</t>
  </si>
  <si>
    <t xml:space="preserve">Statische kWh-meter voor AMR
Producent:    Iskraemeco
Type:     AM550-TD2.04
Nauwkeurigheidsklasse   MID A
Aantal fasen:    3
Aansluiting:    Direct
Spanning (V):    3 x 230/400 V
Stroom (A):    5(100)
Aantal energierichtingen:  2
Tariefprogramma:   Conform Configuration List
Communicatiemedium:   LTE-M
Protocol:    DLMS
SMR Compliant:   SMR 5.0
 (Smart Meter Requirements)
Schakelaar:    Geen
Barcode    Conform Liander Standaard .
</t>
  </si>
  <si>
    <t>Contactgel v wandiktemeter; contactgel soundsafe voor wanddiktemeter, is
nodig voor de nauwkeurigheid van de meting.</t>
  </si>
  <si>
    <t>Verbindingsslang tbv meetkoffer voor (gas) beproevingen. Tygon 6,4x1
,6mm.</t>
  </si>
  <si>
    <t>Inbrengstang flexibel T-stopper 70 cm. Voor inbrengen van de T-stopper.
Flexibele uitvoering.</t>
  </si>
  <si>
    <t>Inbrengstang T-stopper 40 cm.  Massieve stang voor inbrengen van de
T-stopper.</t>
  </si>
  <si>
    <t>Inbrengstang T-stopper 50 cm.  Massieve stang voor inbrengen van de
T-stopper.</t>
  </si>
  <si>
    <t>Aanboorzadel 1" gasvoerende meterbeugel. Inclusief 1" gaskraan met
messing verloopnippel 1 x1¼".</t>
  </si>
  <si>
    <t>Invoerstuk kleine poort 19 mm (O&lt;(&gt;&amp;&lt;)&gt;K+ABB).</t>
  </si>
  <si>
    <t>Wikkelapparaat tbv wikkelfolie. Rolhouder voor rekwikkelfolie van 100mm.</t>
  </si>
  <si>
    <t>Wikkelfolie 100mmx150mtr; Rekwikkelfolie 10cm x 150mtr x 20 mu
transparant doos. Met wikkelfolie kan de kan kabel tbv het monteren van
een MS mof deels worden ingewikkeld. Dit om te voorkomen dat er vuil van
de kabel aan de krimpbuizen van mof komt.</t>
  </si>
  <si>
    <t>Vet tbv bruisproef GPLK, vet dient tot min 140 graden celsius verwarmd
te kunnen worden zonder dat er giftige dampen vrij komen. Ook dient het
vet na afkoelen stroperig of een vaste vorm aan te nemen.</t>
  </si>
  <si>
    <t>Bouwsleutel voor sloten waar (nog) geen cilinder aanwezig is.</t>
  </si>
  <si>
    <t xml:space="preserve">Matrijs zeskant 95-120mm Al. Matrijs ten behoeve van aluminium
kabelschoenen.
Type: A22/95-120.
</t>
  </si>
  <si>
    <t>Matrijs zeskant 150mm Al. Matrijs ten behoeve van aluminium
kabelschoenen.
Type: A22/150.</t>
  </si>
  <si>
    <t>M5 110/62 G (2M) KABELKANAAL 100X62MM GRIJS</t>
  </si>
  <si>
    <t xml:space="preserve">Stickervel blauw v meterprocedure (vel a 27 stuks).
(pak a 25 vel).
Stickers, vinyl,
kleur: blauw-wit, met zwarte letters
tekst:
Recall
naar Liander L&lt;(&gt;&amp;&lt;)&gt;R Amsterdam
Jira nr: OS-.........................
</t>
  </si>
  <si>
    <t xml:space="preserve"> Rubberen afdichtingsplug, materiaal: EPDM, type: CSD, 50 x 28 mm voor
telescopische schutbuis 63mm  in meterkast.</t>
  </si>
  <si>
    <t>Prefab draadstuk van 25 mm2, klasse 5 soepel draad,  type draad
Siliconen, Lengte is 25 cm, kleur is zwart, voorzien van twee aderei
ndhulzen van 18mm.</t>
  </si>
  <si>
    <t>Aanrakingsveilige dop voor aders met doorsnede van 10 mm2.</t>
  </si>
  <si>
    <t>Prefab draadstuk van 6 mm2, klasse 5 soepel draad, type draad H07Z-K,
Lengte is 25 cm, kleur is zwart, voorzien van twee adereindhulzen van
18mm.</t>
  </si>
  <si>
    <t>Prefab draadstuk van 6 mm2, klasse 5 soepel draad,  type draad H07Z-K,
Lengte is 65 cm, kleur is blauw, voorzien van twee adereindhulzen van
18mm.</t>
  </si>
  <si>
    <t>Prefab draadstuk van 6 mm2, klasse 5 soepel draad, type draad H07Z-K,
Lengte is 65 cm, kleur is zwart, voorzien van twee adereindhulzen van
18mm.</t>
  </si>
  <si>
    <t>Dienstleidingbeugel (enkele C-rail), lengte : 300 mm, ten behoeve van de
montage van mantelbuis, PEKO en PECU, in combinatie met verschillende
klemmenblokkensets, 25 mm, 32 mm, 40 mm.</t>
  </si>
  <si>
    <t>Aarde-Nul verbindingsstrip voor ELEQ lichtmastset LS94. Betreft
standaard strip van 10mm2.</t>
  </si>
  <si>
    <t>Filter 67163 v gaslekzoektoestel GMI 700 ; Stoffilter voor toepassing in
GMI 700 gasdetectieapparaten.  Leveringsomvang: doos met 30 stuks.</t>
  </si>
  <si>
    <t>Pijpensnijder type 5090, tbv stalen buis, range 12-60mm / ½"-2",
uitvoering met vier wielen.</t>
  </si>
  <si>
    <t>Reservemes type 8039, voor pijpensnijder type 5090, tbv stalen buis,
range 12-60mm / ½"-2".</t>
  </si>
  <si>
    <t>Prefab draadstuk van 6 mm2, klasse 5 soepel draad,  type draad H07Z-K,
Lengte is 35 cm, kleur is blauw, voorzien van twee adereindhulzen van
18mm.</t>
  </si>
  <si>
    <t>Prefab draadstuk van 10 mm2, klasse 5 soepel draad, type draad H07Z-K,
Lengte is 65 cm, kleur is blauw, voorzien van twee adereindhulzen van
18mm.</t>
  </si>
  <si>
    <t>Prefab draadstuk van 10 mm2, klasse 5 soepel draad, type draad H07Z-K,
Lengte is 65 cm, kleur is zwart, voorzien van twee adereindhulzen van
18mm.</t>
  </si>
  <si>
    <t>Warmtekrimp kabelmantelreparatiemanchet, lengte 1000 mm, krimpbereik
26-93 mm.</t>
  </si>
  <si>
    <t>Glijmoer M12 kwikstrut v Flamco-rail; Glijmoer THVZ of RVS</t>
  </si>
  <si>
    <t>Prefab draadstuk van 16 mm2, klasse 5 soepel draad, type draad H07Z-K,
Lengte is 35 cm, kleur is blauw, voorzien van twee adereindhulzen van
18mm.</t>
  </si>
  <si>
    <t>Prefab draadstuk van 16 mm2, klasse 5 soepel draad, type draad H07Z-K,
Lengte is 25 cm, kleur is zwart, voorzien van twee adereindhulzen van
18mm.</t>
  </si>
  <si>
    <t>Prefab draadstuk van 16 mm2, klasse 5 soepel draad, type draad H07Z-K,
Lengte is 65 cm, kleur is blauw, voorzien van twee adereindhulzen van
18mm.</t>
  </si>
  <si>
    <t>Prefab draadstuk van 16 mm2, klasse 5 soepel draad, type draad H07Z-K,
Lengte is 65 cm, kleur is zwart, voorzien van twee adereindhulzen van
18mm.</t>
  </si>
  <si>
    <t xml:space="preserve">Handgel Hygeniq Dermal Med S.31
500ml Bio-Alcohol fles + pomp
Desinfecterende alcoholgel
Pompfles 500ml
</t>
  </si>
  <si>
    <t>Prefab draadstuk van 10 mm2, klasse 5 soepel draad, type draad H07Z-K,
Lengte is 35 cm, kleur is blauw, voorzien van twee adereindhulzen van
18mm.</t>
  </si>
  <si>
    <t>Prefab draadstuk van 10 mm2, klasse 5 soepel draad, type draad H07Z-K,
Lengte is 25 cm, kleur is zwart, voorzien van twee adereindhulzen van
18mm.</t>
  </si>
  <si>
    <t xml:space="preserve">Gasmeter
Fabricaat:  Flonidan
Type:   Uniflo G25 SRT
Meetprincipe:  Balg
Klasse:   1,5
Capaciteit:  G25 (0,25 – 40 m³/h)
Compliance:  SMR 5.0
Temperatuurcorrectie: Ja
Drukcorrectie:  Ja ( luchtdruk: 1015,5 mbar; voordruk: 28 mbar)
Klep:   Geen
Communicatie: Mbus Draadloos
Nominale diameter:  DN50
Hartafstand:   400 mm
Schroefdraad:  G2½"
</t>
  </si>
  <si>
    <t>Warmte krimp eindsluiting binnenopstelling (set van 3)
voor XLPE 20kV 3x1x800 mm2,
inclusief  3 schroefkabelschoenen 630-800 mm2 met boutgat 17 mm
en 3 schroefkabelschoenen 25-95 mm2 met boutgat 13 mm voor het
aardscherm.</t>
  </si>
  <si>
    <t>Samengestelde beugel 300 mm, bout M10x60.
Utility Connect BV.</t>
  </si>
  <si>
    <t>Overnamesnoer tbv Aggregaat, Voor het (tijdelijk) in stand houden van de
aarde/nul koppeling bij het verwisselen van transformatoren waar een
aarde/nul koppeling op is aangebracht. Lengte 150cm aardsnoer, handvat
geschikt voor kogel (20 en 25mm) en plat koper.</t>
  </si>
  <si>
    <t>Geschermde haakse (T) steker (set van 3),
geschikt voor C-conus interface voor XLPE 20kV 3x1x800 mm2,
inclusief 3 schroefkabelschoenen 800 mm2
en 3 schroefkabelschoenen 10-50 mm2 met gat 10,5 mm voor het aardscherm.</t>
  </si>
  <si>
    <t>Warmte krimp eindsluiting buitenopstelling
voor XLPE 20kV 3x1x800 mm2 Al
- Inclusief 3 schroefkabelschoenen met gat 17mm voor de aders
en
3 schroefkabelschoenen met gat 13mm voor het aardscherm.</t>
  </si>
  <si>
    <t>Hybride mof
geschikt voor 10-20kV XLPE 1x630 mm2 Cu/Al en 20kV XLPE 1x800 mm2 Al op
20kV XLPE 1x800 mm2 Al.
Inclusief schroefverbinders.</t>
  </si>
  <si>
    <t>Filtermasker M-Safe 6220 FFP2 zonder ventiel.</t>
  </si>
  <si>
    <t xml:space="preserve">Mondkapje wit wasbaar zonder logo.
</t>
  </si>
  <si>
    <t xml:space="preserve">Kabelbevestigingsklem v 3 kabels 53-66mm
Kabelbevestigingsklem (TRI 53-66) geschikt voor 3 kabels met een
buitendiameter van 53 t/m 66 mm. Inclusief RVS bevestigingsmateriaal
(M12 – 160mm). Aanhaalmoment voor het bevestigingsmateriaal 5 Nm.
</t>
  </si>
  <si>
    <t>Kabelselectie draaiveldspoel, de draaiveld spoel is naast de stroomslang
een goed hulpmiddel tgv kabelselectie. De draaiveldspoel kan alléén icm
met de ontvanger S20 worden gebruikt.
Typecode: MSTS230.</t>
  </si>
  <si>
    <t xml:space="preserve">Aftakzadel elektrolas PE100 SDR11 400x63mm, topload.
Diameter doorgaande leiding 400mm, aftakking 63mm spie-eind.
</t>
  </si>
  <si>
    <t>Schuifafsluiter,
materiaal: Nodulair gietijzer (GJS-500),
uitwendig voorzien van epoxy coating,
PE100 lasuiteinden SDR11,
drukklasse PN10,
Schuif: NBR gevulkaniseerd,
Aansluiting 400 mm (DN 400)
Lengte: 1660 mm;
hoogte: 912 mm
spindelmaat: 32.</t>
  </si>
  <si>
    <t>Stroomtrafo (meettrafo) toepasbaar voor AC5a. Geschikt voor montage op
rail 60x10mm, 50x10mm of 40x10mm en tot op kabels met een doorsnede van
30mm. Vastzet materiaal voor montage op montageplaat, rail en kabel
wordt standaard meegeleverd.</t>
  </si>
  <si>
    <t>Insteekkoppeling recht, 1x insteekfitting PE32mm, 1x buitendraad 1"R
volgens de EN10226-1, nominale aansluiting: 32mm x 1", materiaal POM,
kleur koppeling zwart , Kleur O-ring geel, materiaal O-ring NBR,
trekring t.b.v. PE  Hawle K6125.</t>
  </si>
  <si>
    <t xml:space="preserve">Aardblokje compleet tbv Antenne extern spriet CDMA/4G bestaande uit een
aardblokje, slot bout 6mm, slot bout 5 mm en draadoog 6mm. 1 compleet
blokje per artikelnummer.
Voorkeursleverancier Lasaulec
Fabrikant                Lasaulec
Fabriekstype           Aardblokje compleet, samengesteld
Synoniem: Telecom
</t>
  </si>
  <si>
    <t xml:space="preserve">Antenne extern 4G spriet, te gebruiken met draadloze 4G routers van
Alliander Telecom. Ingezet voor FlexOV, iNet, Sasensor en andere ketens.
Procom Omni antenne CXL 900/1800/1900/UMTS
Voorkeursleverancier Utility Connect BV
Fabrikant                 Procom
Fabriekstype             Omni antenne CXL 900/1800/1900/UMTS
</t>
  </si>
  <si>
    <t xml:space="preserve">Antenne puck CDMA, te gebruiken met draadloze CDMA routers van Alliander
Telecom.
Ingezet voor FlexOV, iNet, Sassensor en andere ketens.
Voorkeursleverancier Utility Connect BV
Fabrikant                 2J-Antennaes
Fabriekstype         2J6510B – Tetra heavy duty antenna -
                        458,9 MHz-120RG58-C91N_allnl
Synoniem: Telecom
</t>
  </si>
  <si>
    <t xml:space="preserve">Antenne verleng kabel 2 meter voor CDMA &lt;(&gt;&amp;&lt;)&gt; 4G puck antennes.
Te gebruiken tussen draadloze CDMA &lt;(&gt;&amp;&lt;)&gt; 4G routers en CDMA &lt;(&gt;&amp;&lt;)&gt; 4G
puck antennes van Alliander Telecom. Ingezet voor FlexOV, iNet, Sasensor
en andere ketens.
Jumper cable SMA-male to SMA-female RG233 2 MTR
Voorkeursleverancier Utility Connect BV
Fabrikant                 ETconnect
Fabriekstype             Jumper cable SMA-male to SMA-female RG233 2 MTR
</t>
  </si>
  <si>
    <t xml:space="preserve">Antenne verleng kabel 10 meter voor CDMA &lt;(&gt;&amp;&lt;)&gt; 4G puck antennes.
Te gebruiken tussen draadloze CDMA &lt;(&gt;&amp;&lt;)&gt; 4G routers en CDMA &lt;(&gt;&amp;&lt;)&gt; 4G
puck antennes van Alliander Telecom. Ingezet voor FlexOV, iNet, Sasensor
en andere ketens.
Jumper cable SMA-male to SMA-female RG233 2 MTR
Voorkeursleverancier Utility Connect BV
Fabrikant                 ETconnect
Fabriekstype             Jumper cable SMA-male to SMA-female RG233 10
MTR
Synoniem: Telecom
</t>
  </si>
  <si>
    <t xml:space="preserve">Slimme Meter Telecom Converter (SMTC)
voor bevestiging op P0 poort van slimme kWh-meter (KV) en met een
kabelverbinding op P1 poort,
communicatie via LTE-M op 800/900 en 1800 Mhz.
</t>
  </si>
  <si>
    <t>Moujen Deurschakelaar voor Alfen station type MEA-9112G.</t>
  </si>
  <si>
    <t>Hager v-direkt aansluitklem, type LVZVAZ, aluminium. Set van 3 stuks.</t>
  </si>
  <si>
    <t>Transformator LS aansluitvlag 630 kVA voorzien van M30, voorzien van 2
aansluitmogelijkheden.</t>
  </si>
  <si>
    <t>Transformator LS aansluitvlag 1000 kVA voorzien van M42, voorzien van 4
aansluitmogelijkheden.</t>
  </si>
  <si>
    <t>Wand draagframe voor MAGNEFIX KKT type MF inclusief rechter aardrail en
inclusief aardbeugel met 3 kogelbouten.</t>
  </si>
  <si>
    <t>Wand draagframe voor MAGNEFIX KKKT type MF inclusief rechter aardrail en
inclusief aardbeugel met 3 kogelbouten.</t>
  </si>
  <si>
    <t>Wand draagframe voor MAGNEFIX KKK type MF inclusief rechter aardrail en
inclusief aardbeugel met 3 kogelbouten.</t>
  </si>
  <si>
    <t>Wand draagframe voor MAGNEFIX KKKKT type MF inclusief rechter aardrail
en inclusief aardbeugel met 3 kogelbouten.</t>
  </si>
  <si>
    <t>Staand draagframe voor MAGNEFIX type MF incl. aardbeugel.</t>
  </si>
  <si>
    <t xml:space="preserve">Steekringratelsleutel 6mm;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</si>
  <si>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Steekringratelsleutel 7mm;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</si>
  <si>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Steekringratelsleutel 8mm;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</si>
  <si>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Steekringratelsleutel 9mm;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</si>
  <si>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Steekringratelsleutel 10mm;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</si>
  <si>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Steekringratelsleutel 11mm;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</si>
  <si>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Steekringratelsleutel 12mm;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</si>
  <si>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Steekringratelsleutel 13mm;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</si>
  <si>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Steekringratelsleutel 14mm;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</si>
  <si>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Steekringratelsleutel 15mm;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</si>
  <si>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Steekringratelsleutel 16mm;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</si>
  <si>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Steekringratelsleutel 17mm;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</si>
  <si>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Steekringratelsleutel 18mm;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</si>
  <si>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Steekringratelsleutel 19mm;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</si>
  <si>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Steekringratelsleutel 21mm;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</si>
  <si>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Steekringratelsleutel 22mm;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</si>
  <si>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Steekringratelsleutel 24mm;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</si>
  <si>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Steekringratelsleutel 27mm;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</si>
  <si>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Steekringratelsleutel 30mm;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</si>
  <si>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Steekringratelsleutel 32mm; RINGSTOP: een klemring zorgt voor een betere
grip op de moer. Hierdoor glijdt de moer niet weg tijdens het vast- en
loszetten. ANTI SLIP VORK: de vork slipt niet door op de bout waardoor
de productiviteit verhoogt. DESIGN: het design van de handgreep
verdubbelt het contact oppervlak in de hand en zorgt zo voor extra
comfort en stabiliteit.
</t>
  </si>
  <si>
    <t xml:space="preserve">Muurbeugel voor het monteren van trafokabels, worden door de werkplaats
op bestelling gemaakt.
Conform maatvoering (zie Pdf Bijlage Muurbeugel 01-2021)
</t>
  </si>
  <si>
    <t xml:space="preserve">Pakkingring / dichtring NBR rubber. Afmetingen: 33,5x26,5x2mm. Norm EN
549, Hardheid: 80° shore. Nitril 80 shore -  voor meterkoppeling G6
(oud) en regelaar 1".
</t>
  </si>
  <si>
    <t xml:space="preserve">Pakkingring afdichtring, materiaal: NBR, afmetingen: 27,0 x 21,0 x 2,0
mm., Norm EN 549, Hardheid 80° shore.
</t>
  </si>
  <si>
    <t>Pakkingring afdichtring, Afmetingen 28,5 x 22,5 x 2 mm, Materiaal NBR,
Hardheid 80° shore.</t>
  </si>
  <si>
    <t>Pakkingring afdichtring, Afmeting 30 x 20 x 2 mm, Materiaal NBR,
Hardheid 80° shore. Zak is 100 stuks.</t>
  </si>
  <si>
    <t xml:space="preserve">Pakkingring afdichtring, Afmetingen: 26,5 x 20,5 x 4 mm Materiaal: NBR,
Hardheid 80° Shore. Zak is 100 stuks.
</t>
  </si>
  <si>
    <t>Dop voor inbrengstang T-stopper. Materiaal: kunststof 3D geprint, Kleur:
grijs, beschermdop.</t>
  </si>
  <si>
    <t xml:space="preserve">Schroevendraaier Dop VDE 6-kant 11 mm; Electrische 6-kant
dopschroevendraaier vervaardigd uit hoogwaardig chroom vanadium
molybdeen staal, doorgehard en gezwart. Voorzien van ergonomische
SoftFinish handgreep met wegrolbeveiliging en isolatie op schacht en
handgreep. 100% kwaliteitsgecontroleerde isolatie 1.000 V AC, VDE- en
GS-getest.
Type: 322
Normen: DIN 3125 en IEC 60900:2012.
Maat: 11 mm.
Lengte: 243 mm.
Steelengte: 125 mm.
</t>
  </si>
  <si>
    <t xml:space="preserve">Verkeerskegel; Verkeerskegel, 1-delig, vervaardigd van oranje PVC,
reflecterend, R/W DG - klasse 3.
Makkelijke handgreep voor het oppakken en neerzetten van de kegel en een
voorziening op de kegel waardoor de kegels bij het stapelen niet kunnen
klemmen. Bij aanrijding kan de voet niet losschieten omdat de kegel uit
één geheel bestaat. Uitvoering conform de laatste CROW publicatie Werk
in uitvoering 96a/96b.
</t>
  </si>
  <si>
    <t>Koperen buis, afmetingen: buitendiameter 15 x1,0 mm, binnendiameter 13,0
mm lengte: 3,1 meter. Cu-DHP, vlg. EN 1057, Kiwa/Gasteq gekeurd,
R250/halfhard met afgedopte uiteinden.</t>
  </si>
  <si>
    <t xml:space="preserve">Blokkeringsplaat zonder bedieningsstok (Gebruikt)!K
</t>
  </si>
  <si>
    <t xml:space="preserve">Veiligheid afsluiter DN50 – PN16 – geflensd - compleet samengesteld
Samengesteld d.m.v. 3 deel componenten:
1. Afsluiter:                merk Wouter Witzel, type Vlinderklep EVFL,
DN50 geflensd, inbouwmaat 150mm.
2. Stelcilinder:            merk Actuatech, type GD106.
3. Commandoventiel: merk Elster-Instromet, type OPSO PNEUMAX instelveer
140-210 mbar
Ingesteld op een afslagwaarde van 150mbar.
(Commandoventiel wordt los meegeleverd)
</t>
  </si>
  <si>
    <t xml:space="preserve">Stroomtrafo:
RM100-E8B 900/5A 0...5VA 0.2S EXT.120% FS5 RM41298
</t>
  </si>
  <si>
    <t xml:space="preserve">Lakstift rood 12ml. De lak heeft een duurzame kleur en een goede
oppervlaktehardheid. De lak is bestand tegen benzine, chemicaliën en
weersinvloeden en is lichtecht en UV-bestendig.
Type: 941400
Kleur: rood.
Inhoud: lakstift à 12 ml.
</t>
  </si>
  <si>
    <t>Deksel voor blauwe O&lt;(&gt;&amp;&lt;)&gt;K kasten. Deksel is dichte uitvoering (geen
uitsparingen voor automaten).
Wordt geleverd zonder zegelschroef, ophoogsteun en sluitpennen.</t>
  </si>
  <si>
    <t xml:space="preserve">Stroomtrafo, overzetverhouding: 250/5A vermogen: 1 - 5 VA, klasse: 0,2S,
instrumentveiligheidsfactor: FS 5.
RM85.
</t>
  </si>
  <si>
    <t>Perskabelschoen geschikt voor 25mm2 Cu, boutgat 11 mm (M10). Volgens DIN
46235.</t>
  </si>
  <si>
    <t>Knikbare moersleutel v. blinddeksel HSI; Universeel gereedschap voor
montage en demontage van de systeemdeksels HSI en KES-M. Pengatsleutel
bij wanden met thermische isolatie tot 100 mm. Bruikbaar voor elke
Hauff-kabeldoorvoer (HSI) en kabelinvoersystemen (KES-M). Ook
verkrijgbaar als variant voor wanden met warmte-isolatie als SLS 6GD.
Gemaakt van verzinkt staal St37.</t>
  </si>
  <si>
    <t xml:space="preserve">OV voedingspunt voor kleine kasten aan de buitenzijde van de LS ruimte
in Amsterdam. Type is 1RI-3FN LI-1.
</t>
  </si>
  <si>
    <t xml:space="preserve">OV voedingspunt voor peperbus LS ruimte. Type is 1RI-3FN LI-5.
</t>
  </si>
  <si>
    <t>Drukwig voor Isicompact ringklem.</t>
  </si>
  <si>
    <t xml:space="preserve">Schiller v zwakgeleider laag XLPE;  De US02 Kabelschiller verwijdert
goed en eenvoudig de zwakgeleidende laag van 5 tot 35 kV XLPE-kabels. De
unieke bladvorm behoudt het gladde oppervlak bij isolatie, waardoor het
niet nodig is om te ontbramen of extra oppervlakte-afwerking. Het
optimale stabiliteitsontwerp ondersteunt kabels met diameters van 18 mm
tot 60 mm tijdens het schillen.
Type: US02-7000
</t>
  </si>
  <si>
    <t xml:space="preserve">Reservemes schiller zwakgeleiderlaag (art.nr 20042802). Reservemes ten
behoeve van de US02-7000 kabelschiller met een bereik van 18 tot 60 mm.
Type: US02-7501
</t>
  </si>
  <si>
    <t xml:space="preserve">Xiria 32 Ah gelijkrichterinstallatie in kast inclusief 3 afgaande
groepen.
24 Vdc / 20 A modulaire gelijkrichtinstallatie in wandkast, 24 Vdc.
Verdeling: 1 x D63 MCB, 4 x C16 MCB’s, 2 x Micropack 24 V/240 W
gelijkrichtermodule en 1 controller, temperatuursensor 470 K NTC.
Afmetingen van de kast 500 x 250 x 700 mm.
Gewicht 40 kg.
</t>
  </si>
  <si>
    <t>ABB 65 Ah gelijkrichterinstallatie in kast inclusief 5 afgaande groepen.
24 Vdc / 20 A modulaire gelijkrichtinstallatie in wandkast, 24 Vdc.
Verdeling: 1 x D63 MCB, 1 x C25A en 4  x C 16 MCB’s (incl. SD), 2 x
Micropack 24 V/240 W gelijkrichtermodule en 1 controller, temper
atuursensor 470 K NTC.
Afmetingen van de kast 600 x 400 x 800 mm.
Gewicht 50 kg.</t>
  </si>
  <si>
    <t xml:space="preserve">NOARK EX9BN1PC16 16A 1P 6 KA C-karakteristiek INSTALLATIEAUTOMAAT.
</t>
  </si>
  <si>
    <t>Deksel dicht voor (bakelieten) huisaansluitkast met D-patroon of
mespatroon.</t>
  </si>
  <si>
    <t>Spindelkop voor ondergrondse afsluiter DN 200 bediening.
Materiaal: Nodulair Gietijzer.
Maat spindelgat voor opbouw spindel: 26 x 26mm.</t>
  </si>
  <si>
    <t xml:space="preserve">Veiligheid afsluiter DN80 – PN16 – geflensd - compleet samengesteld
Samengesteld d.m.v. 3 deel componenten:
1. Afsluiter:                merk Wouter Witzel, type Vlinderklep EVFL,
DN80 geflensd, inbouwmaat 180mm.
2. Stelcilinder:            merk Actuatech, type GD106.
3. Commandoventiel: merk Elster Instromet, type OPSO PNEUMAX, instelveer
140-210 mbar
Ingesteld op een afslagwaarde van 150mbar.
(Commandoventiel wordt los meegeleverd)
</t>
  </si>
  <si>
    <t>ABB 32 Ah gelijkrichterinstallatie in kast inclusief 5 afgaande groepen.
24 Vdc / 20 A modulaire gelijkrichtinstallatie in wandkast, 24 Vdc
verdeling:1 x D63 MCB, 1 x C25A en 4  x C 16 MCB’s (incl. SD), 2 x
Micropack 24 V/240 W gelijkrichtermodule en 1 controller,
temperatuursensor 470 K NTC.
Afmetingen van de kast 500 x 250 x 700 mm.
Gewicht 40 kg.</t>
  </si>
  <si>
    <t>ABB 90 Ah gelijkrichterinstallatie in kast inclusief 5 afgaande groepen.
24 Vdc / 20 A modulaire gelijkrichtinstallatie in wandkast, 24 Vdc.
Verdeling: 1 x D63 MCB, 1 x C25A en 4  x C 16 MCB’s (incl. SD), 2 x
Micropack 24 V/240 W gelijkrichtermodule en 1 controller, temper
atuursensor 470 K NTC.
Afmetingen van de kast 800 x 400 x 1000 mm.
Gewicht kast 50 kg.</t>
  </si>
  <si>
    <t>Xiria 65 Ah gelijkrichterinstallatie in kast inclusief 4 afgaande
groepen.
24 Vdc / 20 A modulaire gelijkrichtinstallatie in wandkast, 24 Vdc.
Verdeling: 1 x D63 MCB, 4  x C 6 MCB’s, 2 xMicropack 24 V/240 W
gelijkrichtermodule en 1 controller, temperatuursensor 470 K NTC.
Afmetingen van de kast 600 x 400 x 800 mm.
Gewicht 50 kg.</t>
  </si>
  <si>
    <t xml:space="preserve">Accublok 32 Ah Sonnenschein type A412/32F10.
Afmetingen 210 x 175 x 181 mm.
Gewicht 14,1 kg.
</t>
  </si>
  <si>
    <t xml:space="preserve">Accublok 65 Ah Sonnenschein type A412/65F10.
Afmetingen 353 x 175 x 196 mm.
Gewicht 23,5 kg.
</t>
  </si>
  <si>
    <t xml:space="preserve">Accublok 90 Ah Sonnenschein type A412/90F10.
Afmetingen 286 x 269 x 234 mm.
Gewicht 33,5 kg.
</t>
  </si>
  <si>
    <t xml:space="preserve">Draaistroom 4-leider statische kWh meter, voor directe aansluiting 0
,25-5 (100)A, 230/400V,50Hz, klasse A
Telwerk: Bestaat uit:
1 register voor Leveren;
1 register voor terug leveren, kWh registratie;
1 register voor actueel vermogen, W registratie.
Voorzien van barcodering en QR-code volgens Liander specificaties.
</t>
  </si>
  <si>
    <t xml:space="preserve">Zekering CHT 10-10 A Ø 10,3 x 38 mm
Nominaal spanning 500V, 120kA.
Karakteristiek gG
Afmeting 10,3x38mm.
</t>
  </si>
  <si>
    <t xml:space="preserve">Sanering set GH (Pipe Puller)         !K
De set bestaat uit:
• KABELS; 1x Blauw 5 meter kabel, 1xGeel 8 meter kabel, Rood 12 meter
kabel.
• KABEL VERBINDINGSSTUK; Bij lange lengtes kun je kabels aan elkaar
koppelen.
• KABEL BESCHERMHOEK; Voor een langere levensduur van de kabel.
• KRAANBLOK; Deze wordt gebruikt voor HZ / PVC – PE. Dit is een
verbindingsstuk tussen de kabel en de graafmachine. Borgen met moer.
• HZ / PVC  TREKKOPPELING; Koppeling voor het intrekken van een nieuwe
PE leiding.
• PE-MESSEN; Diameter 25mm, 32mm, 40mm en 50 mm.
• KABELBREUK-BEVEILIGING; Maximale belasting hiervan is 3140 kg.
• KIKKERBEK
• STAALBORSTEL
• SMEERMIDDEL WD40
• KOFFER; alle onderdelen worden in koffer geleverd.
</t>
  </si>
  <si>
    <t>Snijtouw (2m.) met klosjes; Snijtouw lengte 2 meter met handzame
klosjes.</t>
  </si>
  <si>
    <t xml:space="preserve">Eén fase statische kWh meter, voor directe aansluiting 0,25-5(80)A, 230V
,50Hz, klasse A
Telwerk: Bestaat uit:
1 register voor Leveren;
1 register voor terug leveren, kWh registratie;
1 register voor actueel vermogen, W registratie.
Voorzien van barcodering en QR-code volgens Liander specificaties.
</t>
  </si>
  <si>
    <t>Ontbramer Rems, Type REG 10-54 E, 10-54mm tbv Cu en RVS (ALL) Ontbramer
tbv 10 t/m 54 Cu en RVS Voor binnen en buitenzijde voor koper en rvs
buis 12 tot en met 54 mm.</t>
  </si>
  <si>
    <t>Inductor Dtools, type Iductor 1200W. Vlamvrije inductieverhitting voor
het verwarmen van metalen schroefdraden met een lijmverbinding. CE
gecertificeerd.</t>
  </si>
  <si>
    <t xml:space="preserve">Dit kaartje dient gebruikt te worden indien een onveilig
aardingssituatie wordt aangetroffen bij een klant aansluiting.
Nummer: CA-01-2021.
Formaat : 210 x 148 mm.
Bedrukking : tweezijdig full colour.
Papier : 160 grams preprint.
</t>
  </si>
  <si>
    <t xml:space="preserve">Veiligheid afsluiter DN50 – PN16 – geflensd -8 gats - compleet
samengesteld
Samengesteld d.m.v. 3 deel componenten:
1. Afsluiter:                merk Argus EK71
2. Stelcilinder:            merk Rotadisk 10
3. Commandoventiel: merk Elster-Instromet, type OPSO PNEUMAX instelveer
140-210 mbar.
De combinatie is geschikt voor een minimale inlaatdruk van 1,5 bar.
Ingesteld op een afslagwaarde van 150mbar.
</t>
  </si>
  <si>
    <t xml:space="preserve">Veiligheid afsluiter DN50 – PN16 – geflensd -4 gats - compleet
samengesteld
Samengesteld d.m.v. 3 deel componenten:
1. Afsluiter:                merk Argus EK71
2. Stelcilinder:            merk Rotadisk 20
3. Commandoventiel: merk Elster-Instromet, type OPSO PNEUMAX instelveer
140-210 mbar.
De combinatie is geschikt voor een minimale inlaatdruk van 1 bar.
Ingesteld op een afslagwaarde van 150mbar.
</t>
  </si>
  <si>
    <t xml:space="preserve">Veiligheid afsluiter DN80 – PN16 – geflensd -8 gats - compleet
samengesteld.
Samengesteld d.m.v. 3 deel componenten:
1. Afsluiter:                merk Argus FK75
2. Stelcilinder:            merk Rotadisk 40
3. Commandoventiel: merk Elster-Instromet, type OPSO PNEUMAX instelveer
140-210 mbar.
De combinatie is geschikt voor een minimale inlaatdruk van 1 bar.
Ingesteld op een afslagwaarde van 150mbar.
</t>
  </si>
  <si>
    <t xml:space="preserve">Veiligheid afsluiter DN80 – PN16 – geflensd -8 gats - compleet
samengesteld
Samengesteld d.m.v. 3 deel componenten:
1. Afsluiter:                merk Argus FK75M
2. Stelcilinder:            merk Rotadisk 20
3. Commandoventiel: merk Elster-Instromet, type OPSO PNEUMAX instelveer
140-210 mbar.
De combinatie is geschikt voor een minimale inlaatdruk van 1,5 bar.
Ingesteld op een afslagwaarde van 150mbar.
</t>
  </si>
  <si>
    <t xml:space="preserve">Veiligheid afsluiter DN100 – PN16 – geflensd -8 gats - compleet
samengesteld
Samengesteld d.m.v. 3 deel componenten:
1. Afsluiter:                merk Argus FK75
2. Stelcilinder:            merk Rotadisk 40
3. Commandoventiel: merk Elster-Instromet, type OPSO PNEUMAX instelveer
140-210 mbar.
De combinatie is geschikt voor een minimale inlaatdruk van 1 bar.
Ingesteld op een afslagwaarde van 150mbar.
</t>
  </si>
  <si>
    <t xml:space="preserve">Veiligheid afsluiter DN100 – PN16 – geflensd -8 gats - compleet
samengesteld
Samengesteld d.m.v. 3 deel componenten:
1. Afsluiter:                merk Argus FK75
2. Stelcilinder:            merk Rotadisk 20
3. Commandoventiel: merk Elster-Instromet, type OPSO PNEUMAX instelveer
140-210 mbar.
De combinatie is geschikt voor een minimale inlaatdruk van 1,5 bar.
Ingesteld op een afslagwaarde van 150mbar
</t>
  </si>
  <si>
    <t>Gasmeter
.
Fabricaat:  Flonidan
Type:   Sciflo G4-6 URT
Meetprincipe:  Ultrasoon
Klasse:   1,5
Capaciteit:  G4-6 (0,04 – 10 m³/h)
Compliance:  SMR 5.5
Temperatuurcorrectie: Ja
Drukcorrectie:  Ja ( luchtdruk: 1015,5 mbar; voordruk: 28 mbar)
Klep:   Geen
Communicatie:  Mbus Draadloos
Nominale diameter:  DN20
Hartafstand:   220 mm
Schroefdraad:  GM¾"
.</t>
  </si>
  <si>
    <t xml:space="preserve">Pijpensnijder 22 mm, CU ; Pijpsnijder Ridgid C model. Uniek model voor 2
maten pijp. Voorzien van automatische voeding en snelwisselsysteem voor
het snijwiel.
Capaciteit: 15 en 22 mm.
Type: 57018.
</t>
  </si>
  <si>
    <t>Sleutel plaat recht met afdekplaatje.
Afmeting  90x135x1,5mm.</t>
  </si>
  <si>
    <t xml:space="preserve">Sleutel 1.8.5.De sleutel is tbv bouwcilinder 1.8.5. Sleutel t.b.v.
aannemers voor nieuwe compact- en klantstations.
Monosleutel type IPS-Nuon 1.8.5 Passend op cilinders No. 1.8.5.
Voor de sleutel geldt dat ze in een apart doosje moeten worden
aangeleverd en gelabeld.
</t>
  </si>
  <si>
    <t xml:space="preserve">Inzetstuk voor de kleine poort van meterbord of aansluitkast ABB en
voorgangers. Voorzien van een Wartel PG21 (is 14-19 mm).
</t>
  </si>
  <si>
    <t xml:space="preserve">Muurbeugel met rubberinlage, middelzwaar, brand getest. Maatbereik
21-27mm, zeskantuitw /M10 inw. Sikla Ratio S (BP-S-RS-21-S).
</t>
  </si>
  <si>
    <t xml:space="preserve">Muurbeugel met rubberinlage, middelzwaar, brand getest. Maatbereik
28-35mm, zeskantuitw /M10 inw. Sikla Ratio S (BP-S-RS-28-S).
</t>
  </si>
  <si>
    <t>Muurbeugel met rubberinlage, middelzwaar, brand getest. Maatbereik
38-45mm, M16 uitw /M10 inw. Sikla Ratio S (BP-S-RS-38-S).</t>
  </si>
  <si>
    <t xml:space="preserve">Inzetstuk voor de kleine poort van meterbord of aansluitkast ABB en
voorgangers. Voorzien van een Wartel PG16   (is 11-14 mm).
</t>
  </si>
  <si>
    <t>Cilinder europr 1.8.5. EZ 40/10;
Enkele profielcilinder type S8461 A10.
Zonder monosleutels.
Te openen door sleutels 1.1, 1.2 en 1.3. Tevens te openen door unieke
monosleutel 1.8.5 Artikelnummer ASSA ABLOY.</t>
  </si>
  <si>
    <t>Muurbeugel met rubberinlage, middelzwaar, brand getest. Maatbereik
48-56mm, M16 uitw /M10 inw. Sikla Ratio S (BP-S-RS-48-S).</t>
  </si>
  <si>
    <t>Muurbeugel met rubberinlage, middelzwaar, brand getest. Maatbereik
57-63mm, M16 uitw /M10 inw. Sikla Ratio S (BP-S-RS-57-S).</t>
  </si>
  <si>
    <t xml:space="preserve">Muurbeugel met rubberinlage, middelzwaar, brand getest. Maatbereik
73-80mm, M16 uitw /M10 inw. Sikla Ratio S (BP-S-RS-73-S).
</t>
  </si>
  <si>
    <t>Muurbeugel met rubberinlage, zwaar, brand getest. Maatbereik 88-93mm,
M16 uitw /M10 inw. Sikla Ratio S (BP-S-SD3G/W-88-S).</t>
  </si>
  <si>
    <t>Muurbeugel met rubberinlage, middelzwaar, brand getest. Maatbereik
108-114mm, M16 uitw /M10 inw. Sikla Ratio S (BP-S-RS-108-S).</t>
  </si>
  <si>
    <t>Muurbeugel met rubberinlage, middelzwaar, brand getest. Maatbereik
116-125mm, M16 uitw /M10 inw. Sikla Ratio S (BP-S-RS-116-S).</t>
  </si>
  <si>
    <t>Muurbeugel met rubberinlage, zwaar, brand getest. Maatbereik 159-171mm,
M16 uitw /M10 inw. Sikla Ratio S (BP-S-RS-159-S).</t>
  </si>
  <si>
    <t xml:space="preserve">Muurplaat St M10 ELVZ ds50. Bevestigingsplaat, geschikt voor gebruik in
vastpuntconstructies.
Materiaal: staal, elektrolytisch verzinkt.
Draadaansluiting: M10.
Gatafstand: 54 mm (h.o.h).
Afmeting: 80 x 30 x 3mm.
Type: GPL (BPS-GPL-ST-M10-RS).
</t>
  </si>
  <si>
    <t xml:space="preserve">Houtdraadpen M10x60 elvz m. torx  á 100st (ALL) Houtdraadpen met torx
Afmeting: M10x60
Opp. Bescherming: elvz
Verpakkingseenheid: doos á 100st. (BPS-BS-BSCR-WC-M10/60)
Houtdraadpen m8x70 elvz m.zeskant a100st (ALL)
</t>
  </si>
  <si>
    <t xml:space="preserve">Houtdraadpen M10x80 elvz m. torx  á 100st (ALL)
Houtdraadpen met torx
Afmeting: M10x80
Opp. Bescherming: elvz
Verpakkingseenheid: doos á 100st. (BPS-BS-BSCR-WC-M10/80)
</t>
  </si>
  <si>
    <t xml:space="preserve">Houtdraadpen M10x100 elvz m. torx  a100st (ALL)
Houtdraadpen met torx
Afmeting: M10x100
Opp. Bescherming: elvz
Verpakkingseenheid: doos a100st. (BPS-BS-BSCR-WC-M10/100)
</t>
  </si>
  <si>
    <t xml:space="preserve">Houtdraadpen M10x120 elvz m. torx  á 50st (ALL)
Houtdraadpen met torx Afmeting: M10x120
Opp. Bescherming: elvz
Verpakkingseenheid: doos á 50st. (BPS-BS-BSCR-WC-M10/120)
</t>
  </si>
  <si>
    <t xml:space="preserve">Houtdraadpen M10x140 elvz m. torx  á 50st (ALL)
Houtdraadpen met torx
Afmeting: M10x140
Opp. Bescherming: elvz
Verpakkingseenheid: doos á 50st. (BPS-BS-BSCR-WC-M10/140)
</t>
  </si>
  <si>
    <t>Revisie set B (O-ringen) Mueller-T.</t>
  </si>
  <si>
    <t>Set voor afdichting kabelinvoering geschikt voor afdichten kabel in een
invoerbuis 75 mm.</t>
  </si>
  <si>
    <t>Set voor afdichting kabelinvoering geschikt voor afdichten kabel in een
invoerbuis 110 mm.</t>
  </si>
  <si>
    <t xml:space="preserve">Pijpsnijder Ridgid C model.
Voorzien van automatische voeding en snelwisselsysteem voor het snijwiel
Type: 60668
</t>
  </si>
  <si>
    <t xml:space="preserve">Steunbus met keg, ondersteuningsbus type keg van AVK vervaardigd uit
roestvast staal AISI 304, gebeitst en gepassiveerd.
</t>
  </si>
  <si>
    <t>Inschakelmechanisme voor Magnefix MF.</t>
  </si>
  <si>
    <t xml:space="preserve">Stroomtrafo t.b.v. comptable meting AC5 klantinstallaties (60/5 90/5 en
135/5).
</t>
  </si>
  <si>
    <t>Steunbus met keg, ondersteuningsbus type keg van AVK vervaardigd uit
roestvast staal AISI 304, gebeitst en gepassiveerd.</t>
  </si>
  <si>
    <t xml:space="preserve">Knevelapparaat voor het knevelen van PE buis 25mm, 32mm en 40mm SDR11 en
SDR17,6.
</t>
  </si>
  <si>
    <t>Zaagblad recipro metaal 3-8mm (5st); Bi-metaal, gezet en gefreesd.
Toepassing: Dik staal (3-8 mm), massieve buizen/profielen (ø 10-100 mm),
snel zagen. Totale lengte: 150 mm. Verpakt per 5 stuks. Type S922BF.
Reciprozaagblad Bosch S922BF T1,8mm BiM kaart a5st.</t>
  </si>
  <si>
    <t>Deksel voor oude HAK kasten. Deksel is dichte uitvoering (geen
uitsparingen).
Afmetingen: H x W x D = 99 x 218 x 63 mm.</t>
  </si>
  <si>
    <t xml:space="preserve">Gas meter
Supplier:    Apator Metrix
Type:   2UG G6
Meter code:  G0085
Measurement principle:  Diaphragm
Class:   1,5
Capacity:  G6 (0,06 – 10 m³/h)
Compliance:  EN-1359
Temperature correction:  None
Pressure correction: None
Valve:   None
Communication:  None
Nominal boss diameter: DN20
Centre distance bosses: 220 mm
Threat bosses:  GM¾".
</t>
  </si>
  <si>
    <t>Gasmeter
Fabricaat:  Apator Metrix
Type:   UG G10
Metercode:  G0086
Meetprincipe:  Balg
Klasse:   1,5
Capaciteit:  G10 (0,10 – 16 m³/h)
Compliance:  EN-1359
Temperatuurcorrectie: Geen
Drukcorrectie:  Geen
Klep:   Geen
Communicatie:  Geen
Nominale diameter:  DN50
Hartafstand:   300 mm
Schroefdraad:  G2" .</t>
  </si>
  <si>
    <t xml:space="preserve">Gasmeter
Fabricaat:  Apator Metrix
Type:   UG G16
Metercode:  G0087
Meetprincipe:  Balg
Klasse:   1,5
Capaciteit:  G16 (0,16 – 25 m³/h)
Compliance:  EN-1359
Temperatuurcorrectie: Geen
Drukcorrectie:  Geen
Klep:   Geen
Communicatie:  Geen
Nominale diameter:  DN50
Hartafstand:   300 mm
Schroefdraad:  G2"  .
</t>
  </si>
  <si>
    <t>Gas meter
Supplier:    Apator Metrix
Type:                         UG G25
Meter code:  G0088
Measurement principle:  Diaphragm
Class:   1,5
Capacity:  G25 (0,25 – 40 m³/h)
Compliance:  EN-1359
Temperature correction:  None
Pressure correction: None
Valve:   None
Communication:  None
Nominal boss diameter: DN65
Centre distance bosses: 400 mm
Threat bosses:  G2 1/2"  .</t>
  </si>
  <si>
    <t xml:space="preserve">Zaagblad Recipro T1mm BiM 5st; Bi-metaal, gegolfd en gefreesd.
Totale lengte: 150mm
</t>
  </si>
  <si>
    <t>Aluminium aanboorzadel voor 22mm koper. Speciaal aanboorzadel ontwikkeld
voor de haakseplugkraan te vervangen m.b.v. de Mewis –set van Ipco
i.c.m. de T-Stopper. Met opdruk 22mm.</t>
  </si>
  <si>
    <t xml:space="preserve">Inbussleutel haaks Torx T20; Inbussleutel voor Torx schroeven, korte
uitvoering. Vervaardig uit mat verchroomd volledig gehard speciaal
staal.
</t>
  </si>
  <si>
    <t xml:space="preserve">RTU kast voor bewaking om de redundantie van AC6-installaties die N-1
uitgevoerd zijn te bewaken. De RTU-kast bevat een ABB RTU, klemmen en
doorvoeren voor verbinding met de schakelinstallatie en een draadloos
modem met antenne.
</t>
  </si>
  <si>
    <t xml:space="preserve">Gasmeteraansl flex KK/bu   3/4" L300
Flex voor kraankoppel G1";
G1"wm x R3/4"";
Kraankoppeling volgens NEN2542;
Schroefdraad volgens ISO7-1.
Uiteinden RVS303 , buitendraad is voorzien van karteling, Inclusief QA
keur of conform de Qa keur geproduceerd.
</t>
  </si>
  <si>
    <t>Kniekussen; Het Melkmeisje 853000 Kniekussen. Type: MM853000 / 853000.
EAN 8715629168407</t>
  </si>
  <si>
    <t>Perskabelschoen onder een hoek van 45 graden geschikt voor 25mm2 Cu,
boutgat 13 mm (M12). Volgens DIN 46235.</t>
  </si>
  <si>
    <t>Transparante krimpbuis met een bereik van 6,4 t/m 3,2 mm.</t>
  </si>
  <si>
    <t>Transparante krimpbuis met een bereik van 19 t/m 9,5 mm.</t>
  </si>
  <si>
    <t xml:space="preserve">Railcontacthaken voor NH1-3 LS stroken. Door de haak in de strook te
plaatsen en middels de haak over de rail te hangen.
</t>
  </si>
  <si>
    <t>Cilinder europr 1.8.5. DZ 50/40;
Dubbele profielcilinder type S8462 A20B10; Lengte cilinders 50 / 40mm;
Zonder monosleutels; No. 1.8.5;
Te openen door sleutels 1.1, 1.2 en 1.3; Tevens te openen door unieke
monosleutel 1.8.5; Artikelnummer ASSA ABLOY;
Te gebruiken als bouwcilinder voor inpandige ruimtes!</t>
  </si>
  <si>
    <t>Aardkabel geïsoleerd 1x25 mm2 Cu rond samengeslagen met een groen/gele
vinyl-mantel. H07V-R, H07V-U 450/750 V (U0/U).
Volgens NEN-EN 50525-2-31.</t>
  </si>
  <si>
    <t xml:space="preserve">Gasmeteraansluiting, flexibel,
met meetnippel,
Meterkoppeling/buitendraad,
diameter slang 3/4",
Lengte = 300,
Flex voor gasmeter G4/G6;
GM3/4"wm x R3/4";
Meterkoppeling volgens NEN3084;
Schroefdraad volgens ISO7-1;
Nippel volgens NEN1571. Uiteinden RVS303 , buitendraad is voorzien van
karteling, Inclusief QA keur of conform de Qa keur geproduceerd.
</t>
  </si>
  <si>
    <t>Montage set (2110359 Rev.1) voor het aansluiten van een AC6
gelijkrichterkast. Set bestaande uit:
1 st kabelschoen 16/6
1 st pen perskabelschoen
3 mtr Aardedraad 16mm2
4 st Fisher pluggen S10
4 st houtdraadbouten M8x50mm
8 mtr 3/4 hostalit buis (10 stukken van 800mm)
50 st 3/4 klemblok 3/4
50 st Fisher pluggen S6
50 st Spaanplaatschroeven bolkop 5x40mm T20
3 st        ¾ Sokken.</t>
  </si>
  <si>
    <t>Deksel voor (zwarte) ABB kasten. Deksel is met uitsparing voor
automaten.</t>
  </si>
  <si>
    <t>Deksel voor (zwarte) ABB kasten. Deksel is een dichte uitvoering.</t>
  </si>
  <si>
    <t>Deksel voor (blauwe) O&lt;(&gt;&amp;&lt;)&gt;K kast. Deksel is met uitsparing voor
automaten.</t>
  </si>
  <si>
    <t>Rolbandmaat 5m:
Rolbandmaat in verchroomd kunststof huis, voorzien van bandblokkeerknop,
automatische terugloop en riemklem.
Uitgevoerd met een extra brede, gewelfde band voor een verhoogde
stijfheid.
De band is aanvullend voorzien van een slijtvaste Mylar-deklaag, voor
een extra lange levensduur.</t>
  </si>
  <si>
    <t xml:space="preserve">Gasmeteraansluiting, flexibel,
Aansluiting: KraanKoppeling / buitendraad.
Lengte: 370 mm,
Flex voor kraankoppel G1";
G1"wm x R3/4";
Kraankoppeling volgens NEN2542;
Schroefdraad volgens ISO7-1.
Uiteinden RVS303 , buitendraad is voorzien van karteling, Inclusief QA
keur of conform de Qa keur geproduceerd.
</t>
  </si>
  <si>
    <t xml:space="preserve">Gasmeteraansluiting, flexibel. MeterKoppeling/buitendraad, diameter
3/4", Lengte: 400mm.
Flex voor gasmeter G4/G6; GM3/4" wm x R3/4"; Meterkoppeling volgens
NEN3084; Schroefdraad volgens ISO7-1; Nippel volgens NEN1571.
Uiteinden RVS303 , buitendraad is voorzien van karteling, Inclusief QA
keur of conform de Qa keur geproduceerd.
</t>
  </si>
  <si>
    <t xml:space="preserve">Gasmeteraansluiting, flexibel, diameter 3/4",
MeterKoppeling / KraanKoppeling
Lengte 390mm.
Flex voor gasmeter G4/G6; GM3/4" wm x G1" wm;
Meterkoppeling volgens NEN3084; Kraankoppeling volgens NEN2542;
Isolatiestuk volgens NEN7205.
Uiteinden RVS303 , buitendraad is voorzien van karteling, Inclusief QA
keur of conform de Qa keur geproduceerd.
</t>
  </si>
  <si>
    <t xml:space="preserve">Gasmeteraansluiting, flexibel. MeterKoppeling/buitendraad, diameter 1",
Lengte: 350mm. Flex voor gasmeter G4/G6; GM1" wm x
R1"; Meterkoppeling volgens NEN3084
volgens NEN1571.
Uiteinden RVS303 , buitendraad is voorzien van karteling, Inclusief QA
keur of conform de Qa keur geproduceerd.
</t>
  </si>
  <si>
    <t xml:space="preserve">Gasmeteraansluiting, flexibel, diameter 1", MeterKoppeling /
KraanKoppeling, Lengte 390mm. Flex voor gasmeter G4/
G6; GM1" wm x G1.1/4" wm; Meterkoppeling volgens NEN3084; Kraankoppeling
volgens NEN2542; Isolatiestuk volgens NEN7205.
Uiteinden RVS303 , buitendraad is voorzien van karteling, Inclusief QA
keur of conform de Qa keur geproduceerd.
</t>
  </si>
  <si>
    <t xml:space="preserve">Gasmeteraansluiting, flexibel, diameter: 1.1/4", aansluitingen:
binnendraad Rp1.1/4" / buitendraad R1.1/4", Lengte: 385mm. Schroefdraad
volgens ISO7-1.
Uiteinden RVS303 , buitendraad is voorzien van karteling, Inclusief QA
keur of conform de Qa keur geproduceerd.
</t>
  </si>
  <si>
    <t xml:space="preserve">Gasmeteraansluiting, flexibel, diameter: 1.1/4", aansluitingen:
KraanKoppeling / buitendraad, Lengte: 385mm. Flex voor kraankoppel
G1.1/2"; G1" wm x R1.1/4"; Kraankoppeling volgens
NEN2542; Schroefdraad volgens ISO7-1; Isolatiestuk volgens NEN7205.
Uiteinden RVS303 , buitendraad is voorzien van karteling, Inclusief QA
keur of conform de Qa keur geproduceerd.
</t>
  </si>
  <si>
    <t xml:space="preserve">Gasmeteraansluiting, flexibel, met meetnippel, diameter: 1.1/4",
aansluitingen: KraanKoppeling / buitendraad, Lengte: 385mm. Flex voor
kraankoppel G1.1/2"; G1" wm x R1.1/4"; Kraankoppeling
volgens NEN2542; Schroefdraad volgens ISO7-1; Isolatiestuk volgens
NEN7205.
Uiteinden RVS303 , buitendraad is voorzien van karteling, Inclusief QA
keur of conform de Qa keur geproduceerd.
</t>
  </si>
  <si>
    <t>Gasmeteraansluiting, flexibel.
Meterkoppeling/buitendraad, diameter 3/4"
Lengte: 300mm.
Flex voor gasmeter G4/G6; GM3/4" wm x R3/4"; Meterkoppeling volgens
NEN3084; Schroefdraad volgens ISO7-1; Nippel volgens NEN1571.
Uiteinden RVS303 , buitendraad is voorzien van karteling, Inclusief QA
keur of conform de Qa keur geproduceerd.
.</t>
  </si>
  <si>
    <t xml:space="preserve">PURschuim  (Spuitbus 750ml)
1-component isolatie- en montageschuim ten behoeve van het afdichten en
vullen van voegen, naden, kieren en ruimtes tussen bouwdelen. Hardt
zelfstandig uit onder invloed van vocht opgenomen uit de omringende
lucht alsmede de ondergrond.
Inhoud: spuitbus 750 ml.
Brandklasse: B3.
</t>
  </si>
  <si>
    <t xml:space="preserve">Gasmeteraansluiting, flexibel, diameter: 1.1/2", aansluitingen:
binnendraad Rp1.1/2" / buitendraad R1.1/2", Lengte: 470mm. Schroefdraad
volgens ISO7-1.
Uiteinden RVS303 , buitendraad is voorzien van karteling, Inclusief QA
keur of conform de Qa keur geproduceerd.
</t>
  </si>
  <si>
    <t>Gasmeteraansluiting, flexibel, diameter: 1.1/2", aansluitingen:
KraanKoppeling / buitendraad, Lengte: 470mm.
Flex voor kraankoppel G2"; G2" wm x R1.1/2"; Kraankoppeling volgens
NEN2542;
Schroefdraad volgens ISO7-1; Isolatiestuk volgens NEN7205.
Uiteinden RVS303 , buitendraad is voorzien van karteling, Inclusief QA
keur of conform de Qa keur geproduceerd.</t>
  </si>
  <si>
    <t xml:space="preserve">Gasmeteraansluiting, met isolatiekoppeling, flexibel, diameter: 1.1/2",
aansluitingen: KraanKoppeling / buitendraad
Lengte: 470mm.
Flex voor kraankoppel G2"; G2" wm x R1.1/2"
NEN2542; Schroefdraad volgens ISO7-1
Uiteinden RVS303 , buitendraad is voorzien van karteling, Inclusief QA
keur of conform de Qa keur geproduceerd.
</t>
  </si>
  <si>
    <t xml:space="preserve">Gasmeteraansluiting, flexibel, diameter: 1.1/2", aansluitingen:
KraanKoppeling / buitendraad, Lengte: 550mm.
Flex voor kraankoppel G2"; G2" wm x R1.1/2"
NEN2542
Schroefdraad volgens ISO7-1; Isolatiestuk volgens NEN7205.
Uiteinden RVS303 , buitendraad is voorzien van karteling, Inclusief QA
keur of conform de Qa keur geproduceerd.
</t>
  </si>
  <si>
    <t xml:space="preserve">Gasmeteraansluiting, met meetnippel, flexibel, diameter: 1.1/2",
aansluitingen: KraanKoppeling / buitendraad, Lengte: 470mm. Flex voor
kraankoppel G2"; G2" wm x R1.1/2"; Kraankoppeling
volgens NEN2542; Schroefdraad volgens ISO7-1; Isolatiestuk volgens
NEN7205.
Uiteinden RVS303 , buitendraad is voorzien van karteling, Inclusief QA
keur of conform de Qa keur geproduceerd.
</t>
  </si>
  <si>
    <t xml:space="preserve">Gasmeteraansluiting, met meetnippel, geisoleerd,
gasmeter- x kraankoppeling. Diam.inw. 1.1/2"" (DN40).
Flex voor gasmeter G10/G16 met
kraankoppelling G2""wm x R1.1/2";
Kraankoppeling volgens NEN2542; Schroefdraad volgens ISO7-1; Nippel
volgens NEN1571.
type: EGI 5 x 470 x 1.1/2".
Uiteinden RVS303 , buitendraad is voorzien van karteling, Inclusief QA
keur of conform de Qa keur geproduceerd.
</t>
  </si>
  <si>
    <t xml:space="preserve">Gasmeteraansluiting, flexibel, diameter: 2", aansluitingen: binnendraad
Rp2" / buitendraad R2", Lengte: 520mm. Schroefdraad
volgens ISO7-1.
Uiteinden RVS303 , buitendraad is voorzien van karteling, Inclusief QA
keur of conform de Qa keur geproduceerd.
</t>
  </si>
  <si>
    <t>Batterijlader (AA en AAA) !K;
Varta LCD Plug Charger+ 4x AA 56706 2100 mAh.
Diverse beveiligingen, Ruimtebesparend, USB-uitgang.</t>
  </si>
  <si>
    <t xml:space="preserve">Huisaansluitkast verzwaringen set 3-fase met mespatroonhouder voor
verzwaring naar 3x80A aansluiting.
Complete set met bedrading, aardingsset, kabelinvoer, mespatroonhouder
in onderbak HAK, dichtte deksel. (geen meterbord).
Combinatie wordt geleverd zonder drie mespatronen, bestel hiervoor de:
20019510, Mespatroon  80A DIN-000 gG (geleverd per stuk).
</t>
  </si>
  <si>
    <t xml:space="preserve">Spanband met ratel. Sjorband 2 delig 50 x 2000mm, Oranje.
Rateldeel 0.40 mtr. windseldeel 1.60 mtr.
Met standaard ratel en spitshaken.
- maximale sjorkracht: 2500daN
- lengte 2 m
- breedte 50 mm
</t>
  </si>
  <si>
    <t xml:space="preserve">Testboy 114.
</t>
  </si>
  <si>
    <t xml:space="preserve">Koffiezetapparaat 1,5l Zwart
Fabr: Domo
Type: DO 472K
</t>
  </si>
  <si>
    <t>Hamerboor Raltec GK-009 16x600mm SDS+ 2-snijder</t>
  </si>
  <si>
    <t>Betonboor 14x600mm.
Hoogwaardige hamerboor geschikt voor boormachines voorzien van SDS-plus
opname.
Deze 2-snijder boor is voorzien van een dubbele spiraal, voor een sterk
verbeterde stofafvoer.</t>
  </si>
  <si>
    <t>Meetkoffer v Gasstation (Plexor PN16); Draagbaar PLEXOR® test apparaat
PN16-3. Wordt geleverd ZONDER slangen voor in- en uitlaatdruk WEL met de
ontluchtingsslang.!! Slangen voor de in- en uitlaatdruk worden gemaakt
bij de werkplaats in Duiven.
Plexor-set omvat:
Drukbereik : 20 mbar – 16 bar.
Norm : EN14382
Gestandaardiseerde drukstijging ingesteld op max. 1,5%
ATEX : II 1G Ex ia op is IIC T3 Ga
IECEx : Ex ia op is IIC T3 Ga
Zone : Zone 0
PLEXOR® Koffer : slagvaste beschermkoffer IP beschermingsklasse : IP67
Extra : Mogelijkheid testen sluitdruk regelaar.
Inclusief : kalibratiecertificaat, gelamineerde A4 instructie vellen,
acculader, reservebatterijen en reserve O-ringen
Artikelnummer : O20016NLS
Digitale manometer HM35 Ex, inclusief snelwisselhouder PN16
Producent : Huber
Meetbereik : 0 – 300 mbar
Nauwkeurigheidsklasse: 0,1% RDG
ATEX : EEx ia IIC T4
Uitgangen : infrarood en RS-232
Inclusief : snelwisselhouder met overdrukbeveiliging en
kalibratiecertificaat
Artikelnummer : O21600300
Digitale manometer HM35 Ex, inclusief snelwisselhouder PN16
Producent : Huber
Meetbereik : 0 – 17 bar
Nauwkeurigheidsklasse: 0,1% RDG
ATEX : EEx ia IIC T4
Uitgangen : infrarood en RS-232
Inclusief : snelwisselhouder met overdrukbeveiliging en
kalibratiecertificaat
Artikelnummer : O21617000
Ontluchtingsslang PLEXOR® PN16
Type : DN6
Lengte : 10 Meter
Slang : nylon
Inclusief : S-Chiffon
Artikelnummer : O20720</t>
  </si>
  <si>
    <t xml:space="preserve">Enkelzijdige cilinder Europrofiel 17mm.
Standaard uitvoering.
Lengte: 30,5 mm (buitenzijde) + 9,5 mm (binnenzijde).
Cataloguslengte = 30 mm.
Code 1.7.1. (Laadpalen).
Zonder sleutels.
Fabr. Lips, Type Trivium S8461.
</t>
  </si>
  <si>
    <t xml:space="preserve">Geschermde haakse (elbow) steker
geschikt voor A-conus interface (set van 3) voor XLPE 15kV 3x1x16 mm2
Cu,
inclusief 3 schroefkabelschoenen 16 mm2 en
3 schroefkabelschoenen 10-50 mm2 met gat 10,5 mm voor het aardscherm.
</t>
  </si>
  <si>
    <t>DN80 - mechanisch bereik 84-105 op PE 110mm.
Maximale werkdruk MOP 8 bar.
Materiaal: behuizing nodulair gietijzer GGG45.
Klemring: Nodulair gietijzer GGG45.
Coating: resicoat epoxy poedercoating.
Type: RT Varioseal ring.
NBR volgens EN 682.
Unifiksring: Progressieve afdichting POM en glasvezel Uni fiksers.
RVS A4 (AISI 316)
Bouten: RVS A2 voorzien van teflon.
Moeren: gegalvaniseerd en gepassiveerd.
Onderlegring: RVS A2 (AISI 316)
PE spie-eind: PE100 SDR11.</t>
  </si>
  <si>
    <t>Alumilium aanboorzadel voor 28mm koper met voor gemonteerde kraan 1".
 Met opdruk 28mm.</t>
  </si>
  <si>
    <t>Combihamer geschikt v. afzuigsyst. 18V z. accu/ader: Boorhamer Bosch
GBH18V-26 18V zonder accu/lader in doos. Voor stofafzuig hulpmiddelen
zie hiërarchie 040708 Stofafzuiging
De GBH 18V-26 Professional is de allrounder in de Bosch SDS plus
accuboorhamerklasse, waardoor hij perfect is voor dagelijks gebruik. Een
optionele GDE 18V-16 Professional stofafzuigeenheid kan op de hamer
worden bevestigd, zodat een op zichzelf staande HEPA-stofoplossing voor
maximale mobiliteit ontstaat. De boorhamer beschikt ook over KickBack
Control en Electronic Precision Control (EPC) voor een betere
machinehantering en grotere gebruikersbescherming. De krachtige motor
levert een slagenergie van 2,6 J en zorgt voor een snelle
materiaalafname.
Toepassing; Deze machine is bestemd voor het boren en beitelen in beton,
metselwerk, hout en metaal. Deze is compatibel met diverse
stofafzuighulpstukken evenals alle Bosch Professional 18V-accu's en
opladers (Professional 18V System).</t>
  </si>
  <si>
    <t>Steunbus met keg, ondersteuningsbus type keg vervaardigd uit roestvast
staal AISI 304, gebeitst en gepassiveerd.</t>
  </si>
  <si>
    <t xml:space="preserve">Roerstaafjes hout. Lengte 140mm.
Verpakt in een doos van 500 stuks.
</t>
  </si>
  <si>
    <t xml:space="preserve">Stofafzuig unit v. accu Bosch Boorhamer; HEPA-filter voor een
geoptimaliseerde stofopvang, waarbij 99,97% van de stofdeeltjes groter
dan 0,3 micrometer worden verwijderd. Auto Power-functie zorgt voor
inschakelen bij het boren en uitschakelen twee seconden nadat de
boorschakelaar wordt losgelaten. Functies omvatten Auto Power, Bit
Target en een stofcapaciteitsaanduiding.
Compatibel met:
GBH 18V-26 en GBH 18V-26 F
Boordiameter max. 16 mm
Maximale boordiepte: 100 mm
Gewicht: 1.200 gram
Type nummer;1 600 A00 51M.
</t>
  </si>
  <si>
    <t>Veerring platst. conform DIN127B M16, Afmeting 16,2x27x3,5 mm,
Oppervlaktebehandeling elektrolytisch verzinkt, Verpakkingseenheid: doos
a100st.</t>
  </si>
  <si>
    <t>Binnenzeskantschroef DIN912 M16x70 8.8 elvz CK ds a25st. Metaalschroef
voorzien van cilinder kop met inbus en metrische schroefdraad. Afmeting:
M16 x 70 mm. Norm: DIN912. Materiaal: staal, klasse 8.8 elektrolytisch
verzinkt. Verpakkingseenheid: doos à 25 stuks.</t>
  </si>
  <si>
    <t xml:space="preserve">Afsluitplug voor POLSAFE zadel. Voorzien van gasdraad 2½". Materiaal:
PVC-slagvast (CPE/PVC-A ).
</t>
  </si>
  <si>
    <t xml:space="preserve">Inbussleutel zeskant 2,5mm, lengte ca. 115mm in T-model, T-greep,
Volgens norm NEN-EN-IEC 60900, (dompelisolatie) (VDE). Handgreep dient
volledig gesloten te zijn. Voor werkzaamheden aan spanningvoerende delen
tot 1.000 V AC en 1500V DC. (lemp 117325)
</t>
  </si>
  <si>
    <t xml:space="preserve">Gereedschapstas (KV); Facom gereedschapkoffer BS.R20. Grote capaciteit
in binnen- en buitenvakken. Effectieve inhoud: 33l, Uitvoering 6
buitenvakken. Duurzaam en sterk nylonweefsel, 1200 x 1200 denier
Eenvoudige toegang tot alle vakken, 3 draagmogelijkheden: comfortabele
en ergonomische aluminiumhandgreep; Praktische telescoophandgreep voor
het rollen van de tas; Ergonomisch gevoerde schouderband.
Volume 33 l, Belastbaarheid (max.) 20 kg, Kleur Zwart/Rood. Materiaal
Nylon. Afmetingen: (b x h x d) 550 x 440 x 360 mm. Gewicht 5500 gram.
</t>
  </si>
  <si>
    <t>Mantelschiller v XLPE MS-kabel (US15 Pro); met dit gereedschap is
eenvoudig de PE buitenmantel van de XLPE MS kabel te verwijderen. Is een
veelzijdig gereedschap dat in staat is om spleet-, ring- en
spiraalsnedes uit te voeren op kabeldiameters van 10 tot 60 mm.
Uitgerust met een blad van gehard staal, zorgt het gereedschap voor
snelle, veilige en nauwkeurige verwijdering van de mantel van zowel
harde als zacht geïsoleerde kabels zonder de onderliggende lagen te
beschadigen. De mesdiepteknop kan tot 4,5 mm worden afgesteld in stappen
van 0,05 mm en is voorzien van een handige inch- of metrische schaal
voor gegarandeerde precisie. Type; US15 Pro Large Format Cable Slitter</t>
  </si>
  <si>
    <t>Montagebeugel voor aftakbare-stroomtrafo.</t>
  </si>
  <si>
    <t>Rittal Sleutel; Dubbelbaard D5 Sleutel voor binnenwerken t.b.v.
kast/lessenaar. Type: SZ 2531000.</t>
  </si>
  <si>
    <t>Aanboorsetje bestaat uit: 1/2" kogelkraan bu-bi verzinkt messing,
malleable stop 1/4", messing stop 1/8" messing, verloop 1/8" naar 1/4"
bu -bi verzinkt messing.</t>
  </si>
  <si>
    <t>Boor 5,0 mm, lengte 245 mm HSS.</t>
  </si>
  <si>
    <t xml:space="preserve">Metaalboor Dormer A002 8,80 mm HSS TiN HSS, met TiN-tip coating. De TiN
coating op de blanke boor biedt extra weerstand tegen slijtage, verlaagt
de wrijvingsweerstand en biedt de mogelijkheid om de snijsnelheden te
verhogen. DIN 338, boor 8,8 mm HSS.
</t>
  </si>
  <si>
    <t>Metaalboor Dormer A002 11,8 mm HSS TiN HSS, met TiN-tip coating. De TiN
coating op de blanke boor biedt extra weerstand tegen slijtage, verlaagt
de wrijvingsweerstand en biedt de mogelijkheid om de snijsnelheden te
verhogen. DIN 338, boor 11,8 mm HSS.</t>
  </si>
  <si>
    <t>Alumilium aanboorzadel voor 35mm koper met voor gemonteerde kraan 1¼".
Blokzadel met opdruk 35mm.</t>
  </si>
  <si>
    <t>Ipcosafe stop 1 1/4", I-Stop, artikelnummer 30ISTOP1¼".</t>
  </si>
  <si>
    <t>Gatzaag 29mm FT CU,  voor het aanboren icm het IPCO aanboortoestel
(Mewis-set) van koperen leidingen 35mm tbv het vervangen van de m
eterbeugel.</t>
  </si>
  <si>
    <t>Slang, doorzichtig, voorzien van koppelingen aan beide zijden.</t>
  </si>
  <si>
    <t xml:space="preserve">Pomp voor in te brengen inject2seal injectie vloeistof, speciaal
geproduceerde pomp voor het injecteren van de I2S vloeistof.
</t>
  </si>
  <si>
    <t>Handpomp ,spuitje balspuit, balg voor schoonblazen aanboorgat bij tappen
van draad in gietijzeren mofverbindingen, I2S inject2seal.</t>
  </si>
  <si>
    <t>Injectievloeistof geel 1000 ml. De gele versie heeft een hoge
viscositeit.</t>
  </si>
  <si>
    <t>Injectievloeistof blauw 1000ml. De blauwe versie heeft een lage
viscositeit.</t>
  </si>
  <si>
    <t xml:space="preserve">Ciilinder europr 1.8.5. EZ 65/30;
Enkele profielcilinder type S8461 A10. Zonder monosleutels.
Te openen door sleutels 1.1, 1.2 en 1.3. Tevens te openen door unieke
monosleutel 1.8.5 Artikelnummer ASSA ABLOY.
</t>
  </si>
  <si>
    <t xml:space="preserve">Statische kWh-meter voor AMR
Producent:    Kaifa
Type:     MA105
Nauwkeurigheidsklasse   MID A
Aantal fasen:    1
Aansluiting:    Direct
Spanning (V):    230 V
Stroom (A):    5(80)
Aantal energierichtingen:  2
Tariefprogramma:   Conform Configuration List
Communicatiemedium:   LTE-M
Protocol:    DLMS
DSMR Compliant:   SMR 5.5
 (Dutch Smart Meter Requirement)
Barcode    Conform Liander Standaard + QR code
</t>
  </si>
  <si>
    <t xml:space="preserve">Statische kWh-meter voor AMR
Producent:    Kaifa
Type:     MA304
Nauwkeurigheidsklasse   MID A
Aantal fasen:    3
Aansluiting:    Direct
Spanning (V):    3 x 230/400 V
Stroom (A):    0,25 - 5(100)
Aantal energierichtingen:  2
Tariefprogramma:   Conform Configuration List
Communicatiemedium:   LTE-M
Protocol:    DLMS
DSMR Compliant:   SMR 5.5
 (Dutch Smart Meter Requirement)
Barcode    Conform Liander Standaard + QR code
</t>
  </si>
  <si>
    <t>Afdekprofiel met breekpoorten 24x9mm voor beveiligingsautomaten
GE (voorheen)
naam: Inklikbaar vulstuk OKNEN
type: 10101284
ABB (huidig)
naam: Afdekprofiel afbreekbaar 16 x 9 mm
type: ADP8</t>
  </si>
  <si>
    <t>Afvalzakken tbv Asbestzakken buitenzakken met opdruk.
Afmeting: 1200 x 1300 x 0.15 mm.</t>
  </si>
  <si>
    <t>Verlengde Dopsleutel 22mm, M14 speciaal geschikt voor aandraaien bouten
en  moeren bij RVS- Zadels en multi-joints.</t>
  </si>
  <si>
    <t>Verlengde Dopsleutel 24mm, M16 speciaal geschikt voor aandraaien bouten
en  moeren bij RVS- Zadels en multi-joints.</t>
  </si>
  <si>
    <t>Verlengde Dopsleutel 30mm, M20 speciaal geschikt voor aandraaien bouten
en  moeren bij RVS- Zadels en multi-joints.</t>
  </si>
  <si>
    <t>Straatpot gas 580x600mm kunststof voor afblaas. Bestaat uit bovenkader
,onderkader, 4 stuks POM-pluggen en
inlegplaatje.</t>
  </si>
  <si>
    <t>Inlegplaatje v straatpot kunststof.</t>
  </si>
  <si>
    <t>Snijtouw (2x2m.); twee lengtes snijtouw van twee meter in een zakje.</t>
  </si>
  <si>
    <t>Sleutel opvulplaat Aluminium (klein). Afmeting  120x85x3mm.</t>
  </si>
  <si>
    <t>Sleutel opvulplaat Aluminium (groot). Afmeting  140x105x3mm.</t>
  </si>
  <si>
    <t>Sleutel plaat recht zonder afdekplaatje (klein). Afmeting  135x60x1,5
mm.</t>
  </si>
  <si>
    <t xml:space="preserve">Sleutel plaat recht met afdekplaatje (klein). Afmeting  135x60x1,5 mm.
</t>
  </si>
  <si>
    <t>Sticker "verrebediend" (pak=10st) + UV bestendig. Stickers per 10 stuks
verpakt.</t>
  </si>
  <si>
    <t xml:space="preserve">Drukwerkset nieuwbouw elektra.
Inhoud: Liander Elektra attentiekaartje met storingssticker.
In een verpakking zitten 125 stuks.
Formaat : kaartje 74 x 105 mm
sticker 74 x 52 mm
Prepress : ongewijzigde herdruk
Bedrukking : éénzijdig in full colour
Papier : kaartje 250 grams hello silk
sticker zelfklevend wit vinyl
Afwerking : nasnijden en kaartje voorzien van boorgat 8 mm.
</t>
  </si>
  <si>
    <t>Drukwerk gas kaartjes: set -Gas. Bestaat uit: sticker gas of
stroomstoring?, Attentie! Kaartje gas.
Setje bestaat uit zakjes met 125 kaartjes + 125 stickers.</t>
  </si>
  <si>
    <t>Afschermlaars voor bushing met diameter 46-70 mm, set van 3.</t>
  </si>
  <si>
    <t xml:space="preserve">Gasmeter
Fabricaat:  Honeywell
Type:   BK-G6 ETeB
Meetprincipe:  Balg
Klasse:   1,5
Capaciteit:  G4-G6 (0,04 – 10 m³/h)
Compliance:  SMR 5.0
Temperatuurcorrectie: Ja
Drukcorrectie:  Ja ( luchtdruk: 1015,5 mbar; voordruk: 28 mbar)
Klep:   Geen
Communicatie:  Mbus Draadloos
Nominale diameter:  DN20
Hartafstand:   220 mm
Schroefdraad:  GM¾"
</t>
  </si>
  <si>
    <t xml:space="preserve">Gasmeter
Fabricaat:  Honeywell
Type:   BK-G16 ETeB
Meetprincipe:  Balg
Klasse:   1,5
Capaciteit:  G10-G16 (0,1 – 25 m³/h)
Compliance:  SMR 5.0
Temperatuurcorrectie: Ja
Drukcorrectie:  Ja ( luchtdruk: 1015,5 mbar; voordruk: 28 mbar)
Klep:   Geen
Communicatie:  Mbus Draadloos
Nominale diameter:  DN50
Hartafstand:   300 mm
Schroefdraad:  G2"
</t>
  </si>
  <si>
    <t xml:space="preserve">Gasmeter
Fabricaat:  Honeywell
Type:   BK-G25 ETeB
Meetprincipe:  Balg
Klasse:   1,5
Capaciteit:  G25 (0,25 – 40 m³/h)
Compliance:  SMR 5.0
Temperatuurcorrectie: Ja
Drukcorrectie:  Ja ( luchtdruk: 1015,5 mbar; voordruk: 28 mbar)
Klep:   Geen
Communicatie:  Mbus Draadloos
Nominale diameter:  DN65
Hartafstand:   400 mm
Schroefdraad:  G2½"
</t>
  </si>
  <si>
    <t>Verhogingsplint voor een drie velds Eaton Xiria installatie. Hoogte 25
cm.
Bij gelijktijdige bestelling installatie en plint wordt deze gemonteerd
onder de installatie geleverd.</t>
  </si>
  <si>
    <t xml:space="preserve">Afzethek Flexhek 150 cm kl 3 enkelzijdig;
Het afzethek klaphek model Flexhek is een zeer flexibel inzetbaar en
klapbaar verkeershek. Het hek kan eenvoudig door één persoon worden
opgezet.
Specificaties Materiaal Aluminium
Reflectieklasse: 3
Lengte: 150 cm
Zijden reflecterend: Enkel
Compleet met staanders: Ja
Hoogte profiel: 20 cm
Hoogte afzethek zonder staanders: 64 cm
Hoogte hek incl. staanders: 100 cm
Gewicht per los hek: 11,5 kg
Rode vlakken 2 x 2
Witte vlakken 2 x 1
</t>
  </si>
  <si>
    <t xml:space="preserve">Sleutel verstelbaar: verstelbare moersleutel met extra grote
bek-opening.
Hooggelegeerd kwaliteitsstaal, comfortabele anti-slip thermoplastische
greep. Schaalverdeling in mm t.b.v. instelling vooraf en nauwkeurig
meten. De bek valt niet uit de sleutel, zelfs niet bij de max.
bek-opening, 40% bredere bek-opening vergeleken met standaard
moersleutels, lichter in gewicht met comfortabele greep lengte.
Gefosfateerd, precisie gehard en roestwerend behandeld.
Lengte A= 270 mm
Bekbreedte B= max: 46,5 mm
EAN: 7314150181414
</t>
  </si>
  <si>
    <t>Fabrikant     Wago
Fabriekstype PCF200 Eindmodule
.</t>
  </si>
  <si>
    <t>Fabrikant     Wago
Fabriekstype PCF200
.</t>
  </si>
  <si>
    <t>Fabrikant             Wago
Fabriekstype Voeding 24Vdc
.</t>
  </si>
  <si>
    <t>Fabrikant             Virtual Access
Fabriekstype GW1042M-X-QFX-DC24
-------------------------------
Als voorraad op is kan Alliander Telecom deze afroepen/bestellen bij VA.
--------------------------------</t>
  </si>
  <si>
    <t>Glijmiddel P3 spray TL.
P3 Glijmiddel Spray TL is een glijmiddel dat afgestemd is op de
materialen die verwerkt zijn in de MDS blazen. Het glijmiddel wordt met
behulp van een spray aangebracht op de kopse kanten van de blaas. De
spray zorgt voor een egaal dun laagje op de oppervlakte van de blaas.
Daarnaast kan het glijmiddel ook gebruikt worden voor de smering van
rubbers om uitdroging te voorkomen.</t>
  </si>
  <si>
    <t xml:space="preserve">Matrijs zkt 50mm; Geschikt voor perskabelschoenen volgens DIN 46235 en
connectoren volgens DIN 46267, Cu.
D2250, code 14, krimpwijdte 5mm.
</t>
  </si>
  <si>
    <t>Multitool 18V; De accu multitool 18V-34 is een veelzijdige
en krachtige machine. Deze machine is bestemd voor uitsnijdingen
in meubels en bootrenovaties evenals het snijden van leidin
gen en spijkers. Deze kan worden gebruikt voor hout, kunststof
en metaal. De multitool beschikt ook over een LED-lamp,
waardoor werkplekken worden verlicht en de zichtbaarheid
bij het werk zelfs in het donker wordt verbeterd. Bovendien
maakt de Snap-in functie snel en gemakkelijk wisselen van
accessoires mogelijk. Het beschikt ook over functies als constant
toerental, softgrip en toerentalinstelling. Geleverd in
kartonnen doos zonder accu en lader.</t>
  </si>
  <si>
    <t>Sleutelplaat recht zonder afdekplaatje.</t>
  </si>
  <si>
    <t xml:space="preserve">Laagspanningsstrook. Afgaande groep. 160 A, 1-polig schakelbaar.
Beschermkap onder (over de kabelaansluiting onderzijde afgaande str
oken). Fabrikant Hager.
Inclusief:
- Beschermkap.
- Zakje met 6 bouten en sluitringen en 3 bevestigingsstukken.
</t>
  </si>
  <si>
    <t>Dubbeladapter 185 mm; H=62mm L=445mm B=100mm.
Afstand rail 185mm.</t>
  </si>
  <si>
    <t>Afdekplaat 50 mm breed voor dubbeladapter 185 mm; H=20mm L=670mm B=50mm.</t>
  </si>
  <si>
    <t>Inbus M12x30 met schotelveer (set à 3 stuks) Sleutelwijdte 10 mm,
Draadlengte 30 mm. Bestandsdeel staal.</t>
  </si>
  <si>
    <t xml:space="preserve">Multitool Zaagblad B.65mm (hout); Het Starlock AII 65 APC-zaagblad maakt
brede en nauwkeurige zaagsneden in hout. De afgeronde snijkant
(Curved-Tec) maakt nauwkeurig en vloeiend invalzagen mogelij.
Het platte ontwerp vermindert zwabberen en maakt gecontroleerd zagen
mogelijk door de directe krachtoverdracht. Starlock aansluiting voor
optimale krachtoverdracht en een gemakkelijke zaagbladwissel binnen drie
seconden. Bosch AII 65 APC.
</t>
  </si>
  <si>
    <t xml:space="preserve">Zaagblad v Multitool B32mm L50mm metaal ; PRO AIZ 32 AIB
voor een lange levensduur bij het zagen van zacht metaal.
Lange levensduur bij het zagen van zacht metaal.
Combineert harde tanden en een flexibel lichaam door bimetaallassen
Starlock aansluiting voor optimale krachtoverdracht en een gemakkelijke
zaagbladwissel binnen drie seconden.
</t>
  </si>
  <si>
    <t xml:space="preserve">Buispatroon houder Noark type zekering 10 x 38 mm, maximaal 32 A.
Toepassing alleen voor laadpalen en AKO (Aansluit-Kast-Onbemand)
 producten.
</t>
  </si>
  <si>
    <t xml:space="preserve">C-profiel voor in lichtmasten en onbemande objecten. Op dit C-profiel
wordt de OVL module of de AKO smal gemonteerd.
</t>
  </si>
  <si>
    <t>Waterkoker 0,8 ltr, 230 V !K.</t>
  </si>
  <si>
    <t>Acculader tbv kabelzoekapparaat RD8000-8200; voor het opladen van
oplaadbare lithium-ionbatterijen geschikt voor kabelzoekers RD 8000-8200
van Radiodetection.</t>
  </si>
  <si>
    <t xml:space="preserve">Gasmeter
Fabricaat:  Landis+Gyr
Familie:   G350
Type:   E06D4056+348A
Meetprincipe:  Ultrasoon
Klasse:   1,5
Capaciteit:  G4 (0,04 – 6 m³/h)
Compliance:  SMR 5.0
Temperatuurcorrectie: Ja
Drukcorrectie:  Ja ( luchtdruk: 1015,5 mbar; voordruk: 28 mbar)
Klep:   Geen
Communicatie:  Mbus Draadloos
Nominale diameter:  DN20
Hartafstand:   220 mm
Schroefdraad:  GM¾"
</t>
  </si>
  <si>
    <t xml:space="preserve">Sleutel voor lichtmastdeur (Vandaal);
Vandaalsleutel HYD AD Alu tbv lichtmast 70mm.
</t>
  </si>
  <si>
    <t xml:space="preserve">Statische kWh-meter voor AMR
Producent:    Sagemcom
Type:     MS212
Nauwkeurigheidsklasse   MID A
Aantal fasen:    1
Aansluiting:    Direct
Spanning (V):    230 V
Stroom (A):    0.25 - 5(80)
Aantal energierichtingen:  2
Tariefprogramma:   Conform Configuration List
Communicatiemedium:   LTE-M
Protocol:    DLMS
DSMR Compliant:   SMR 5.5
 (Dutch Smart Meter Requirement)
Barcode    Conform Liander Standaard + QR code
</t>
  </si>
  <si>
    <t xml:space="preserve">Statische kWh-meter voor AMR
Producent:    Sagemcom
Type:     MT212
Nauwkeurigheidsklasse   MID A
Aantal fasen:    3
Aansluiting:    Direct
Spanning (V):    3x 230/400 V
Stroom (A):    0.25 - 5(100)
Aantal energierichtingen:  2
Tariefprogramma:   Conform Configuration List
Communicatiemedium:   LTE-M
Protocol:    DLMS
DSMR Compliant:   SMR 5.5
 (Dutch Smart Meter Requirement)
Barcode    Conform Liander Standaard + QR code
</t>
  </si>
  <si>
    <t>Witte sticker 20x200 mm met opdruk v.l.n.r.; SPANNING LEVENSGEVAARLIJK –
gevarendriehoek elektriciteit – logo Liander. Materiaal 3M 3690
witglans. Afwerking 3M 8518 transparant glans laminaat. Voorzien van
rugsplit</t>
  </si>
  <si>
    <t xml:space="preserve">Deksel voor AKO (Aansluit-Kast-Onbemand) 1-fase AKO smal en AKO OVL
aansluitkast.
</t>
  </si>
  <si>
    <t xml:space="preserve">Fabricaat:  Flonidan
Type:   Uniflo G4 SRT
Meetprincipe:  Balg
Klasse:   1,5
Capaciteit:  G4 (0,04 – 6 m³/h)
Compliance:  SMR 5.0
Temperatuurcorrectie: Ja
Drukcorrectie:  Ja ( luchtdruk: 1015,5 mbar; voordruk: 28 mbar)
Klep:   Geen
Communicatie:  Mbus Draadloos
Nominale diameter:  DN20
Hartafstand:   220 mm
Schroefdraad:  GM¾
</t>
  </si>
  <si>
    <t xml:space="preserve">Fabricaat:  Flonidan
Type:   Uniflo G6 SRT
Meetprincipe:  Balg
Klasse:   1,5
Capaciteit:  G6 (0,06 – 10 m³/h)
Compliance:  SMR 5.0
Temperatuurcorrectie: Ja
Drukcorrectie:  Ja ( luchtdruk: 1015,5 mbar; voordruk: 28 mbar)
Klep:   Geen
Communicatie:  Mbus Draadloos
Nominale diameter:  DN20
Hartafstand:   220 mm
Schroefdraad:  GM¾"
</t>
  </si>
  <si>
    <t xml:space="preserve">Fabricaat:  Flonidan
Type:   Uniflo G10SRT/16SRT
Meetprincipe:  Balg
Klasse:   1,5
Capaciteit:  G10-G16 (0,10 – 25 m³/h)
Compliance:  SMR 5.0
Temperatuurcorrectie: Ja
Drukcorrectie:  Ja ( luchtdruk: 1015,5 mbar; voordruk: 28 mbar)
Klep:   Geen
Communicatie:  Mbus Draadloos
Nominale diameter:  DN40
Hartafstand:   300 mm
Schroefdraad:  G2"
</t>
  </si>
  <si>
    <t xml:space="preserve">Fabricaat:  Flonidan
Type:   Uniflo G25 SRT
Meetprincipe:  Balg
Klasse:   1,5
Capaciteit:  G25 (0,25 – 40 m³/h)
Compliance:  SMR 5.0
Temperatuurcorrectie: Ja
Drukcorrectie:  Ja ( luchtdruk: 1015,5 mbar; voordruk: 28 mbar)
Klep:   Geen
Communicatie:  Mbus Draadloos
Nominale diameter:  DN50
Hartafstand:   400 mm
Schroefdraad:  G2½"
</t>
  </si>
  <si>
    <t xml:space="preserve">Deksel voor compacte aansluit module 3 fase AKO(AansluitKastOnbemand)
breed.
</t>
  </si>
  <si>
    <t xml:space="preserve">Invoerpoort voor het invoeren van twee kabels aan de bovenzijde van de
AKO (Aansluit-Kast-Onbemand) smal (OVL).
</t>
  </si>
  <si>
    <t>AKO (AansluitKastOnbemand) breed met 1 x 40 A automaat. Betreft 3-fase
aansluitkast met een 1 x 40 A automaat welke geschikt is voor openbare
objecten.</t>
  </si>
  <si>
    <t>AKO (Aansluit-Kast-Onbemand)  breed 3-fase voorzien van mespatroon
houder en meterbord. Complete set. Let op mespatronen bestel je er apart
bij.</t>
  </si>
  <si>
    <t xml:space="preserve">"AKO (Aansluit-Kast-Onbemand)  breed 3-fase voorzien van 3 automaten 25
A en meterbord. Betreft de standaard voor het aansluiten van objecten in
de openbare ruimte.
Uitvoering beveiling met automaten. "
</t>
  </si>
  <si>
    <t xml:space="preserve">"AKO (Aansluit-Kast-Onbemand)  aansluitkast breed 3-fase voorzien van 3
buispatroonhouders (10 x 38 mm), 3 buispatronen 25 A en meterbord.
 Betreft de standaard voor het aansluiten van laadpalen en objecten in
de openbare ruimte.
Uitvoering beveiling inclusief buispatronen."
</t>
  </si>
  <si>
    <t>Kleine 1-fase aansluitkast voor straatmeubilair dat met 1 x 10 A en
bemeten wordt met een kWh-meter. Aansluitkast wordt met buispatr
oonhouder (10 x 38 mm), 1 buispatroon 10 A en meterbord geleverd.</t>
  </si>
  <si>
    <t>Kleine 1-fase aansluitkast voor straatmeubilair dat met 1 x 10 A en
zonder meter wordt aangesloten. Aansluitkast wordt met buispatroonhouder
(10 x 38 mm), 1 buispatroon 10 A geleverd.</t>
  </si>
  <si>
    <t xml:space="preserve">Koppelbrug om twee AKO (Aansluit-Kast-Onbemand) kasten aan elkaar te
koppelen boven elkaar.
</t>
  </si>
  <si>
    <t xml:space="preserve">"Mespatroonhouder met 3-polige bediening. Montage op DIN rail.
Deze wordt toegepast in de AKO (Aansluit-Kast-Onbemand) breed producten.
Mespatronen dienen los besteld te worden."
</t>
  </si>
  <si>
    <t>"Montageplaat voor compacte aansluit module 3-fase AKO
(Aansluit-Kast-Onbemand) breed.
De montageplaat wordt op een (achter)wand geplaatst waarop het meterbord
en aansluitkast geklikt wordt."</t>
  </si>
  <si>
    <t>Kunststof schuifhaak die in een AKO (Aansluit-Kast-Onbemand) 1-fase of
3-fase meterbord kan worden geschoven om een kWh-meter aan de bovenzijde
op het meterbord te bevestigen.</t>
  </si>
  <si>
    <t xml:space="preserve">Aansluitstekker voor AKO (Aansluit-Kast-Onbemand) aansluitmodule.
Hieraan is standaard  een kabelstuk 4 x 6 mm2,  lengte 3 meter gem
onteerd.
</t>
  </si>
  <si>
    <t>Aansluitstekker voor AKO (Aansluit-Kast-Onbemand) aansluitmodule.
Hieraan is standaard  een kabelstuk 4 x 6 mm2,  lengte 6 meter gem
onteerd.</t>
  </si>
  <si>
    <t xml:space="preserve">Aansluitstekker voor AKO (Aansluit-Kast-Onbemand) aansluitmodule.
Hieraan is standaard  een kabelstuk 4 x 6 mm2,  lengte 9 meter gem
onteerd.
</t>
  </si>
  <si>
    <t xml:space="preserve">Aansluitstekker voor AKO (Aansluit-Kast-Onbemand) aansluitmodule.
Hieraan is standaard  een kabelstuk 4 x 6 mm2,  lengte 12 meter ge
monteerd.
</t>
  </si>
  <si>
    <t xml:space="preserve">Aansluitstekker voor AKO (Aansluit-Kast-Onbemand) aansluitmodule.
Hieraan is standaard  een kabelstuk 4 x 16 mm2,  lengte 3 meter ge
monteerd.
</t>
  </si>
  <si>
    <t>Aansluitstekker voor AKO (Aansluit-Kast-Onbemand) aansluitmodule.
Hieraan is standaard  een kabelstuk 4 x 16 mm2,  lengte 6 meter ge
monteerd.</t>
  </si>
  <si>
    <t>Aansluitstekker voor AKO (Aansluit-Kast-Onbemand) aansluitmodule.
Hieraan is standaard  een kabelstuk 4 x 16 mm2,  lengte 9 meter ge
monteerd.</t>
  </si>
  <si>
    <t xml:space="preserve">Aansluitstekker voor AKO (Aansluit-Kast-Onbemand) aansluitmodule.
Hieraan is standaard een kabelstuk 4 x 16 mm2,  lengte 12 meter ge
monteerd.
</t>
  </si>
  <si>
    <t>Aansluitstekker voor AKO (Aansluit-Kast-Onbemand) aansluitmodule.
Hieraan is standaard  een kabelstuk 4 x 16 mm2,  lengte 15 meter g
emonteerd.</t>
  </si>
  <si>
    <t>Aansluitstekker OVL voor AKO aansluitmodule. Hieraan is standaard  een
OVL kabelstuk 3 x 2,5 mm2, lengte 3 meter gemonteerd.</t>
  </si>
  <si>
    <t>Aansluitstekker OVL voor AKO aansluitmodule. Hieraan is standaard  een
OVL kabelstuk 3 x 2,5 mm2, lengte 6 meter gemonteerd.</t>
  </si>
  <si>
    <t>Aansluitstekker OVL voor AKO aansluitmodule. Hieraan is standaard  een
OVL kabelstuk 3 x 2,5 mm2, lengte 9 meter gemonteerd.</t>
  </si>
  <si>
    <t xml:space="preserve">Aansluitstekker OVL voor AKO aansluitmodule. Hieraan is standaard  een
OVL kabelstuk 3 x 2,5 mm2, lengte 12 meter gemonteerd.
</t>
  </si>
  <si>
    <t xml:space="preserve">Aansluitstekker OVL voor AKO aansluitmodule. Hieraan is standaard  een
OVL kabelstuk 3 x 2,5 mm2, lengte 15 meter gemonteerd.
</t>
  </si>
  <si>
    <t>Sticker voor op de AKO (Aansluit-Kast-Onbemand) indien de Netbeheerder
aarde aanbied.</t>
  </si>
  <si>
    <t>Filter voor accu stofzuiger; het filter is voor de GAS 18V-10 L
Professional.</t>
  </si>
  <si>
    <t xml:space="preserve">Kaart met informatie voor klant om storing te voorkomen tot dat
aansluiting gesaneerd wordt.
Levering aan LSP/monteurs per blok met 50 vellen.
Omvang : 50 vel per blok
Formaat : 148 x 210 mm
Bedrukking : tweezijdig full colour
Papier : 160 grams bankpost
Afwerking : nasnijden, en per 50 vel lijmen aan de kop (210) op
onderbord
Verpakking : handzaam in dozen met vermelding van aantal en inhoud
</t>
  </si>
  <si>
    <t>Acculader tbv accu Radiodetection Zender TX5-10; voor het opladen van
oplaadbare lithium-ionbatterijen geschikt voor zenders TX5-TX10.</t>
  </si>
  <si>
    <t>Accu tbv Kabelzoekapp. RD8000-8200. Oplaadbare lithium-ionbatterijen
geschikt voor kabelzoekers RD 8000-8200 van Radiodetection.</t>
  </si>
  <si>
    <t>Accu tbv zender Radiodection TX 5-10. Oplaadbare lithium-ionbatterijen
geschikt voor zenders TX5 en TX10.</t>
  </si>
  <si>
    <t>Kabelbevestiging met 3x klemblok 26-38mm t.b.v. SIEMENS 8DJH
schakelinstallaties</t>
  </si>
  <si>
    <t>LS strook LVSG2CE Gr.2, 1-polig schakelen, M12 aansluiting.</t>
  </si>
  <si>
    <t>Handreinigingsdoekjes voor elektrotechniek.</t>
  </si>
  <si>
    <t>Ombouwset voor V-module met 3x1x630mm2 Al kabel. Los geleverd.
Stroomtransformatoren 3 x CT KOKM  072 DB 10. 600/1A; 5P20;.2VA.</t>
  </si>
  <si>
    <t>Enkelvoudige geïsoleerde aftakklem
geschikt voor hoofdkabel 16-150 mm2 met aftak 2,5-16 mm2.</t>
  </si>
  <si>
    <t>Basismodule voor meetkast regelbare distributietransformatoren VPD Parts
for MR2191818.</t>
  </si>
  <si>
    <t>Spanningsregelaar ECOTAP VPD CONTROL PRO t.b.v. meetkast regelbare
distributietransformatoren.</t>
  </si>
  <si>
    <t>Voeding. POWER SUPPLY Y Q-SERIE 80W t.b.v. meetkast regelbare
distributietransformatoren.</t>
  </si>
  <si>
    <t>Hoeklijn voor vloerframe 3-Velds ABB.</t>
  </si>
  <si>
    <t>Hoeklijn voor vloerframe 4-Velds ABB.</t>
  </si>
  <si>
    <t>Hoeklijn voor vloerframe 5-Velds ABB.</t>
  </si>
  <si>
    <t xml:space="preserve">Insteekkoppeling knie, 2 x insteekfitting , nominale aansluiting: 25mm x
25mm, materiaal POM, kleur koppeling zwart, Kleur O-ring geel, materiaal
O-ring NBR, trekring t.b.v. PE, Qa keur, HAWLE K6425.
</t>
  </si>
  <si>
    <t>Koppeling, mof-mof, met RVS (A2) bouten.
Nom. diam.: DN 400 x DN 400
Aansluitmaten: 392-433 x 392-433
Werkdruk: 5 bar (gas), 16 bar (water) NBR-afdichtingen.
Huis: Nodulair Gietijzer (GGG40)
Uni-Fiksers Inbouwlengte: 380 - 470 mm.
Fabrikant: Georg Fischer
Type : Multi-joint 3007+, trekvast.
LET OP! Bij toepassing op PE ALTIJD STEUNBUS TOEPASSEN</t>
  </si>
  <si>
    <t>Haakgereedschap (Midlock H-4-W), Met 4 haken. Lengte 165 mm. Eén
aluminium handgreep met magneet. De sterke haken draait u per stuk naar
keuze in het handvat. Voor het verwijderen van o-ringen in gasstations.</t>
  </si>
  <si>
    <t xml:space="preserve">Timmermanspotlood (rood); Timmermanspotlood Lyra van professionele
kwaliteit, hoge breukresistente stift, makkelijk te slijpen en zeer
geschikt voor hout.
Type: 333
Lengte: 240mm.
Rode buitenkant.
</t>
  </si>
  <si>
    <t>Accu 18V 5Ah (Makita); Accu geschikt voor diverse Makita 18 volt
machines.
Voorzien van LED-indicatie meter om de batterij-status af te lezen.
Type BL1850B
Capaciteit: Li-ion 18 V / 5 Ah.</t>
  </si>
  <si>
    <t xml:space="preserve">Acculader Makita 9,6-18V; Compacte snellader voor Lithium-ion en Ni-MH
schuifaccu´s van 9,6 t/m 18V.
De DC18RC heeft een koelventilator en Active 3 Controls. Dit betekent
dat tijdens het laden de laadspanning, laadstroom en temperatuur in de
gaten gehouden wordt.
Het koelsysteem blaast koellucht de accu in. Hierdoor worden hoge
temperaturen in de accu voorkomen, waardoor de levensduur van de accu
verlengd wordt en het laadproces versneld.
In combinatie met laadadapter ADP04 biedt deze lader ook de mogelijkheid
om Ni-Cd en Ni-MH staaf- en blokaccu´s van 7,2 t/m 18V te laden.
Specificaties:
Voltage : 9,6 - 18 Volt
Geschikt voor : Li-Ion accu's
Laadtijd : 45 minuten voor 3.0 Ah
</t>
  </si>
  <si>
    <t xml:space="preserve">Cilinder europr 1.8.5. EZ 50/10.
Enkele profielcilinder type S8461 A10 Zonder monosleutels.
</t>
  </si>
  <si>
    <t xml:space="preserve">PE-N doorverbinding tbv AKO compacte aansluitmodule. Deze
doorverbindstrip wordt een aarde/null koppeling aangebracht in een AKO
(CAM)product.
</t>
  </si>
  <si>
    <t xml:space="preserve">Statische kWh-meter voor AMR
Producent:   Iskraemeco
Type:    AM550-TD2.05
Nauwkeurigheidsklasse  MID A
Aantal fasen:   3
Aansluiting:   Direct
Spanning (V):   3 x 230/400 V
Stroom (A):   5(100)
Aantal energierichtingen:  2
Tariefprogramma:   Conform Configuration List
Communicatiemedium:   LTE-M
Protocol:    DLMS
SMR Compliant:   SMR 5.0
 (Smart Meter Requirements)
Schakelaar:   Geen
Barcode    Conform Liander Standaard.
</t>
  </si>
  <si>
    <t xml:space="preserve">Statische kWh-meter voor AMR
Producent:   Iskraemeco
Type:    AM550-ED1.05
Nauwkeurigheidsklasse  MID A
Aantal fasen:   1
Aansluiting:   Direct
Spanning (V):   230 V
Stroom (A):   5(80)
Aantal energierichtingen:  2
Tariefprogramma:   Conform Configuration List
Communicatiemedium:   LTE-M
Protocol:    DLMS
SMR Compliant:   SMR 5.0
 (Smart Meter Requirement)
Schakelaar:   Geen
Barcode    Conform Liander Standaard
</t>
  </si>
  <si>
    <t xml:space="preserve">Statische kWh-meter voor AMR
Producent:   Iskraemeco
Type:    AM550-TD2.05
Nauwkeurigheidsklasse  MID A
Aantal fasen:   3
Aansluiting:   Direct
Spanning (V):   3 x 230/400 V
Stroom (A):   5(100)
Aantal energierichtingen:  2
Tariefprogramma:   Conform Configuration List
Communicatiemedium:   CDMA
Protocol:    DLMS
SMR Compliant:   SMR 5.0
 (Smart Meter Requirements)
Schakelaar:   Geen
Barcode    Conform Liander Standaard .
</t>
  </si>
  <si>
    <t xml:space="preserve">Mespatroon 455A DIN 3
met middenmelder,
karakteristiek gTr,
type 004115407
voor trafo 315 kVA
</t>
  </si>
  <si>
    <t>Bedradingskoker CD (B 100 x H 80 mm) lengte 2 meter voorzien van
uitdrukpoorten.</t>
  </si>
  <si>
    <t xml:space="preserve">Omschrijving: OPSO-Pneumax HP
Veer: 888-888-513-063        1,0 – 2,5 barg (paars)
Setpoint: 1,4 barg
Aansluitmaten: 3/2 ventiel 1/4" BSP, afslagunit 1/4" BSP.
Geschikt voor een omgevingstemperatuur van - 20 °C tot + 60 °C.
</t>
  </si>
  <si>
    <t>Omschrijving: OPSO-Pneumax HP
Veer: 888-888-512-004        1,5 – 3,7 barg (Oranje-Geel)
Setpoint: 2,7 barg
Aansluitmaten: 3/2 ventiel 1/4" BSP, afslagunit 1/4" BSP.
Geschikt voor een omgevingstemperatuur van - 20 °C tot + 60 °C.</t>
  </si>
  <si>
    <t xml:space="preserve">Omschrijving: OPSO-Pneumax HP
Veer: 888-888-513-064        2,0 – 6,0 barg (Oranje-Groen)
Setpoint: 4,8 barg
Aansluitmaten: 3/2 ventiel 1/4" BSP, afslagunit 1/4" BSP.
Geschikt voor een omgevingstemperatuur van - 20 °C tot + 60 °C.
</t>
  </si>
  <si>
    <t xml:space="preserve">Railconsole Flamco (300 mm).
</t>
  </si>
  <si>
    <t xml:space="preserve">Zekering 6 A Ø 10,3 x 38 mm
Nominaal spanning 500 V, 120 kA.
Karakteristiek gG Afmeting 10,3 x 38 mm.
Toepassing AKO OVL lichtmast set.
</t>
  </si>
  <si>
    <t xml:space="preserve">Flamco Railconsole T.b.v. LS-Meten
</t>
  </si>
  <si>
    <t xml:space="preserve">MEM-001  Device t.b.v. LS Metingen,
exclusief rogowski spoelen.
Fabrikant         Mikronika
Fabriekstype MEM-001
</t>
  </si>
  <si>
    <t>Fabrikant              Mikronika
Fabriekstype CR-200
.</t>
  </si>
  <si>
    <t>Fabrikant      Mikronika
Fabriekstype CR-510
.</t>
  </si>
  <si>
    <t>Ampere/Watt tang; Met de Ampere/Watt tang kan teruglevering worden
gemeten. De tang meet ook werkelijk, schijnbaar en blind vermogen,
evenals energie, spanning, stroom, spanning- en stroomharmonischen tot
de 25ste met THD-calculatie en het draaiveld.
Het is mogelijk om de metingen te verrichten in een enkelefase systeem
en een gebalanceerd 3 fasen systeem. Het instrument is in staat een
aanloopstroom te meten vanaf 16,7 ms.</t>
  </si>
  <si>
    <t xml:space="preserve">Zeskanttapbout DIN931 - ISO 4014 M16x95
Staalklasse 8.8 elektrolytisch verzinkt volgens ISO 4042
XYLAN gecoat
Draadsoort: M16
Sleutelwijdte: 24 mm
Lengte steel: 95 mm
</t>
  </si>
  <si>
    <t>Koppeling recht (overgangsstuk),
materiaal: staal ongelegeerd, zink nikkel coating, aansluiting pers
1"staal x buitendraad 1" conisch ( R) Sanha, Profipress G (Gastec QA),
model 4611.
Voor stalen buis volgens NEN –EN 102220/10255.</t>
  </si>
  <si>
    <t>Koppeling recht (overgangsstuk),
materiaal: staal ongelegeerd, zink nikkel coating, aansluiting pers
¾"staal x buitendraad 3/4" conisch ( R) Sanha, Profipress G (Gastec QA),
model 4611.
Voor stalen buis volgens NEN –EN 102220/10255.</t>
  </si>
  <si>
    <t>Megapress G kap met SC Contur voor stalen buis volgens NEN EN
10220/10255 staal ongelegeerd, zink-nikkel coating persaansluiting inc
lusief afdichtingselement HNBR, snijring, scheidingsring model 4656, Kap, Dop, Eindkap.</t>
  </si>
  <si>
    <t>Megapress G kap met SC Contur voor stalen buis volgens NEN EN
10220/10255
staal ongelegeerd, zink-nikkel coating persaansluiting
inclusief afdichtingselement HNBR, snijring, scheidingsring model 4656,
Kap, Dop, Eindkap, 25mm.</t>
  </si>
  <si>
    <t>Koppeling recht (overgangsstuk),
materiaal: staal ongelegeerd, zink nikkel coating,
aansluiting pers 5/4"staal x buitendraad 5/4" conisch ( R)
Viega, Profipress G (Gastec QA), model 4611.
Voor stalen buis volgens NEN –EN 102220/10255.</t>
  </si>
  <si>
    <t>Hevelhendel artikelnummer Alfen 201900128
Handgreep/sloten die toegepast zijn op de compact stations na 2010.</t>
  </si>
  <si>
    <t>Flamco Railconsole T.b.v. LS-Meten</t>
  </si>
  <si>
    <t>Slotbout M8 x 80 elektrolytisch verzinkt, (doos 100st)</t>
  </si>
  <si>
    <t>Slotbout M8 x 40 elektrolytisch verzinkt, voorzien van overmaats
metrisch schroefdraad en zeskantmoer  (doos 200st)</t>
  </si>
  <si>
    <t xml:space="preserve">Gasmeteraansluitset G4/6 gAvilar voor gasmeterbeugel 30 mbar en 100mbar
QA-keur.
De aansluitset bestaat uit: Gasmeteraansluitset G4/6 gAvilar voor
gasmeterbeugel 30 mbar en 100mbar 28mm koper
QA-keur.
De aansluitset bestaat uit:
Verzegelkap ¾" gAvilar
Aansluitbocht met klikverbinding
Kogelkraan DN20, doorsnede 19mm, pers28mmx ¾"  --&gt; G1".
</t>
  </si>
  <si>
    <t>Schroevendraaier kruiskop3,5x 25 x 81, (Stubby) Toepassing voor
meetnippel gas. Korte uitvoering voor schroeven met sleuf, voorzien van
3-componentengreep,
met ophanggat.
type 2161 PZ 2.
Capaciteitsbereik M3,5 - M5;
Klinglengte 25 mm;
Lengte81 mm;
Klingdiameter 6,0 mm</t>
  </si>
  <si>
    <t>Perskabelschoen   1,5-2,5 mm2 Cu gat 6,5 mm (M6) Klauke</t>
  </si>
  <si>
    <t>Handmagneetschakelaar 25 A Acti9 iCT 2P 2M</t>
  </si>
  <si>
    <t xml:space="preserve">Materiaal: PVC-O
Diameter 400mm
Wanddikte: 9.8mm
Lengte: 10 meter
Gewicht per buis: +/- 178kg
Kleur: Creme
</t>
  </si>
  <si>
    <t xml:space="preserve">Zeskanttapbout DIN933 - ISO 4017 M16x85
Staalklasse 8.8 elektrolytisch verzinkt volgens ISO 4042
XYLAN gecoat
Draadsoort: M16
Sleutelwijdte: 24 mm
Lengte steel: 85 mm
</t>
  </si>
  <si>
    <t>Dopsleutel verlengd 19mm M12.</t>
  </si>
  <si>
    <t xml:space="preserve">Gasmeteraansluitset G4/6 Flex gAvilar voor gasmeterbeugel 30 mbar en
100mbar QA-keur. De aansluitset bestaat uit:
Verzegelkap ¾"
gAvilar
Flex koppeling L=300mm
Geïsoleerd BuWa G1" RVS 303 Klik
</t>
  </si>
  <si>
    <t>Gasmeteraansluitset G4/6 G4/6 PE 32 Nieuwbouw
gAvilar voor gasmeterbeugel 30 mbar en 100mbar QA-keur.
De aansluitset bestaat uit:
Zegelkap Schutbuis,
Afdichtingsplug PE32
Aansluitbocht met klikverbinding met wartelmoer G1"
Kogelkraan DN20 Incl. Steunbus PE 32x2.9, Schutbuis Kort (400-700mm)
Fixatie element PE32
Zelftappende plaatschroef CKK Torx T15 DIN7981</t>
  </si>
  <si>
    <t xml:space="preserve">Gasmeteraansluitset G4/6 gAvilar voor gasmeterbeugel 30 mbar en 100mbar
QA-keur. De aansluitset bestaat uit: Verzegelkap ¾" gAvilar
Aansluitbocht met klikverbinding
Kogelkraan  Ø19 Pers22 --&gt; G1"
</t>
  </si>
  <si>
    <t xml:space="preserve">Buis, Materiaal: PVC-slagvast (CPE / PVC-A), klasse 41, kleur: geel,
Maatvoering: 63 mm x 2,0 mm, lengtes van 10 meter.
</t>
  </si>
  <si>
    <t>Gasmeteropstelling G4/6 gAvilar, Pi=30mbar incl. B-klep.
QA-keur.
Compleet met bevestigingsmateriaal en zegel voor inlaatzijde</t>
  </si>
  <si>
    <t>Gasmeteropstelling G4/6 gAvilar, Pi=100mbar incl. Regelaar/B-klep,
QA-keur.
Compleet met bevestigingsmateriaal en zegel voor inlaatzijde</t>
  </si>
  <si>
    <t>BEUGEL TBV BESCHERMSLANG BFH-29-0 PMACLIP NW29 ZWART</t>
  </si>
  <si>
    <t xml:space="preserve">Computerdatakabel  UNITRONIC BUS CAN 2X2X0,34 t.b.v. LS-Meten
Fabrikant LAPP Benelux
Typenummer 2170264/100
</t>
  </si>
  <si>
    <t>Afwasmiddel 500ml (Felicia): Afwasmiddel Felicia
Geur: citroen.</t>
  </si>
  <si>
    <t>Binnenzeskantbout verzinkt  8.8 M10x16. Voorzien van een
inbus-aandrijving en metrische draad. Doos 200 stuks.</t>
  </si>
  <si>
    <t xml:space="preserve">Adereindhuls 2x1,5-10 zwart
hulslengte: 10 mm
lengte: 18 mm
kleur: zwart
per 100st.
</t>
  </si>
  <si>
    <t>Buis, Materiaal: PVC-slagvast (CPE / PVC-A), klasse 41, kleur: geel,
Maatvoering: 160 mm x 4,0 mm, lengtes van 10 meter.</t>
  </si>
  <si>
    <t>Buis, Materiaal: PVC-slagvast (CPE / PVC-A), klasse 41, kleur: geel,
Maatvoering: 200 mm x 4,9 mm, lengtes van 10 meter.</t>
  </si>
  <si>
    <t>Buis, Materiaal: PVC-slagvast (CPE / PVC-A), klasse 41, kleur: geel,
Maatvoering: 250 mm x 6,2 mm, lengtes van 10 meter.</t>
  </si>
  <si>
    <t>Buis, Materiaal: PVC-slagvast (CPE / PVC-A), klasse 41, kleur: geel,
Maatvoering: 315 mm x 7,7 mm, lengtes van 10 meter.</t>
  </si>
  <si>
    <t>FS PE Lasfitting DN63</t>
  </si>
  <si>
    <t>PE vent lasfitting DN63</t>
  </si>
  <si>
    <t xml:space="preserve">Buis, Materiaal: PVC-slagvast (CPE / PVC-A), klasse 41, kleur: geel,
Maatvoering: 110 mm x 2,7 mm, lengtes van 10 meter.
</t>
  </si>
  <si>
    <t xml:space="preserve">Computerdatakabel BUS CAN 2X2X0,34  t.b.v. LS-Meten
Fabrikant HELU
Typenummer 803344
</t>
  </si>
  <si>
    <t>FS PE Lasfitting DN90</t>
  </si>
  <si>
    <t>PE vent lasfitting DN90</t>
  </si>
  <si>
    <t>FS PE Lasfitting DN110</t>
  </si>
  <si>
    <t xml:space="preserve">PE vent lasfitting DN110
</t>
  </si>
  <si>
    <t xml:space="preserve">FS PE Lasfitting DN125
</t>
  </si>
  <si>
    <t xml:space="preserve">PE vent lasfitting DN125
</t>
  </si>
  <si>
    <t xml:space="preserve">FS PE Lasfitting DN160
</t>
  </si>
  <si>
    <t xml:space="preserve">PE vent lasfitting DN160
</t>
  </si>
  <si>
    <t xml:space="preserve">FS weldolet st 4" 108
</t>
  </si>
  <si>
    <t>FS weldolet st 4" 114</t>
  </si>
  <si>
    <t xml:space="preserve">FS weldolet st 6" 159
</t>
  </si>
  <si>
    <t xml:space="preserve">FS weldolet st 6" 168
</t>
  </si>
  <si>
    <t xml:space="preserve">Stalen vent fitting 1.14
</t>
  </si>
  <si>
    <t>Schroefverbindingsklem geïsoleerd 1-10mm2.
Bereik 1 t/m 10mm2 voor massieve aders / 1,5 t/m 6mm2 voor samengeslagen
aders / 1,5 t/m 2,5 mm2 flexibele geleiders.
Screw connector insulated straight 1 - 10 mm2.</t>
  </si>
  <si>
    <t>Ringkabelschoen 2,5-6mm2 M10 Ripca
Productbeschrijving leverancier:
Ringkabelschoen conform UL94V0.
Doos=50 stuks</t>
  </si>
  <si>
    <t>Ringkabelschoen 1,5-2,5mm2 M8 Ripca
Productbeschrijving leverancier:
Ringkabelschoen conform UL94V0.
Doos=50 stuks</t>
  </si>
  <si>
    <t>Ringkabelschoen 2,5-6mm2 M8 Ripca
Productbeschrijving leverancier:
Ringkabelschoen conform UL94V0.
Doos=50 stuks</t>
  </si>
  <si>
    <t>Ringkabelschoen 1,5-2,5mm2 M6 Ripca
Productbeschrijving leverancier:
Ringkabelschoen conform UL94V0.
Doos=50 stuks</t>
  </si>
  <si>
    <t>Ringkabelschoen 1,5-2,5mm2 M10 Ripca
Productbeschrijving leverancier:
Ringkabelschoen conform UL94V0.
Doos=50 stuks</t>
  </si>
  <si>
    <t>Mantel leiding ÖLFLEX CLASSIC 100 5G1,5 t.b.v. LS-Meten</t>
  </si>
  <si>
    <t>Telescoopladder; Is een gebruiksvriendelijke professionele telescopische
ladder die toepasbaar is voor uiteenlopende werkzaamheden. De
telescopische ladder heeft een variabel in te stellen werkhoogte en een
comfortabel stavlak.</t>
  </si>
  <si>
    <t>450/750 V H07V2-K 6 blauw montagesnoer, doos van 100 meter</t>
  </si>
  <si>
    <t>450/750 V H07V2-K 6 zwart montagesnoer, doos van 100 meter</t>
  </si>
  <si>
    <t>Krimpbuis groengeel met een bereik van 9,5 t/m 4,8 mm, rol van 50 m</t>
  </si>
  <si>
    <t>Krimpbuis groengeel met een bereik van 19,1 t/m 9,5 mm, rol van 50 m</t>
  </si>
  <si>
    <t>Bocht PE100 spie-eind 30° x 250mm SDR11.</t>
  </si>
  <si>
    <t>Bocht PE100 spie-eind 11° x 110mm SDR11.</t>
  </si>
  <si>
    <t>Bocht PE100 spie-eind 11° x 160mm SDR11.</t>
  </si>
  <si>
    <t>Eindkap elektrolas 75 mm PE100 SDR11.</t>
  </si>
  <si>
    <t>Overgangsstuk staal/PE,
elektrolas PE100 250 mm SDR11
las staal L245N (volgens NEN-EN-ISO 3183) 273,0 x 5,0 mm (DN250)
met PE ommanteling (volgens de DIN 30670).
Afdichting: O-ring NBR 70 rubber.
Pmax is 8 bar.
Verpakt volgens de NTA 8828 en op de verpakking is duidelijk aangegeven
de volgende gegevens:
Fabrikant,
nominale buitendiameters,
SDR-waarde,
naam van het materiaal (PE100),
productiedatum of -code,
keurmerk van de certificerende instantie (indien van toepassing).</t>
  </si>
  <si>
    <t>T-stuk PE100 spie-eind 250mm x 75 mm SDR11.</t>
  </si>
  <si>
    <t>Verloopstuk PE100 Ø110 ×75 SDR11.</t>
  </si>
  <si>
    <t>Verloop, materiaal PE100 - SDR 11, diameter. 75 x 63 mm,
beide zijden verlengd met 500 mm met zwarte PE100 SDR11 buis,
(volgens NEN EN 1555-2), t.b.v. Elektrolas/stuiklas.</t>
  </si>
  <si>
    <t xml:space="preserve">Overgangsstuk staal/PE,
elektrolas PE100 315 mm SDR11
las staal L245N (volgens NEN-EN-ISO 3183) 323,9 x 5,6 mm (DN300)
met PE ommanteling (volgens de DIN 30670).
Afdichting: O-ring NBR 70 rubber.
Pmax is 8 bar.
Verpakt volgens de NTA 8828 en op de verpakking is duidelijk aangegeven
de volgende gegevens:
Fabrikant,
nominale buitendiameters,
SDR-waarde,
naam van het materiaal (PE100),
productiedatum of -code,
keurmerk van de certificerende instantie (indien van toepassing).
</t>
  </si>
  <si>
    <t>Tape grijs 50mm               #Raltec810.
Ducttape.</t>
  </si>
  <si>
    <t>Niet geweven geotextiel NW16,
lengte x breedte = 1 m x 1 m</t>
  </si>
  <si>
    <t>Standaard OV-verdeler in Halyester-kast Type 1RI-3FN LI-2 specifiek voor
               toepassingsgebied  Amsterdam.
Let op: deze mag niet voor andere doeleinden of gebieden gebruikt
worden.</t>
  </si>
  <si>
    <t>Standaard OV-verdeler met overbruggingsschakelaar specifiek voor
toepassingsgebied  Amsterdam. Type 1RI-3FN LI-3
Let op: deze mag niet voor andere doeleinden of gebieden gebruikt
worden.</t>
  </si>
  <si>
    <t>Standaard OV-verdeler met overbruggingsschakelaar in Halyester kast
toepassingsgebied  Amsterdam. type 1RI-3FN LI-4
Let op: deze mag niet voor andere doeleinden of gebieden gebruikt
worden.</t>
  </si>
  <si>
    <t>Stiftfrees (L60mm, D6mm); Hardmetalen stiftfrees in cilindervorm met
ronde kop, kruisvertand.</t>
  </si>
  <si>
    <t>Glaszekering 10A 5x25 mm + melder</t>
  </si>
  <si>
    <t>Vergrendeling gesloten. Install, (groot). De vergrendeling icm een
hangslot is bedoeld om inschakeling van de installatie te voorkomen.</t>
  </si>
  <si>
    <t>Afschermkap tbv mon./dem. adapter Din00 strook.
De afschermkap kan voor zowel het monteren als demonteren van de adapter
worden toegepast.
De adapter is nodig voor het plaatsen van DIN00 stroken in netstations.</t>
  </si>
  <si>
    <t>Stuurstroomleiding ÖLFLEX CLASSIC 100 5G2,5 t.b.v. LS-Meten</t>
  </si>
  <si>
    <t>Steunbus PE-buis
Materiaal: RVS
Diameter: 63mm
lengte: 150cm
Wanddikte buis: 63mm
Buisklasse: SDR 26</t>
  </si>
  <si>
    <t>Steunbus PE-buis
Materiaal: RVS
Diameter: 75mm
lengte: 150cm
Wanddikte buis: 75mm
Buisklasse: SDR 26</t>
  </si>
  <si>
    <t>Steunbus PE-buis
Materiaal: RVS
Diameter: 90mm
lengte: 150cm
Wanddikte buis: 90mm
Buisklasse: SDR 26</t>
  </si>
  <si>
    <t>Sticker LS meten aanduiding F1.1-1.8 voor intern gebruik, per 50 vel
verpakt in een envelop.</t>
  </si>
  <si>
    <t>Sticker LS meten aanduiding F2.1-2.8 voor intern gebruik, per 50 vel
verpakt in een envelop.</t>
  </si>
  <si>
    <t>Sticker LS meten kabelcodering F1.1-1.8 voor intern gebruik, per 50 vel
verpakt in een envelop.</t>
  </si>
  <si>
    <t>Sticker LS meten kabelcodering F2.1-2.8 voor intern gebruik, per 50 vel
verpakt in een envelop.</t>
  </si>
  <si>
    <t>Steunbus met keg, ondersteuningsbus type keg van AVK vervaardigd uit
roestvast staal AISI 304, gebeitst en gepassiveerd.
Type nummer leverancier 05-315-74-000</t>
  </si>
  <si>
    <t>Steunbus met keg 315mm SDR17,6
Steunbus met keg, ondersteuningsbus type keg van AVK vervaardigd uit
roestvast staal AISI 304, gebeitst en gepassiveerd.
Type nummer leverancier 05-315-71-000</t>
  </si>
  <si>
    <t xml:space="preserve">Verloop PE100 - SDR 11, diameter 90 x 63 mm, beide zijden verlengd met
500 mm zwarte PE100 SDR11 buis. (volgens NEN EN 1555-2) ,tbv
Elektrolas/stuiklas.
</t>
  </si>
  <si>
    <t xml:space="preserve">Spuitgegoten bocht, PE100 - SDR11, diameter 75 mm, 30 graden. Beide
zijden verlengd met 500 mm zwarte PE100 SDR11 buis (volgens NEN EN
1555-2), tbv Elektrolas/stuiklas.
</t>
  </si>
  <si>
    <t xml:space="preserve">Spuitgegoten bocht, PE100 - SDR11, diameter 75 mm, 45 graden. Beide
zijden verlengd met 500 mm zwarte PE100 SDR11 buis (volgens NEN EN
1555-2), tbv Elektrolas/stuiklas.
</t>
  </si>
  <si>
    <t xml:space="preserve">Spuitgegoten bocht, PE100 - SDR11, diameter 75 mm, 90° (2x 45) Beide
zijden verlengd met 500 mm zwarte PE100 SDR11 buis (volgens NEN EN
1555-2), tbv Elektrolas/stuiklas.
</t>
  </si>
  <si>
    <t>Mantel leiding JB500 5G1,5 t.b.v. LS-Meten</t>
  </si>
  <si>
    <t xml:space="preserve">Cellpack Kabelglijmiddelspray, spuitbus 400 ml
</t>
  </si>
  <si>
    <t>Steunbus PE-buis
Materiaal: RVS
Diameter: 110mm
lengte: 150cm
Wanddikte buis: 110mm
Buisklasse: SDR 26</t>
  </si>
  <si>
    <t>Steunbus PE-buis
Materiaal: RVS
Diameter: 160mm
lengte: 150cm
Wanddikte buis: 160mm
Buisklasse: SDR 26</t>
  </si>
  <si>
    <t>Steunbus PE-buis
Materiaal: RVS
Diameter: 200mm
lengte: 200cm
Wanddikte buis: 200mm
Buisklasse: SDR 26</t>
  </si>
  <si>
    <t>Steunbus PE-buis
Materiaal: RVS
Diameter: 250mm
lengte: 200cm
Wanddikte buis: 250mm
Buisklasse: SDR 26</t>
  </si>
  <si>
    <t>Steunbus PE-buis
Materiaal: RVS
Diameter: 315mm
lengte: 200cm
Wanddikte buis: 315mm
Buisklasse: SDR 26</t>
  </si>
  <si>
    <t>Aansluitstekker voor AKO OVL(AansluitKastOnbemand openbare verlichting)
aansluitmodule. Hieraan is geen kabel gemonteerd. CAM OVL stekker</t>
  </si>
  <si>
    <t xml:space="preserve">Gg buispartoon ETI 4A D01 Neozed t.b.v. DR - ruimte
Current Rating - 4A
Bottle Fuse Size - D01
Voltage Rating - 400V ac
Application Category - gG
Thread Size - E14
Breaking Capacity at Maximum Voltage Rating - 50 kA @ 400 V ac,
8 kA @ 250 V dc
</t>
  </si>
  <si>
    <t xml:space="preserve">Dubbele nippel ¾"R x spie 22mm materiaal:
CuSi, Sanha spie-eind x ¾"buitendraad R,
de draad is een gasdraad volgens ISO7/1 – EN10226.
Sanha Purapress
</t>
  </si>
  <si>
    <t>Krijthouder;
Lyra 4766120 Krijthouder voor krijt,
art. nummer 20015531</t>
  </si>
  <si>
    <t xml:space="preserve">Compressor compleet (incl toebehoren);
Compressor Airpress L 6-105 Silent;
Handige, krachtige olievrije compressor.
Eenvoudig te gebruiken, voor de kleinere klussen.
Ketelinhoud 6 l
Werkdruk 6 bar
Maximale druk 8 bar
Aantal cilinders 2
Aantal trappen 1
Voltage 230 V, Hertz 50 Hz
Gewicht 10 kg
Toeren 1440 rpm
Lengte 46,5 cm, Breedte 17 cm, Hoogte 49 cm
Motorvermogen1 0,6 pk, Motorvermogen2 0,46 kW
Aanzuigcapaciteit 105 L/min
Geluidsniveau 66 dB(A), Geluidgedempt Ja
Olievrij Ja
Wordt geleverd inclusief:
- Aluminium blaaspistool,
  voorzien van lange blaaspijp en 1/4" aansluiting, type: ANI 25/B2-E.
- PU spiraalleiding,
  voorzien van 2 x BSPT buitendraad, 1/4" aansluiting x 5 m, type:
PT-02525S.
- Insteeknippel,
  voorzien van 1/4" binnendraad en 1/4" koppeling aansluiting, type:
48503.
- Snelkoppeling,
  voorzien van 1/4" binnendraad aansluiting, type: 44516.
</t>
  </si>
  <si>
    <t>Ombouw set voor V-modulemet 3x1x630 mm2 Al kabel. Los geleverd.
1x Set bestaande uit 3, CT’s KOKM 072 DB10 WIC W4 t.b.v. reguliere MSR
met 3 stickers</t>
  </si>
  <si>
    <t xml:space="preserve">Ombouw set voor V-modulemet 3x1x630 mm2 Al kabel. Los geleverd.
1x Set bestaande uit 3, CT’s KOKM 072 DB10 WIC W43 t.b.v. reguliere MSR
</t>
  </si>
  <si>
    <t>20230216 tekstlabel: Let op, aansluiting.. 5,5 x 4 cm</t>
  </si>
  <si>
    <t>FiloSlim 3D gaasrol, 10cm x 180cm, artikelnummer 80480</t>
  </si>
  <si>
    <t>FiloSlim P2662 hars, 400ml, artikelnummer 804640</t>
  </si>
  <si>
    <t>FiloSlim P2662 hars, 1500ml, artikelnummer 804642</t>
  </si>
  <si>
    <t>Filoslim 3D gaasmat, 39cm x 30cm x 0,66cm, artikelnummer 80527390R</t>
  </si>
  <si>
    <t xml:space="preserve">Mespatroon  63A DIN 2
met combimelder,
karakteristiek gG,
type LNH2063M
</t>
  </si>
  <si>
    <t>Stopper; De stopper is om de mastiek kegel zover als mogelijk in de
kabelnek van de MS-kabel te duwen tijdens de montage van een MS mof.
Lees eerst altijd de instructie van de MS-mof</t>
  </si>
  <si>
    <t>VOUWDOOS  200x150x100mm
Op pallets op 120cm hoog.</t>
  </si>
  <si>
    <t>Achterplaat ABB SafePlus 3-velds
t.b.v. ombouw Achter naar onderafblaas.</t>
  </si>
  <si>
    <t>Achterplaat ABB SafePlus 4-velds
t.b.v. ombouw achter naar onderafblaas.</t>
  </si>
  <si>
    <t xml:space="preserve">Antenne bevestigingsbeugel voor indoor gebruik.
</t>
  </si>
  <si>
    <t xml:space="preserve">Stalen lasstop, 1.1/2" buitendraad.
</t>
  </si>
  <si>
    <t xml:space="preserve">Stalen lasstop, 1.1/4" buitendraad.
</t>
  </si>
  <si>
    <t xml:space="preserve">Stalen lasstop, 2" buitendraad.
</t>
  </si>
  <si>
    <t>Stalen lassok 1.1/2" binnendraad x DN 80 buismaat.</t>
  </si>
  <si>
    <t>Stalen lassok 1.1/2" binnendraad x DN 100 buismaat.</t>
  </si>
  <si>
    <t>Stalen lassok 1.1/2" binnendraad x DN 125 buismaat.</t>
  </si>
  <si>
    <t>Stalen lassok 2" binnendraad x DN 150 buismaat.</t>
  </si>
  <si>
    <t>Stalen lassok 2" binnendraad x DN 200 buismaat.</t>
  </si>
  <si>
    <t xml:space="preserve">Staalkabel Kleiss Blauw 5mtr tbv GH saneringsset
</t>
  </si>
  <si>
    <t xml:space="preserve">Staalkabel Kleiss Geel 8mtr tbv GH saneringsset
</t>
  </si>
  <si>
    <t xml:space="preserve">Staalkabel Kleiss Rood 12mtr tbv GH saneringsset
</t>
  </si>
  <si>
    <t xml:space="preserve">Snijmes Kleiss PE 25mm SDR 17,6 tbv GH saneringsset
</t>
  </si>
  <si>
    <t xml:space="preserve">Snijmes Kleiss PE 32mm SDR 17,6 tbv GH saneringsset
</t>
  </si>
  <si>
    <t xml:space="preserve">Snijmes Kleiss PE 40mm SDR 17,6 tbv GH saneringsset
</t>
  </si>
  <si>
    <t xml:space="preserve">Snijmes Kleiss PE 50mm SDR 17,6 tbv GH saneringsset
</t>
  </si>
  <si>
    <t>Boorschroefmachine Bosch GSR18V-150C z. acc/lad in doos.</t>
  </si>
  <si>
    <t xml:space="preserve">PE-buis
Materiaal: PE 100
Afmetingen: diameter 63 x wanddikte 3,8 mm, in lengte van 12 meter
Kleur: oranje 90/10 met 4x2 zwarte strepen in axiale richting
Klasse: SDR 17
QA-keurmerk, voldoet aan NEN-EN 1555-2 inclusief beschermdoppen.
</t>
  </si>
  <si>
    <t xml:space="preserve">PE-buis
Materiaal: PE 100
Afmetingen: diameter 75 x wanddikte 4,5 mm, in lengte van 12 meter
Kleur: oranje 90/10 met 4x2 zwarte strepen in axiale richting
Klasse: SDR 17
QA-keurmerk, voldoet aan NEN-EN 1555-2 inclusief beschermdoppen.
</t>
  </si>
  <si>
    <t xml:space="preserve">PE-buis
Materiaal: PE 100
Afmetingen: diameter 110 x wanddikte 6,6 mm, in lengte van 12 meter
Kleur: oranje 90/10 met 4x2 zwarte strepen in axiale richting
Klasse: SDR 17
QA-keurmerk, voldoet aan NEN-EN 1555-2 inclusief beschermdoppen.
</t>
  </si>
  <si>
    <t xml:space="preserve">PE-buis
Materiaal: PE 100
Afmetingen: diameter 160 x wanddikte 9,5 mm, in lengte van 12 meter
Kleur: oranje 90/10 met 4x2 zwarte strepen in axiale richting
Klasse: SDR 17
QA-keurmerk, voldoet aan NEN-EN 1555-2 inclusief beschermdoppen.
</t>
  </si>
  <si>
    <t xml:space="preserve">PE-buis
Materiaal: PE 100 Afmetingen: diameter 200 x wanddikte 11,9 mm, in
lengte van 12 meter
Kleur: oranje 90/10 met 4x2 zwarte strepen in axiale richting
Klasse: SDR 17
QA-keurmerk, voldoet aan NEN-EN 1555-2 inclusief beschermdoppen.
</t>
  </si>
  <si>
    <t xml:space="preserve">Beitel plat  Beitel plat SDS+ 250x20mm;
Platte beitel voor het kleine en eenvoudige hak en breekwerk.
Gebruik met behulp van SDS-plus beitelvoorzetstuk of rechtstreeks in
SDS-plus-hamer met draaistop.
Type: 2609390394
Totale lengte: 250 mm
Beitelvlak: 20 mm
</t>
  </si>
  <si>
    <t>Hamer 40mm wit nylon terugslagvrij
Terugslagvrije hamer met verwisselbare hamerdoppen, voorzien van steel
vervaardigd uit glasvezel, stalen huis en speciale, gemakkelijk te
vervangen hamerdoppen van nylon met hardheid van Shore D74, ergonomisch
handvat van PVC met ribbels en gemoffelde hamerslaglak.</t>
  </si>
  <si>
    <t xml:space="preserve">Verlengkabel 3M RJ45 MALE - RJ45 FEMALE LSZH, zwart
Type 1680987 S/FTP CAT6A KABEL 3M
</t>
  </si>
  <si>
    <t xml:space="preserve">Verlengkabel 0,5M RJ45 MALE - RJ45 FEMALE LSZH, zwart Type 65641 S/FTP
CAT6A KABEL 0,5M Router 4G WM-Systems
</t>
  </si>
  <si>
    <t>Bedradingskoker CD (B 60 x H 80 mm) lengte 2 meter voorzien van
uitdrukpoorten.</t>
  </si>
  <si>
    <t>Schneider groepenkast leeg 4 modules opbouw, kunststof behuizing.</t>
  </si>
  <si>
    <t>Schneider groepenkast leeg 8 modules opbouw, kunststof behuizing.</t>
  </si>
  <si>
    <t>Installatieautomaat 10 A C-Karakteristiek, Schneider Electric.</t>
  </si>
  <si>
    <t>Werkschakelaar 25 A 4 polig opbouw RLO25/4PM-D1/Z33-GB ASN Sontheimer.</t>
  </si>
  <si>
    <t>Gasdetector Esders OLLI. Explosieveilig en compact
diffusie-handmeetapparaat. Configureert volgens Liander specificatie met
een sensorarray voor het meten van PPM/ % LEL/% VOL CH4 . Extreem
robuuste 2K-kunststofbehuizing en oplaadbaar, explosieveilig li-ion
accupakket.</t>
  </si>
  <si>
    <t xml:space="preserve">PE-buis.
Materiaal: PE 100
Afmetingen: diameter 63 x wanddikte 5,8 mm, in lengte van 12 meter.
Kleur: oranje 90/10 met 4x2 zwarte strepen in axiale richting.
Klasse: SDR 11 QA-keurmerk, voldoet aan NEN-EN 1555-2, inclusief
beschermdoppen.
</t>
  </si>
  <si>
    <t xml:space="preserve">PE-buis.
Materiaal: PE 100
Afmetingen: diameter 75 x wanddikte 6,8 mm, in lengte van 12 meter.
Kleur: oranje 90/10 met 4x2 zwarte strepen in axiale richting
Klasse: SDR 11 QA-keurmerk, voldoet aan NEN-EN 1555-2, inclusief
beschermdoppen.
</t>
  </si>
  <si>
    <t xml:space="preserve">PE-buis
Materiaal: PE 100
Afmetingen: diameter 110 x wanddikte 10,0 mm, in lengte van 12 meter.
Kleur: oranje 90/10 met 4x2 zwarte strepen in axiale richting
Klasse: SDR 11 QA-keurmerk, voldoet aan NEN-EN 1555-2, inclusief
beschermdoppen.
</t>
  </si>
  <si>
    <t xml:space="preserve">PE-buis
Materiaal: PE 100
Afmetingen: diameter 160 x wanddikte 14,6 mm, in lengte van 12 meter.
Kleur: oranje 90/10 met 4x2 zwarte strepen in axiale richting
Klasse: SDR 11 QA-keurmerk, voldoet aan NEN-EN 1555-2, inclusief
beschermdoppen.
</t>
  </si>
  <si>
    <t xml:space="preserve">PE-buis
Materiaal: PE 100
Afmetingen: diameter 200 x wanddikte 18,2 mm, in lengte van 12 meter.
Kleur:  oranje 90/10 met 4x2 zwarte strepen in axiale richting
Klasse: SDR 11 QA-keurmerk, voldoet aan NEN-EN 1555-2, inclusief
beschermdoppen.
</t>
  </si>
  <si>
    <t xml:space="preserve">PE-buis
Materiaal: PE 100
Afmetingen: diameter 250 x wanddikte 22,7 mm, in lengte van 12 meter.
Kleur:  oranje 90/10 met 4x2 zwarte strepen in axiale richting
Klasse: SDR 11 QA-keurmerk, voldoet aan NEN-EN 1555-2, inclusief
beschermdoppen.
</t>
  </si>
  <si>
    <t xml:space="preserve">PE-buis
Materiaal: PE 100
Afmetingen: diameter 315 x wanddikte 28,7 mm, in lengte van 12 meter.
Kleur: oranje 90/10 met 4x2 zwarte strepen in axiale richting
Klasse: SDR 11 QA-keurmerk, voldoet aan NEN-EN 1555-2, inclusief
beschermdoppen.
</t>
  </si>
  <si>
    <t xml:space="preserve">PE-buis
Materiaal: PE 100
Afmetingen: diameter 250 x wanddikte 14,8 mm, in lengte van 12 meter,
Kleur: oranje 90/10 met 4x2 zwarte strepen in axiale richting
Klasse: SDR 17
QA-keurmerk, voldoet aan NEN-EN 1555-2 inclusief beschermdoppen.
</t>
  </si>
  <si>
    <t xml:space="preserve">PE-buis
Materiaal: PE 100
Afmetingen: diameter 315 x wanddikte 18,7 mm, in lengte van 12 meter
Kleur: oranje 90/10 met 4x2 zwarte strepen in axiale richting
Klasse: SDR 17
QA-keurmerk, voldoet aan NEN-EN 1555-2 inclusief beschermdoppen.
</t>
  </si>
  <si>
    <t xml:space="preserve">PE-buis
Materiaal: PE 100
Afmetingen: diameter 400 x wanddikte 23,7 mm, in lengte van 12 meter
Kleur: oranje 90/10 met 4x2 zwarte strepen in axiale richting
Klasse: SDR 17
QA-keurmerk, voldoet aan NEN-EN 1555-2 inclusief beschermdoppen.
</t>
  </si>
  <si>
    <t xml:space="preserve">PE-buis
Materiaal: PE 100
Afmetingen: diameter 63 x wanddikte 3,8 mm, rol van 50 meter
Kleur: oranje met 4x2 zwarte strepen in axiale richting
Klasse: SDR 17
QA-keurmerk, voldoet aan NEN-EN 1555-2 inclusief beschermdoppen.
</t>
  </si>
  <si>
    <t xml:space="preserve">PE-buis
Materiaal: PE 100
Afmetingen: diameter 75 x wanddikte 4,5 mm, rol van 50 meter
Kleur: oranje 90/10 met 4x2 zwarte strepen in axiale richting
Klasse: SDR 17
QA-keurmerk, voldoet aan NEN-EN 1555-2 inclusief beschermdoppen.
</t>
  </si>
  <si>
    <t xml:space="preserve">PE-buis
Materiaal: PE 100
Afmetingen: diameter 110 x wanddikte 6,6 mm, rol van 50 meter
Kleur: oranje 90/10 met 4x2 zwarte strepen in axiale richting
Klasse: SDR 17
QA-keurmerk, voldoet aan NEN-EN 1555-2 inclusief beschermdoppen.
</t>
  </si>
  <si>
    <t xml:space="preserve">PE-buis
Materiaal: PE 100
Afmetingen: diameter 63 x wanddikte 5,8 mm, rol a 100 meter.
Kleur: oranje 90/10 met 4x2 zwarte strepen in axiale richting
Klasse: SDR 11
QA-keurmerk, voldoet aan NEN-EN 1555-2, inclusief beschermdoppen.
</t>
  </si>
  <si>
    <t xml:space="preserve">PE-buis
Materiaal: PE 100
Afmetingen: diameter 75 x wanddikte 6,8 mm, rol van 100 meter.
Kleur: oranje 90/10 met 4x2 zwarte strepen in axiale richting
Klasse: SDR 11
QA-keurmerk, voldoet aan NEN-EN 1555-2, inclusief beschermdoppen.
</t>
  </si>
  <si>
    <t xml:space="preserve">PE-buis
Materiaal: PE 100
Afmetingen: diameter 110 x wanddikte 10,0 mm, op rol van 100 meter
Kleur: oranje 90/10 met 4x2 zwarte strepen in axiale richting
Klasse: SDR 11
QA-keurmerk, voldoet aan NEN-EN 1555-2, inclusief beschermdoppen.
</t>
  </si>
  <si>
    <t xml:space="preserve">PE-buis
Materiaal: PE 100 Afmetingen: diameter 63 x wanddikte 3,8 mm, rol van
100 meter
Kleur: oranje 90/10 met 4x2 zwarte strepen in axiale richting
Klasse: SDR 17
QA-keurmerk, voldoet aan NEN-EN 1555-2 inclusief beschermdoppen.
</t>
  </si>
  <si>
    <t xml:space="preserve">PE-buis
Materiaal: PE 100
Afmetingen: diameter 75 x wanddikte 4,5 mm, rol van 100 meter
Kleur: oranje 90/10 met 4x2 zwarte strepen in axiale richting
Klasse: SDR 17
QA-keurmerk, voldoet aan NEN-EN 1555-2 inclusief beschermdoppen.
</t>
  </si>
  <si>
    <t>Mespatroon 16A DIN I-gG type LV HRC Bovenmelder.</t>
  </si>
  <si>
    <t xml:space="preserve">Trafometer TMB 800-72-E 1000A
De TMB is een combinatie van een deelbare stroomtransformator en een
Ampèremeter die voorzien is van een sleepwijzer om het maximale
stroomverbruik in de voorbije periode te bepalen.
</t>
  </si>
  <si>
    <t>Kabelbundelslang
diameter 29 mm spiraalslang
kunststof grijs
diameter 29 mm
L=25 m</t>
  </si>
  <si>
    <t xml:space="preserve">Gripzakken transp 70x100mm (ds1000st); Transparante gripzak vervaardigd
uit LDPE, voorzien van een sluitgrip. Zonder schrijfvlak.
Afmeting: 70 x 100 mm.
Verpakkingseenheid: doos à 1000 stuks.
</t>
  </si>
  <si>
    <t>Sticker LS meten kabelcodering F3.1-3.8 voor indoor gebruik. Deze worden
gebruikt voor het coderen van de LS meten Spoelen</t>
  </si>
  <si>
    <t xml:space="preserve">Kruissleutel v kasten (ALL)
Kruissleutel voor schakelkasten, Staal verzinkt met kastslot-aansluiting
in de maten:
- 1x vierkant uitwendig conisch: 9 mm / 10,5 mm.
- 1x vierkant uitwendig conisch: 10 mm / 11,5 mm.
- 1x driehoek inwendig 10 mm.
- 1x vierkant inwendig 10 mm
</t>
  </si>
  <si>
    <t xml:space="preserve">Doorvoering voor OS SS RS 3x39-68mm 3-fase kabel met buitendiameter 200
mm. Incl. glijmiddel.
fabrikant ROXTEC
</t>
  </si>
  <si>
    <t xml:space="preserve">RVS 31 sectiekast 6 richtingen + OV DII incl. fundatie.
Bestel gegevens: artikel 845703.
Referentie: Sectiekast 6 richtingen + OV en fundatie
</t>
  </si>
  <si>
    <t>Kabelbundelslang
Spiraal 1619 Zwart
Klemko
Rol=10m</t>
  </si>
  <si>
    <t>LAMP E27 LED 10W 2700K
Fabrikant Philips</t>
  </si>
  <si>
    <t>Sticker LS meten aanduiding meerdere transformatoren voor indoor
gebruik. Deze worden gebruikt bij LS meten installatie met meerdere
transformatoren voor het aanduiden van de voeding en het
transformatornummer op het kabelrichtingbord of LS rek</t>
  </si>
  <si>
    <t>Sticker LS meten aanduiding Directe voeding MEM unit vanaf LS-rek. Is
bedoeld als extra indicatie op de MEM unit waarbij deze een eigen
voeding hebben in afwijking van de standaard LS meten installatie.</t>
  </si>
  <si>
    <t xml:space="preserve">Vulgereedschap (Filoform FiloSlim):
het vulgereedschap is nodig voor de FiloSlim LS-wikkelmof.
Multifunctionele tool gemaakt van duurzaam hout voor het vullen en legen
van FiloSlim harsverpakkingen.
Minder verspilling, optimaal gebruik inhoud harsverpakking d.m.v.
inkeping voor het leegschrapen van de inhoud.
Ergonomisch, minder handkracht nodig en een betere drukverdeling op de
verpakking, vullen met een constante druk.
Sneller, de verpakking kan sneller leegmaken in de mof.
</t>
  </si>
  <si>
    <t>Verloop, materiaal PE100 - SDR 11, diam. 200 x 110 mm.
Zijde 200mm verlengd met 550 mm zwarte PE100 SDR11 buis.
Zijde 110mm verlengd met 425 mm zwarte PE100 SDR11 buis.
Volgens NEN EN 1555-2.</t>
  </si>
  <si>
    <t>Sticker LS meten kabelcodering F4.1-4.8 voor indoor gebruik. Deze worden
gebruikt voor het coderen van de LS meten Spoelen</t>
  </si>
  <si>
    <t>Sticker LS meten aanduiding F3.1-3.8 voor indoor gebruik. Deze worden
gebruikt voor het aanduiden van de spoelcode op het kabelrichtingbord of
LS rek, voeding meetkast en Mem-unit</t>
  </si>
  <si>
    <t>Sticker LS meten aanduiding F4.1-4.8 voor indoor gebruik. Deze worden
gebruikt voor het aanduiden van de spoelcode op het kabelrichtingbord of
LS rek, voeding meetkast en Mem-unit</t>
  </si>
  <si>
    <t xml:space="preserve">RVS antennevoet voor montage op antennebuis.
Fabrikant BODT Staaltechniek
Als de antennevoet beschadigd is of wanneer het schroefdraad beschadigd
is kan deze worden afgevoerd.
</t>
  </si>
  <si>
    <t xml:space="preserve">Antenne verlengkabel 6 meter lengte voor puck antennes en Omni antennes.
Jumper cable SMA-male to SMA female RG223 6 MTR
(tinned copper conductor + braid)
</t>
  </si>
  <si>
    <t xml:space="preserve">Aftakzadel elektrolas PE100 SDR11 250mm-315mm x 63mm, topload. Diameter
doorgaande leiding 315mm, aftakking 63mm spie-eind.
</t>
  </si>
  <si>
    <t xml:space="preserve">Aanboorzadel elektrolas toepasbaar als blaasgatzadel 250mm / 315mm /
400mm ×2.1/2" SDR11 topload, Polsafe. Materiaal: PE100 SDR11.
</t>
  </si>
  <si>
    <t>Druktest adapter Aliaxis is een beproevingsadapter vanaf 250mm DAA-TL en
DAP FWDPA.</t>
  </si>
  <si>
    <t>Druktest adapter Aliaxis.
Een beproevingsadapter t/m 200mm DAA Red Snap FWDPA.</t>
  </si>
  <si>
    <t xml:space="preserve">Aanboorsleutel Aliaxis DAA-Tl vanaf 250 mm t..bv. drukaanboorzadel.
</t>
  </si>
  <si>
    <t xml:space="preserve">Aanboorsleutel Aliaxis DAA 40-225mm t.b.v. drukaanboorzadel.
</t>
  </si>
  <si>
    <t xml:space="preserve">Aansluitstift (l=5cm, Ø1cm)
voorzien van gat met schroefdraad t.b.v. M5 boutje
</t>
  </si>
  <si>
    <t>Hybride mof
geschikt voor 10kV (V)GPLK 3x95-240 mm2 op XLPE 10-20kV 3x240 mm2.
Inclusief schroefverbinders.</t>
  </si>
  <si>
    <t>Hybride mof
geschikt voor 10kV (V)GPLK 3x95-240 mm2 op XLPE 20kV 3x1x240 mm2.
Inclusief schroefverbinders.</t>
  </si>
  <si>
    <t xml:space="preserve">Koperpasta Molykote 1000;
Een vaste smeerpasta voor metalen boutverbindingen.
Bevat geen lood ook nikkel.
Geschikt voor boutverbindingen die blootgesteld worden aan hoge
temperaturen en aan corrosieve effecten, en boutverbindingen die na
montage en eerste werking opnieuw moeten worden vastgezet of uiteen
gehaald.
Onder andere geschikt voor cilinderkopbouten, spuitdopschroeven van
spuitgietmachines, boutverbindingen in de chemische industrie en voor de
spanringen van centrifuges.
Het product zorgt voor een probleemloze demontage zonder beschadigingen,
zelfs na langdurig gebruik bij hoge temperaturen en biedt goede
bescherming tegen corrosie.
De wrijvingscoëfficiënt blijft hetzelfde rond geoliede bouten, zelfs
nadat de bouten verschillende malen los- en vastgemaakt zijn.
Kleur: bruin.
Temperatuurbereik: van -30 °C tot +650 °C.
</t>
  </si>
  <si>
    <t>Aardrijgklem 0.2 - 6mm2, fabrikaat Phoenix Contact.</t>
  </si>
  <si>
    <t>Warmtekrimp mof geschikt voor 10kV (V)GPLK 3x95-240 mm2 op XLPE 10 kV
3x150 mm2. Inclusief schroefverbinders.</t>
  </si>
  <si>
    <t>Klemkabelschoen 1.5 – 2.5mm2 PEN Klauke voor koperen geleider pinvormig.
Typenummer HK710KDO. Doos bevat 100 stuks.</t>
  </si>
  <si>
    <t>Reparatieset multi joint vervangen grippers en NBR rubber DN 400</t>
  </si>
  <si>
    <t xml:space="preserve">Trekvaste Koppeling
Beulco Type G1101 PE 32 mm x RC1" met Buitendraad
met steunbus SDR11, 32 mm x 2,9 mm.
Materiaal CuPhin CW724R  voor PE100
(artikelnummer Beulco 343232)
</t>
  </si>
  <si>
    <t xml:space="preserve">A586202 = Snijmes Kleiss PE 63mm SDR11 tbv GH saneringsset
</t>
  </si>
  <si>
    <t>Kabelschaar m ratel tot 250mm2 CU/AL VDE.
Geïsoleerde eenhands ratel kabelschaar. Loopt niet vast tijdens het
knippen. Het knippen kan op elk gewenst moment worden onderbroken.
Professionele Multi laags dompel isolatie. De messen kunnen geopend
worden door middel van een ontgrendelingsveer.Geschikt voor koper en
aluminium kabel tot 32mm (250mm2). VDE 1000v geisoleerd.
Capaciteit: 250mm.
Lengte: 310mm.</t>
  </si>
  <si>
    <t xml:space="preserve">A585989 = Snijmes Kleiss PE 63mm SDR17,6 tbv GH saneringsset
</t>
  </si>
  <si>
    <t>Randbescherming G102, grijs/geel, polyethyleen, Amortiflex</t>
  </si>
  <si>
    <t>Filterset voor de Esders OLLI bestaande uit 3 EFi1 filters en 30
stoffilters.</t>
  </si>
  <si>
    <t xml:space="preserve">Schroevendraaier Torx T15 VDE,
Softfinish electric slimfix torx schroevendraaier voorzien van 100%
kwaliteitsgecontroleerde isolatie 1.000 V AC, VDE en GS-getest. Door de
geintregreerde isolatie kunnen diepliggende schroef en veerelementen
worden bereikt en bediend. Normen: DIN ISO 8764 gemaakt conform IEC
60900:2004, Maat: T15.
</t>
  </si>
  <si>
    <t xml:space="preserve">Trekvaste Koppeling
Beulco Type G1101 PE 32 mm x RC1" met Buitendraad
met steunbus SDR17, 32 mm x 1,9 mm.
Materiaal CuPhin CW724R  voor PE80, PE100
(artikelnummer Beulco 339150s)
</t>
  </si>
  <si>
    <t xml:space="preserve">Kabel YMeKrvaslqwd of P1MeKrvaslqwd 12/20 kV 1 x 630 Curs + as 35 rPE
volgens HD620 S3:2023 part 10 section J, echter met een zwarte
buitenmantel. Brandklasse Fca. Haspels met 500 m kabel.
</t>
  </si>
  <si>
    <t xml:space="preserve">Sealzer schakelaar Remote/Local ME220
</t>
  </si>
  <si>
    <t>Accu voor beveiligingskast type ABB</t>
  </si>
  <si>
    <t xml:space="preserve">Kabelset v beveil.kast 1234-relais compactruimte 5m ABB
</t>
  </si>
  <si>
    <t>Bevestigingsstrip  DA-kast</t>
  </si>
  <si>
    <t>Draadstift M10 L25mm, DIN 976 4,8.
Doos 100 stuks.</t>
  </si>
  <si>
    <t>Inschroeffilter en/of demper, messing-sinterbrons 1/4"</t>
  </si>
  <si>
    <t>Aardingsconnector aansluitstekker . Deze connector kan bevestigd worden
op de aansluitkabels voorzien van een aansluitstekker om een
aansluitkabel aan aarde te leggen.</t>
  </si>
  <si>
    <t>Meetconnector aansluitstekker. Deze Meet connector kan bevestigd worden
op de aansluitkabels die voorzien zijn van een aansluitstekker om
metingen uit te voeren</t>
  </si>
  <si>
    <t>Spreidoorn voor inslaganker M10 x 30.</t>
  </si>
  <si>
    <t>Meetwagen connector aansluitstekker.
Deze connector kan bevestigd worden op de aansluitkabels voorzien van
een aansluitstekker tbv uitvoeringen van metingen.</t>
  </si>
  <si>
    <t xml:space="preserve">Metaalschroef DIN48  5x10 mm 4.8 elvz CK SL ds a200st
Electrolytisch verzinkt metaal
Klasse: 4.8 Opp.
Bescherming: elvz
Uitvoering: CilinderKop met sleuf
Verpakkingseenheid: doos a 200st
</t>
  </si>
  <si>
    <t>Draadstift M10 L40mm, DIN 976 4,8.
Doos 100 stuks.</t>
  </si>
  <si>
    <t>Draadstift M10 L70mm, DIN 976 4,8.
Doos 100 stuks.</t>
  </si>
  <si>
    <t>Draadstift M10 L100mm, DIN 976 4,8.
Doos 100 stuks.</t>
  </si>
  <si>
    <t>Inslaganker Sika M10x30 brandwerend Afmeting: M10x30 Opp.
Verpakkingseenheid: doos 50 stuks.</t>
  </si>
  <si>
    <t>Montage tool voor het monteren van M10 draadeindes met behulp van bv.
een elektrische schroevendraaier.</t>
  </si>
  <si>
    <t>Schakelventiel 3 aansluitingen met 2 standen. Knop rood. NC = Normally
Closed. PN30. Veerretour. Binnendraad BSP 1/4".</t>
  </si>
  <si>
    <t>De router GW1042M-X-QFX van Westermo is onderdeel van MSR Gateway 0.6.
Deze wordt besteld door het MSR Gateway 0.6 project binnen Alliander
Telecom (AT) dan wel door de Alliander Telecom Servicedesk (ATS).</t>
  </si>
  <si>
    <t xml:space="preserve">De noord router GW1042M-X-RFS van Westermo is onderdeel van RTI.
Deze wordt besteld door het RTI project binnen Alliander Telecom (AT)
dan wel door de Alliander Telecom Servicedesk (ATS).
</t>
  </si>
  <si>
    <t>De zuid router GW1042M-X-RFS van Westermo is onderdeel van RTI.
Deze wordt besteld door het RTI project binnen Alliander Telecom (AT)
dan wel door de Alliander Telecom Servicedesk (ATS).</t>
  </si>
  <si>
    <t xml:space="preserve">Bevestigingsbeugel t.b.v. het plaatsen van een LS-meetkast
</t>
  </si>
  <si>
    <t>Kortsluitblok Meetwagen connector.
Deze connector kan bevestigd worden op de aansluitkabels voorzien van
een aansluitstekker.</t>
  </si>
  <si>
    <t xml:space="preserve">Enkele europrofielcilinder 17mm, klasse 1.3, C250, SKG3, verstelbare
meenemer, mat vernikkeld, 30-10.
</t>
  </si>
  <si>
    <t xml:space="preserve">Enkele europrofielcilinder 17mm, klasse 1.3, C250, SKG3, verstelbare
meenemer, mat vernikkeld, 35-10.
</t>
  </si>
  <si>
    <t xml:space="preserve">Enkele europrofielcilinder 17mm, klasse 1.3, C250, SKG3, verstelbare
meenemer, mat vernikkeld, 40-10.
</t>
  </si>
  <si>
    <t xml:space="preserve">Enkele europrofielcilinder 17mm, klasse 1.3, C250, SKG3, verstelbare
meenemer, mat vernikkeld, 45-10.
</t>
  </si>
  <si>
    <t xml:space="preserve">Enkele europrofielcilinder 17mm, klasse 1.3, C250, SKG3, verstelbare
meenemer, mat vernikkeld, 50-10.
</t>
  </si>
  <si>
    <t xml:space="preserve">Enkele europrofielcilinder 17mm, klasse 1.3, C250, SKG3, verstelbare
meenemer, mat vernikkeld, 55-10.
</t>
  </si>
  <si>
    <t xml:space="preserve">Enkele europrofielcilinder 17mm, klasse 1.3, C250, SKG3, verstelbare
meenemer, mat vernikkeld, 60-10.
</t>
  </si>
  <si>
    <t xml:space="preserve">Enkele europrofielcilinder 17mm, klasse 1.3, C250, SKG3, verstelbare
meenemer, mat vernikkeld, 65-10.
</t>
  </si>
  <si>
    <t xml:space="preserve">Enkele europrofielcilinder 17mm, klasse 1.3, C250, SKG3, verstelbare
meenemer, mat vernikkeld, 70-10.
</t>
  </si>
  <si>
    <t xml:space="preserve">Enkele europrofielcilinder 17mm, klasse 1.3, C250, SKG3, verstelbare
meenemer, mat vernikkeld, 75-10.
</t>
  </si>
  <si>
    <t xml:space="preserve">Enkele europrofielcilinder 17mm, klasse 1.3, C250, SKG3, verstelbare
meenemer, mat vernikkeld, 80-10.
</t>
  </si>
  <si>
    <t xml:space="preserve">Enkele europrofielcilinder 17mm, klasse 1.3, C250, SKG3, verstelbare
meenemer, mat vernikkeld, 85-10.
</t>
  </si>
  <si>
    <t xml:space="preserve">Enkele europrofielcilinder 17mm, klasse 1.4, C250, SKG3, verstelbare
meenemer, mat vernikkeld, 30-10.
</t>
  </si>
  <si>
    <t xml:space="preserve">Enkele europrofielcilinder 17mm, klasse 1.4, C250, SKG3, verstelbare
meenemer, mat vernikkeld, 35-10.
</t>
  </si>
  <si>
    <t xml:space="preserve">Enkele europrofielcilinder 17mm, klasse 1.4, C250, SKG3, verstelbare
meenemer, mat vernikkeld, 40-10.
</t>
  </si>
  <si>
    <t xml:space="preserve">Enkele europrofielcilinder 17mm, klasse 1.4, C250, SKG3, verstelbare
meenemer, mat vernikkeld, 45-10.
</t>
  </si>
  <si>
    <t xml:space="preserve">Enkele europrofielcilinder 17mm, klasse 1.4, C250, SKG3, verstelbare
meenemer, mat vernikkeld, 50-10.
</t>
  </si>
  <si>
    <t xml:space="preserve">Enkele europrofielcilinder 17mm, klasse 1.4, C250, SKG3, verstelbare
meenemer, mat vernikkeld, 55-10.
</t>
  </si>
  <si>
    <t xml:space="preserve">Enkele europrofielcilinder 17mm, klasse 1.4, C250, SKG3, verstelbare
meenemer, mat vernikkeld, 60-10.
</t>
  </si>
  <si>
    <t xml:space="preserve">Enkele europrofielcilinder 17mm, klasse 1.4, C250, SKG3, verstelbare
meenemer, mat vernikkeld, 65-10.
</t>
  </si>
  <si>
    <t xml:space="preserve">Enkele europrofielcilinder 17mm, klasse 1.4, C250, SKG3, verstelbare
meenemer, mat vernikkeld, 70-10.
</t>
  </si>
  <si>
    <t xml:space="preserve">Enkele europrofielcilinder 17mm, klasse 1.4, C250, SKG3, verstelbare
meenemer, mat vernikkeld, 75-10.
</t>
  </si>
  <si>
    <t xml:space="preserve">Enkele europrofielcilinder 17mm, klasse 1.4, C250, SKG3, verstelbare
meenemer, mat vernikkeld, 80-10.
</t>
  </si>
  <si>
    <t xml:space="preserve">Enkele europrofielcilinder 17mm, klasse 1.4, C250, SKG3, verstelbare
meenemer, mat vernikkeld, 85-10.
</t>
  </si>
  <si>
    <t xml:space="preserve">Enkele europrofielcilinder 17mm, klasse 1.9, 35/10.
5 mm verlengd in Nuon profiel. Lips-trivium.
</t>
  </si>
  <si>
    <t xml:space="preserve">Enkele europrofielcilinder 17mm, klasse 1.9, 40/10.
5 mm verlengd in Nuon profiel. Lips-trivium.
</t>
  </si>
  <si>
    <t xml:space="preserve">Enkele europrofielcilinder 17mm, klasse 1.9, 45/10.
5 mm verlengd in Nuon profiel. Lips-trivium.
</t>
  </si>
  <si>
    <t xml:space="preserve">Enkele europrofielcilinder 17mm, klasse 1.9, 50/10.
5 mm verlengd in Nuon profiel. Lips-trivium.
</t>
  </si>
  <si>
    <t xml:space="preserve">Kunststof plaat t.b.v. bevestigingsbeugel t.b.v. LS-Meten.
</t>
  </si>
  <si>
    <t xml:space="preserve">Zeskantplaatschroef zelfborend DIN7504K 4,2x25 elvz ds a 200st
</t>
  </si>
  <si>
    <t xml:space="preserve">Enkele europrofielcilinder 17mm, klasse 1.9, 55/10.
5 mm verlengd in Nuon profiel. Lips-trivium.
</t>
  </si>
  <si>
    <t xml:space="preserve">Enkele europrofielcilinder 17mm, klasse 1.9, 60/10.
5 mm verlengd in Nuon profiel. Lips-trivium.
</t>
  </si>
  <si>
    <t xml:space="preserve">Enkele europrofielcilinder 17mm, klasse 1.9, 65/10.
5 mm verlengd in Nuon profiel. Lips-trivium.
</t>
  </si>
  <si>
    <t xml:space="preserve">Enkele europrofielcilinder 17mm, klasse 1.9, 70/10.
5 mm verlengd in Nuon profiel. Lips-trivium.
</t>
  </si>
  <si>
    <t xml:space="preserve">Enkele europrofielcilinder 17mm, klasse 1.9, 75/10.
5 mm verlengd in Nuon profiel. Lips-trivium.
</t>
  </si>
  <si>
    <t xml:space="preserve">Enkele europrofielcilinder 17mm, klasse 1.9, 80/10.
5 mm verlengd in Nuon profiel. Lips-trivium.
</t>
  </si>
  <si>
    <t xml:space="preserve">Enkele europrofielcilinder 17mm, klasse 1.9, 85/10.
5 mm verlengd in Nuon profiel. Lips-trivium.
</t>
  </si>
  <si>
    <t xml:space="preserve">LS Meetunit , onderdeel van MSR-gateway 0.6.
Fabrikant         Mikronika
Fabriekstype MEM-202
</t>
  </si>
  <si>
    <t xml:space="preserve">751-9401 Compact controller 100
8DI 4DO 2AI 2AO 2NI1K/PT1K 1RS485
2 x Ethernet, CAN, CANopen, SD
EAN-Nr.: 4066966380774
Typenummer: RTU CC100 – 751-9401
Leverancier: Wago
</t>
  </si>
  <si>
    <t xml:space="preserve">2687-2143 Netvoeding Eco 2, 1-fasig,
Uitgangsspanning DC 24 V,
Uitgangsstroom 2,5 A,
DC-OK LED.
EAN-Nr.: 4066966480061
</t>
  </si>
  <si>
    <t xml:space="preserve">Gasmeter
Fabricaat:  Honeywell
Type:   BK-G10 ETeB
Meetprincipe:  Balg
Klasse:   1,5
Capaciteit:  G10 (0,1 – 16 m³/h)
Compliance:  SMR 5.5
Temperatuurcorrectie: Ja
Drukcorrectie:  Ja ( luchtdruk: 1015,5 mbar; voordruk: 28 mbar)
Klep:   Geen
Communicatie:  Mbus Draadloos
Nominale diameter:  DN50
Hartafstand:   300 mm
Schroefdraad:  G2"
</t>
  </si>
  <si>
    <t xml:space="preserve">Gasmeter
Fabricaat:  Honeywell
Type:   BK-G16 ETeB
Meetprincipe:  Balg
Klasse:   1,5
Capaciteit:  G16 (0,16 – 25 m³/h)
Compliance:  SMR 5.5
Temperatuurcorrectie: Ja
Drukcorrectie:  Ja ( luchtdruk: 1015,5 mbar; voordruk: 28 mbar)
Klep:   Geen
Communicatie:  Mbus Draadloos
Nominale diameter:  DN50
Hartafstand:   300 mm
Schroefdraad:  G2"
</t>
  </si>
  <si>
    <t xml:space="preserve">Inbus slagdop 1/2"x6mm.
De lengte van de zeskant is 25mm.
Deze lengte wordt geeist bij de Nexans behorend bij
verbindingsmof artikel 20039307.
</t>
  </si>
  <si>
    <t>MSR-gateway 0.6 systeemkast</t>
  </si>
  <si>
    <t xml:space="preserve">Enkele europrofielcilinder 17mm, klasse 1.9, 30/10.
5 mm verlengd in Nuon profiel. Lips-trivium.
</t>
  </si>
  <si>
    <t>Aanboor T-stuk voor HD gas afblaasunit variabel aanboring</t>
  </si>
  <si>
    <t>Gas afblaasunit variabele aanboring staal DN50</t>
  </si>
  <si>
    <t xml:space="preserve">Gas alblaasunit Bovenaanboring staal DN50
</t>
  </si>
  <si>
    <t xml:space="preserve">Kaart ‘’ Aangepaste werkzaamheden Heijmans’’
Omvang : 50 vel per blok
Formaat : 148 x 210 mm
Bedrukking : tweezijdig full colour
Papier : 160 grams bankpost
Afwerking : nasnijden, en per 50 vel lijmen aan de kop (210) op
onderbord.
</t>
  </si>
  <si>
    <t xml:space="preserve">Kaart ‘’Niet thuis Heijmans’’
Omvang : 50 vel per blok
Formaat : 148 x 210 mm
Bedrukking : tweezijdig full colour
Papier : 160 grams bankpost
Afwerking : nasnijden, en per 50 vel lijmen aan de kop (210) op
onderbord.
</t>
  </si>
  <si>
    <t>Generieke melder.
Wordt met name toegepast voor het monitoren van kabeloliedruk,
storingsverklikkers en kathodische bescherming.</t>
  </si>
  <si>
    <t xml:space="preserve">Accu 36V voor Hydropomp; Ultra-M-Technologie: intelligent
accu-management voor duurzame accu-packs. Air cooled laadtechnologie.
Permanente elektronische bewaking van de afzonderlijke cellen (ESCP) bij
het opladen, voor een zeer lange levensduur. Processorgestuurd oplaad-
en ontlaadmanagement. Capaciteitsindicatie voor controle van de
laadtoestand. Kunnen lang worden opgeslagen met nagenoeg geen
zelfontlading.
Spanning: 36 V.
Capaciteit: 6,2 Ah.
</t>
  </si>
  <si>
    <t xml:space="preserve">Handpomp drukgever set voor groengas invoerders. SIKA P60.
De pomp is voorzien van 2 maal Rectus 21KA snelkoppelingen en een 7 tal
snelkoppelingen. Tevens zit er een BDA10 dop in de set.
</t>
  </si>
  <si>
    <t xml:space="preserve">Gasmeter
Fabricaat:  Flonidan
Type:   Uniflo G10SRT
Meetprincipe:  Balg
Klasse:   1,5
Capaciteit:  G10 (0,1 – 16 m³/h)
Compliance:  SMR 5.5
Temperatuurcorrectie: Ja
Drukcorrectie:  Ja ( luchtdruk: 1015,5 mbar; voordruk: 28 mbar)
Klep:   Geen
Communicatie:  Mbus Draadloos
Nominale diameter:  DN40
Hartafstand:   300 mm
Schroefdraad:  G2"
</t>
  </si>
  <si>
    <t xml:space="preserve">Gasmeter
Fabricaat:  Flonidan
Type:   Uniflo G16SRT
Meetprincipe:  Balg
Klasse:   1,5
Capaciteit:  G16 (0,16 – 25 m³/h)
Compliance:  SMR 5.5
Temperatuurcorrectie: Ja
Drukcorrectie:  Ja ( luchtdruk: 1015,5 mbar; voordruk: 28 mbar)
Klep:   Geen
Communicatie:  Mbus Draadloos
Nominale diameter:  DN40
Hartafstand:   300 mm
Schroefdraad:  G2"
</t>
  </si>
  <si>
    <t xml:space="preserve">Pijpensnijder 6 - 66 mm tbv Staal en RV;
Snelwerkende buizensnijder.
Beschikt over een snelverstelling, constructie met I-profiel, geharde
slijtvaste oppervlakken en een slede met druklager voor een soepele
werking. X-CEL® knop snijdt buizen sneller en gemakkelijker met grotere,
meer ergonomische ontwerpen.
X-CEL wielpen verwisselt het snijwieltje snel met behulp van onze nieuwe
kogelblokkering... geen gereedschap nodig... geen verloren klemmen!
Heeft een wegklapbare ruimer.
Ridgid Type: 152
</t>
  </si>
  <si>
    <t>De gebruikte antenne set A-OMNI-0282-V2-02 van ICMT is onderdeel van MSR
Gateway 0.6 (en latere versies). Deze wordt besteld door het MSR Gateway
project binnen Alliander Telecom (AT) dan wel door de Alliander Telecom
Servicedesk (ATS).</t>
  </si>
  <si>
    <t xml:space="preserve">Graszaad 1 kg ECOstyle Gazon Herstel;
Voor 40 tot 60 m2 gebruik je na het verticuteren van het gras.
Aan Graszaad-Extra is een bacteriepreparaat toegevoegd. Dit preparaat
zorgt ervoor dat het zaad evenwichtiger kiemt waardoor er snel een
dichte grasmat ontstaat met een sterk wortelgestel. ECOstyle
Graszaad-Extra is omhuld met een natuurlijke coating waardoor het
graszaad minder aantrekkelijk is voor vogels.
</t>
  </si>
  <si>
    <t>20039993 FlexOV device
20040148 Router 4G FlexOV
26000505 Schakelinstall. 10/20kV Siemens RRT
26001120 Nettrafo 10kV  400kVA  DYN5 isol
32000000 Behuizing MSR small
32000016 Afwerking metalen dl RAL6009 MSR small
32000024 Montage van het rek  630 kVA
32000029 OV-paneel voor LS-rek 630 kVA
32000030 Montage OV-paneel voor LS-rek 630 kVA
32000039 Zekeringen transformatorveld (577A)
32000075 Afwerking beton RAL 6009 MSR small
32000092 LS-rek  630 | 8 strk | 0 DIN00
32000100 Montage FlexOV dev. en router
Standaard aansluitschema: 1_1001</t>
  </si>
  <si>
    <t>20039993 FlexOV device
20040148 Router 4G FlexOV
26000505 Schakelinstall. 10/20kV Siemens RRT
26001150 Nettrafo 10kV  630kVA  DYN5 isol
32000000 Behuizing MSR small
32000016 Afwerking metalen dl RAL6009 MSR small
32000024 Montage van het rek  630 kVA
32000029 OV-paneel voor LS-rek 630 kVA
32000030 Montage OV-paneel voor LS-rek 630 kVA
32000040 Zekeringen transformatorveld (910A)
32000075 Afwerking beton RAL 6009 MSR small
32000092 LS-rek  630 | 8 strk | 0 DIN00
32000100 Montage FlexOV dev. en router
Standaard aansluitschema: 1_1001</t>
  </si>
  <si>
    <t>20039993 FlexOV device
20040148 Router 4G FlexOV
26000500 Schakelinstall. 10/20kV Siemens RRT-R
26001150 Nettrafo 10kV  630kVA  DYN5 isol
32000000 Behuizing MSR small
32000016 Afwerking metalen dl RAL6009 MSR small
32000024 Montage van het rek  630 kVA
32000029 OV-paneel voor LS-rek 630 kVA
32000030 Montage OV-paneel voor LS-rek 630 kVA
32000040 Zekeringen transformatorveld (910A)
32000075 Afwerking beton RAL 6009 MSR small
32000092 LS-rek  630 | 8 strk | 0 DIN00
32000100 Montage FlexOV dev. en router
Standaard aansluitschema: 1_1001</t>
  </si>
  <si>
    <t>20039993 FlexOV device
20040148 Router 4G FlexOV
26000664 Schakelinstall. 24kV ABB FCVC W4 O SVK
26001150 Nettrafo 10kV  630kVA  DYN5 isol
32000002 Behuizing MSR medium
32000017 Afwerking metalen dl RAL6009 MSR medium
32000025 Montage van het rek 1000 kVA
32000031 OV-paneel voor LS-rek 1000 kVA
32000032 Montage OV-paneel voor LS-rek 1000 kVA
32000040 Zekeringen transformatorveld (910A)
32000079 Afwerking beton RAL 6009 MSR medium
32000097 LS-rek 1000 | 14 strk | 0 DIN00
32000100 Montage FlexOV dev. en router
Standaard aansluitschema: 1_1001</t>
  </si>
  <si>
    <t>20039993 FlexOV device
20040148 Router 4G FlexOV
26000500 Schakelinstall. 10/20kV Siemens RRT-R
26001150 Nettrafo 10kV  630kVA  DYN5 isol
32000000 Behuizing MSR small
32000016 Afwerking metalen dl RAL6009 MSR small
32000024 Montage van het rek  630 kVA
32000029 OV-paneel voor LS-rek 630 kVA
32000030 Montage OV-paneel voor LS-rek 630 kVA
32000040 Zekeringen transformatorveld (910A)
32000075 Afwerking beton RAL 6009 MSR small
32000092 LS-rek  630 | 8 strk | 0 DIN00
32000100 Montage FlexOV dev. en router
Standaard aansluitschema: 1_1021</t>
  </si>
  <si>
    <t>20039993 FlexOV device
20040148 Router 4G FlexOV
26000664 Schakelinstall. 24kV ABB FCVC W4 O SVK
26001150 Nettrafo 10kV  630kVA  DYN5 isol
32000002 Behuizing MSR medium
32000017 Afwerking metalen dl RAL6009 MSR medium
32000025 Montage van het rek 1000 kVA
32000031 OV-paneel voor LS-rek 1000 kVA
32000032 Montage OV-paneel voor LS-rek 1000 kVA
32000040 Zekeringen transformatorveld (910A)
32000079 Afwerking beton RAL 6009 MSR medium
32000097 LS-rek 1000 | 14 strk | 0 DIN00
32000100 Montage FlexOV dev. en router
Standaard aansluitschema: 1_1021</t>
  </si>
  <si>
    <t>Slang tbv dubbelwandige Ventilator.
Ventilatorslang tbv dubbelwandige ventilator voor het ventileren van
ruimtes.
Diameter slang 305 mm
Lengte slang 7,5 meter</t>
  </si>
  <si>
    <t>RTI kast Type B leverancier Moekotte</t>
  </si>
  <si>
    <t>Kniptang HDPE t/m 64mm (geisoleerd)
De kniptang voldoet aan de IEC 60900. Het speciale gepatenteerde ontwerp
van het lemmet en de nauwkeurige geometrie van de aanvalshoek, maak de
EGA Master Piraina® kunststof pijpsnijder een veelzijdig gereedschap
voor het snijden van PE, PP, PB, VPE, PVDF, PEX, meerlagenbuizen, zelfs
stijve PVC-buizen, zonder risico op buisbreuk.</t>
  </si>
  <si>
    <t xml:space="preserve">Meetkoffer voor geautomatiseerde sterkte-  en dichtheidsbeproevingen van
aansluitleidingen en binnen installaties. In robuuste, waterdichte
koffer (IP 67).
• Meetprocedure uit VIAG is volledig voorgeprogrammeerd
• Elektrische pomp, automatische afblaas
• Afmeting: ca. 263 x 205 x 110 mm
• Gewicht: ca. 2.300 g
• Validatie van de meetwaarden
• Intern geheugen: &gt; 2 mljn. Meetwaarden
• Meetbereik: 0 - 1.100 mbar met Pmax. 2.500 mbar
• Nauwkeurigheid: 0,2 %
• Resolutie: 0,1 mbar
• P max: 2,5 bar
• Bedrijfstijd: meerdere dagen afhankelijk van beproevingen en
pompgebruik
• Bluetooth
• Optionele functies: LTE/GPS, PC1 software en cloudservices
• Optionele accessoires: toebehorenkoffer, aansluitslang en persstoppen
</t>
  </si>
  <si>
    <t>Muurbeugel verhoogd v gasmeteropstelling voor gAvilar
gasvoerendemeterbeugel G4/G6.
Bevestigingsconstructie hoog voor gasvoerende meterbeugels.
Set incl. 4 slotbouten, moeren en sluitringen.
Voor een grotere afstand tussen wand en meterbeugel.</t>
  </si>
  <si>
    <t>T-stopper 40mm.
Afsluitorgaan voor PE80 40mm.
Ten behoeve van wegnemen van een gaszadel bij gasafsluiting.
Zie N1402.</t>
  </si>
  <si>
    <t xml:space="preserve">Wringstavenset (1+2+3) Gedore 26rs 1+2+3 (ALL)
Wringstavenset (1+2+3) Gedore 26rs  Verchroomd, getrapt model.
Bestemd voor gebruik met pijpsleutels 26R.
Set bevat:
Wringstaaf Gedore 26RS-1 190mm
Wringstaaf Gedore 26RS-2 240mm
Wringstaaf Gedore 26RS-3 330mm
</t>
  </si>
  <si>
    <t>Hoekstaafstaal warmgewalst. Fe 360A. Euronorm 25.
Afmetingen: 50x50x5mm. Lengte 6 meter. Gewicht: 3,8 kg/m.</t>
  </si>
  <si>
    <t>Ontvetter (2,5 liter) #NEBOL Odourless.</t>
  </si>
  <si>
    <t xml:space="preserve">Handreiniger Dreumex Speciaal 4,2ltr wit
Dreumex special  Deze oplosmiddelvrije handreinigingspasta kan gebruikt
worden voor middelzware tot zware vervuilingen zoals smeermiddelen,
diesel, remvloeistof, cement en roest. De pasta is met name geschikt
voor gebruik in de autoindustrie, de bouw en metaalbewerkende industrie.
Productvoordelen:  - extra werkzaam, dankzij huidvriendelijke
microkorrels  - oplosmiddelvrij  - gebruik op natte handen  Inhoud:
4,2ltr.
</t>
  </si>
  <si>
    <t>Glijmiddel Bison Blue Gel 6140011 5kg (ALL)
Type: Blue Gel 6140011 Glijmiddel voor het monteren van buizen, moffen
en fittingen met rubber manchet (schuifmof) verbindingen in druk- en
afvoersystemen.   Toepassingsgebied Voor het monteren van buizen, moffen
en fittingen met rubber manchet (schuifmof) verbindingen in druk- en
afvoersystemen. Geschikt voor alle diameters. Ook goed verwerkbaar op
natte ondergronden. Geschikt voor PVC, PVC-O, PE, PP, GVK, beton en
gecoat gietijzer. Niet geschikt voor ABS.   Eigenschappen Zuurvrij
Tixotroop Wateroplosbaar  Inhoud: 5kg.</t>
  </si>
  <si>
    <t>Ijzermenie RALTEC 2,5 ltr. roodbruin
Soort: ijzermenie Kleur: roodbruin. Inhoud: 2,5 liter. Toepassing: Als
roestwerende grondverf voor staal. Eigenschappen: Goede dekking,
roestwerend, vormt goede hechting voor eindlaag. Voor binnen en buiten.
Verbruik: Circa 10 m² per liter.</t>
  </si>
  <si>
    <t xml:space="preserve">Verf Nelfamar Vinyl 5ltr ral 0678 d.grijs (ALL)
Nelfamar Vinyl Miocoat Verf
kleur: donkergrijs Ral 0678
1 Bus = 5 liter.
</t>
  </si>
  <si>
    <t xml:space="preserve">Verf Nelfamar Vinyl+ 5ltr ral 1004 geel (ALL)
Nelfamar Vinyl Miocoat Verf
kleur: geel Ral 1004
1 Bus = 5 liter.
</t>
  </si>
  <si>
    <t>Primer Corrisol WS voor het verkrijgen van een goede hechting van
DENSO-Bitumenband AV-G4 op het te bekleden oppervlak. 1 bus = 5 liter.</t>
  </si>
  <si>
    <t>Conserveringsmiddel (blik verf)
kleur geel / RAL 1004
Expoxy coating.
bus = 0,25ltr
tbv Gasstations gAvilar</t>
  </si>
  <si>
    <t>Enkelvoudig gas argon 4.6.
In cilinder van 10 liter / 2,2 m3 gas / 200 bar.
Schouder &lt;(&gt;&amp;&lt;)&gt; cilinder kleur: smaragdgroen.
Toepassing:
Standaard beschermgas voor het TIG-lassen van alle
lasbare metalen, waaronder RVS. Ook geschikt voor het
plasmalassen. Het gas geeft, naast een goede bescherming,
een makkelijk ontsteekbare boog en heeft een gunstige
invloed op de boogkarakteristiek.</t>
  </si>
  <si>
    <t>Menggas, gassoorten: argon/koolzuur (Ar/CO2)
In cilinder van 20 liter/ 6,7 m3 gas / 200 bar.
Kleur cilinder: blauwgroen / kleur schouder: geelgroen.
Handelsnaam of soort menggas: Protegon 20
Toepassing:
Voor het MAG-lassen van RVS met een rutiel-gevulde
draad. Maximale zekerheid tegen poreusheid in het
sproeibooggebied. Uitstekend geschikt voor het lassen
van grondnaden en bij die toepassingen, waar een goede,
brede inbranding vereist is.</t>
  </si>
  <si>
    <t>Stikstofvulling N a10l
Gas ruilsysteem.
Wat houdt het ruilsysteem precies in?
Als u nog niet in het bezit bent van een cilinder moet u deze eenmalig
aankopen.
U neemt daarmee automatisch deel aan het ruilsysteem.
Dit houdt in dat u uw cilinder leeg tegen vol kunt omruilen.
Geen lange wachttijden, uw cilinder kan niet meer zoekraken,
u kunt altijd direct verder, dus nooit meer zonder gas.
Eenmaal in het ruilsysteem, geen keur of onderhoudskosten.</t>
  </si>
  <si>
    <t xml:space="preserve">Testgas tbv gaslekzoeken #Ecocyl RSQ.
Aansluiting met quick-connector.
Inclusief batch-certificaat.
Gas mengsel (1L) Aardgas 100 ppm methaan / balans lucht.
In cilinder van 1 liter / 0,15 m3 / 150 bar.
Schouder kleur: groen.
Cilinder kleur: blauw.
</t>
  </si>
  <si>
    <t>Testgas 1000ppm Methaan 1L 12bar (ALL)
Testgas 1 liter
tbv Esder Realtest (A349124)
Cilinder testgas 1000 ppm ch4,
Testgas 1000 ppm Methaan.</t>
  </si>
  <si>
    <t>Kalibratiegascilinder tbv Drager XAM-5000 met sens. Ex/O2/CO/HCN/H2S.
Kalibratiegasmengsel art.nr. 6811132</t>
  </si>
  <si>
    <t>Gasfles testgas 10 ppm tbv de Hunter van Esders.
Cilinder gevuld met 10 ppm methaan testgas ten behoeve van het justeren
van (10ppm testgas) sensoren.</t>
  </si>
  <si>
    <t xml:space="preserve">Kalibratiegas HCN/N2  (Dräger);
Kalibratiegascilinder tbv Drager XAM-5000 met sens. Ex/O2/CO/HCN/H2S.
Kalibratiegas HCN art.nr. 6810642
</t>
  </si>
  <si>
    <t>Kalibratiegas Stikstof N2 (Dräger);
Kalibratiegascilinder tbv Drager XAM-5000 met sens. Ex/O2/CO/HCN/H2S.
Kalibratiegas Stikstof art.nr. 6810394.</t>
  </si>
  <si>
    <t>Reiniger universeel #Ecopoint; Krachtige, biologisch afbreekbare,
multifunctionele onvetter met de toevoeging van natuurlijke soda.
Speciaal ontwikkeld voor de dienstensector, schoonmaakbranche. Inhoud:
drum á 10 liter.</t>
  </si>
  <si>
    <t>Petroleum 5L can (ALL)
Petroleum
Voorzien van veiligheidsstickers.
Verpakt in weggooicans.
Inhoud 5 ltr</t>
  </si>
  <si>
    <t>Hydrauliekolie Kroon Perlus 5ltr H46 31091
Perlus H is uitstekend geschikt voor alle zwaarbelaste hydraulische
systemen van grondverzetmachines en van vaste installaties, die onder
hoge drukken en een groot temperatuurbereik moeten werken. Inhoud: 5
liter.</t>
  </si>
  <si>
    <t xml:space="preserve">Alkylaatbenzine 2T 5ltr
Cleanlife Alkylaatbenzine De meest milieuvriendelijke brandstof voor 2-
takt motoren. Sinds 1 januari 2010 is het gebruik van alkylaatbenzine
door werknemers verplicht in Nederland.
</t>
  </si>
  <si>
    <t>Alkylaatbenzine 4T 5ltr
Cleanlife Alkylaatbenzine De meest milieuvriendelijke brandstof voor 4-
takt motoren. Sinds 1 januari 2010 is het gebruik van alkylaatbenzine
door werknemers verplicht in Nederland.</t>
  </si>
  <si>
    <t>Gedemineraliseerd water 25 liter
Gedemineraliseerd water Verpakkingseenheid: 25 liter
Dit water bevat geen mineralen en andere stoffen. Op deze manier wordt
kalkaanslag en de geleidbaarheid in water zoveel mogelijk beperkt. O.a.
geschikt voor het bijvullen van accu's.</t>
  </si>
  <si>
    <t xml:space="preserve">Lekzoekvloeistof Gaspruf 20L kant&lt;(&gt;&amp;&lt;)&gt;klaar incl. tapkraan
Gaspruf kant en klaar voor het detecteren van gaslekken. Gaspruf is niet
brandbaar, niet giftig en geschikt voor alle technische gassen inclusief
pneumatic. Gaspruf kan worden gebruikt in hoge, middel en lage druk
bereik.
Inhoud: navulflacon a 20 liter inclusief tapkraan.
</t>
  </si>
  <si>
    <t xml:space="preserve">Afdichtkoord Loctite 55 a150mtr wit PTFE a150m
Loctite afdichtingsdraad 55 op rol van 150 meter.  Sneller, veiliger en
gemakkelijker - vervangt hennep/pasta-combinaties en tape - terugdraaien
om te positioneren is mogelijk - temperatuursbestendigheid tot 130 C -
eenvoudig te gebruiken: snel, schoon, definitief en direct dicht - kan
veilig gebruikt worden op metalen en kunststof fittingen.
</t>
  </si>
  <si>
    <t xml:space="preserve">Soldeerdraad 3mm 1000gr 50% tin 50% lood massief zonder kern.
Massief, voor zacht solderen, op spoel.
</t>
  </si>
  <si>
    <t>Chain gel Zettex 400ml
Hoogwaardig universeel smeermiddel en kettingspray Heeft een breed
temperatuursbereik van -/-40°C - +/+220°C Is hars- en zuurvrij,
huidvriendelijk, corrosiewerend en waterbestendig Vormt een actief
blijvende flexibele smeerfilm Komt er waterdun uit.</t>
  </si>
  <si>
    <t>Spray voor elektrobescherming met goede penetrerende
werking, ter voorkoming van startproblemen door vocht. Elektrobeschermer
is waterafstotend en vochtverdringend. Elektrobeschermer is bestand
tegen water, zout, zwakke zuren, basen en pH-neutraal. Beschikt over een
zeer goede hechting en een uitstekende corrosiewering.
Inhoud: 500 ml.
Kleur: transparant.</t>
  </si>
  <si>
    <t xml:space="preserve">PE100 Innotec 104 500 ml vpe=12
PE100 is een beschermer en vocht verdringer op basis van siliconen, die
tevens geschikt is als smeermiddel voor lichte applicaties. Het product
is speciaal ontwikkeld voor rubbers, kunststofsoorten en
ontstekingsystemen. Het dringt door tot de moleculaire structuur
waardoor het van binnenuit beschermt tegen invloeden van buitenaf.
Verpakking Aërosol 500 ml.
</t>
  </si>
  <si>
    <t xml:space="preserve">Verf Motip 000031 600ml geel markering
Sneldrogende markeringspray voor het aanbrengen van markeringen op
steen, beton, asfalt en metaal. Markeringspray heeft een zeer hoge
dekkracht en een duurzame hechting. Markeringspray is slijtvast en
bestand tegen benzine, chemicaliën en weersinvloeden. Motip
Markeringspray is geschikt voor handmatig gebruik.
Kleur: Geel.
Inhoud: 600ml.
</t>
  </si>
  <si>
    <t xml:space="preserve">Reiniger Loctite 7063 a400ml Loctite® 7063,
reiniger en ontvetter 400 ml.
Product op basis van oplosmiddel voor reinigen en ontvetten van alle
oppervlakken.
Verdampt snel Laat geen residu achter corrodeert niet.
Toepassingen:
Verwijdert olie, vet en vuil.
Ideaal voor de voorbehandeling van oppervlakken vóór het lijmen of
afdichten. {behoort bij Loctite Anaerobische producten zoals 570 / 574 /
55 houdbaarheid 104 weken}.
</t>
  </si>
  <si>
    <t>Activator Loctite SF 7240 90ml; LOCTITE SF 7240 is ontwikkeld om de
uithardingssnelheid van LOCTITE anaerobe lijmen en afdichtingsmiddelen
te bevorderen zonder dat de verbindingen al te veel verzwakken. Het
product wordt in het bijzonder aanbevolen voor toepassingen met passieve
metalen of inerte oppervlakken en bij grote spelingen. Het moet ook
gebruikt worden als de uithardingstemperatuur laag is. Het wordt in het
bijzonder aanbevolen voor uitharding bij minder dan 15 °C.
Verhoogt de uithardingssnelheid op passieve en inactieve oppervlakken
Voor uitharding bij lage temperaturen (&lt;(&gt;&lt;&lt;)&gt; 15 °C)
Voor grote spelingen</t>
  </si>
  <si>
    <t xml:space="preserve">Activator Loctite 7649 150ml type N (ALL)
Versnellen de uitharding op passieve en inactieve oppervlakken. Voor
grote speling. Werkzaamheidsduur: &lt;(&gt;&lt;&lt;)&gt; 30dagen. Inhoud: 150 ml.
{Behoort bij Loctite Anaerobische producten zoals 570 / 574.
Gebruiken bij lage temperaturen;
Versnellen van uitharden van lijmen en afdichtingen;
Houdbaarheid 104 weken}
</t>
  </si>
  <si>
    <t xml:space="preserve">Verf RAL 6009 dennengroen (spuitbus), RAL6009 (dennengroen) tbv herstel
lichte beschadigingen aan gas kasten.
Sneldrogende lak met zeer hoge dek- en vulkracht voor professioneel
gebruik. Voor het behandelen van behandelde en onbehandelde ondergronden
van hout, metaal, aluminium, glas, steen en diverse soorten kunststof.
De lak heeft een duurzame kleur en glans, is kras- en stootvast en heeft
een goede corrosiewering. Industrial Lak is bestand tegen
weersinvloeden, UV-bestendig en lichtecht.
Kleur: RAL6009 Mat.
Inhoud: spuitbus à 400 ml.
</t>
  </si>
  <si>
    <t xml:space="preserve">Verf RAL 1004 geel
- Verf gebaseerd op een sneldrogende magere sojaolie alkydhars. Snel
droog en hoogwaardige kwaliteit pigmenten zorgen voor een langer glans
en kleurbehoud. De licht-elastische verflaag voorkomt voortijdig
barsten, scheuren en afbladderen.
- Kleur: RAL1004 (geel).
- Type: 2149
- Inhoud: spuitbus à 500 ml.
</t>
  </si>
  <si>
    <t xml:space="preserve">Decoupeerzaagblad Bosch T144D T4-5,2mm HCS a5stuks hout
Koolstofstaal (HCS), gezet en geslepen. Toepassing: Zacht hout (5-50
mm), spaan-, meubel- en vezelplaten. Nuttige lengte: 74 mm.   Verpakt
per 5 stuks.
</t>
  </si>
  <si>
    <t>Decoupeerzaagblad Bosch T127D T3mm HSS a5stuks metaal
HSS, gezet en gefreesd. Toepassing: speciaal voor aluminium, dun tot
sterk staal (3-15 mm), buizen + profielen (ø &lt;(&gt;&lt;&lt;)&gt;30 mm). Nuttige
lengte: 74
mm.  Verpakt per 5 stuks.</t>
  </si>
  <si>
    <t>Decoupeerzaagblad Bosch T101B T2,7mm HCS a5stuks
Koolstofstaal (HCS), vrijhoek-, tandgeslepen. Toepassing: Zacht hout,
spaan-, meubel- en vezelplaten (3-30 mm), kunststoffen/epoxy (ø &lt;(&gt;
&lt;&lt;)&gt;30 mm).
Nuttige lengte: 74 mm.  Verpakt per 5 stuks.</t>
  </si>
  <si>
    <t xml:space="preserve">Temperatuurstrip voor het bepalen van de belastingshoogte
van distributietrafo's (Norm 7893).
8 levels.
Type: B Thermax.
Eenheid:
1 boekje met daarin 10 temperatuurstrips.
(Opmerking:
De leverancier levert bij grotere vraag omverpakkingen:
10 boekjes gesealed in plastic).
</t>
  </si>
  <si>
    <t>Bindtouw Kordel S 4mm hennep a500gr
Type: S Bindtouw  Diameter: 4 mm.  Materiaal: hennep.  Gewicht: 500 g.</t>
  </si>
  <si>
    <t>Afbreekmes Stanley 1-11-300 9mm a 10stuks
Geschikt voor alle 9,5 mm. Afbreekmessen. 12 afbreekbare segmenten.
Verpakt per 10 stuks.</t>
  </si>
  <si>
    <t>2-componenten polyurethaan snelschuim.
Tandemkoker a 210 ml.
Merk: Tremco Illbruck Productie B.V.
Inclusief spuitmond.</t>
  </si>
  <si>
    <t>Laselektrode Filarc 48 2,5x350mm Rutiel (840/6)
De Filarc 48 is een rutiel elekktrode voor het lassen in alle posities
van zowel dunnere als dikkere plaat. Onder meer geschikt voor
plaatverwerkende industrieën, scheepsbouw en carrosseriebouw. De
elektrode kenmerkt zich door gemakkelijk starten en herstarten en heeft
een zeer goede lasbaarheid. Classificatie: AWS A5,1: E6013, EN 499: E 42
2 R 11.
&lt;(&gt;&lt;&lt;)&gt;toevoeging&gt;
Geleverd per koker van 140 stuks.</t>
  </si>
  <si>
    <t>Montagekit Bison 125gr
Voor snel en muurvast bevestigen van hout en kunststof op beton en
steen. Dots gewijs aanbrengen.</t>
  </si>
  <si>
    <t>Siliconenkit Dow Corning 752RTV a90ml transparant
Siliconenkit Dow Corning 752RTV a90ml transparant Multifunctionele één
component siliconen kit. Speciaal voor industriële onderhouds- en
reparatiedoeleinden. Hardt uit op kamertemperatuur. Goede hechting aan
veel substraten. Blijft flexibel van -50°C tot +220°C. Goed bestendig
tegen ouderdom, UV en chemisch contact. FDA-goedkeur.</t>
  </si>
  <si>
    <t>Schroefdraadborgmiddel Loctite 243 blauw acrylaat/anaëroob a50ml
Type: 243   Borgen en afdichten van bouten, moeren en schroeven zodat ze
bestand zijn tegen trillingen. Demontage met handgereedschap mogelijk
Werkt op alle metalen draadcomponenten Blauw – vloeibaar
Acrylaat/anaëroob Sterkte: medium Draadmaat: tot M 36
Temperatuurbestendigheid: -55°C tot + 150°C  Inhoud: 50 ml.</t>
  </si>
  <si>
    <t>Huidbescherming Estolan 100ml (ALL)
ESTOLAN® is een licht vettende, huidverzorgende crème zonder siliconen.
Speciale glycerine-esters op basis van plantaardige vetzuren maken de
huid glad en verzorgen deze, zodat ze soepel en beschermd blijft. Het
ruw worden of uitdrogen van de huid, oorzaak van vele beroepsdermatosen,
wordt verhindert en de natuurlijke beschermfunctie van de huid blijft
behouden. ESTOLAN® dringt zeer snel in de huid in en door de speciaal
uitgezochte lipidecomponenten laat het geen hinderlijke vetfilm achter.
Toepassingsgebied: Lichte basisverzorging, ideaal voor de normale huid.
Inhoud tube 100ml.</t>
  </si>
  <si>
    <t>Afdichtingspasta Stopaq 2100grt 0,62 kg tube (ALL)
Type: FN 2100 L
Afdichtingspasta, grote uitvoering bevat: 0,62 kg  Toepassing: Kabel- en
leidingdoorvoeringen onder het maaiveldniveau, waterdicht en gas
belemmerend afdichten volgens NEN 2768.
Geschikt voor Stopaq kitpistool (A348064)
Geschikt voor speciale Stopaq kitpistool 20003434.</t>
  </si>
  <si>
    <t>Handreiniger Kresto tube 250ml (ALL)
Kresto is een schuur en oplosmiddelbevattende, zwakzure handreiniger met
zeer sterke reinigingskracht. Het gebruikte oplosmiddel is vrij van
toxicologisch twijfelachtige bestanddelen, zoals b.v. gehalogeneerde of
aromatische koolwaterstoffen. Kreso reinigt tot diep in de poriën zonder
de huid overmatig te belasten.</t>
  </si>
  <si>
    <t>Siliconenolie voor Magnefix
In tube van 100 gram</t>
  </si>
  <si>
    <t>Montagepasta Molykote GN+ a100gr
Montagepasta Molykote GN Op basis van molybdeendisulfide en andere vaste
smeerstoffen. Toepassing: montage van pasbouten,cilinderkopbouten,
schroefdraden aan krachtinstallaties en stoomketels,
schroefdraadverbindingen in chemische installaties inhoud 100 gram.</t>
  </si>
  <si>
    <t>Zonnebrandcreme Stokoderm factor 30 (100ml).
SPF30 zonnebrandcreme die de huid beschermt tegen de schadelijke
(verouderende) UV-A en (verbrandende) UV-B-stralen van de zon. Onge
parfumeerde, niet-vettige crème heeft een formule die onveranderd blijft onder invloed van licht en is tevens waterbestendig en
vochtinbrengend.</t>
  </si>
  <si>
    <t>Kranenvet Molykote 1102 a50gr
Molykote 1102 is te gebruiken bij aardgaskranen op hoofdleidingen en
geschikt voor smeren van kleinere kranen van metaal, glas of kunststof.
Molykote 1102 heeft een goede waterbestendigheid. Smelt of lekt niet bij
de smeerpunten.
Algemene informatie :
Hoogwaardig smeer- en glijmiddel voor kranen, skiverbindingen,
schuifpui, gordijnrails etcetera. Beschermd tegen roest. Werkt ook bij
kunststof op metaal.
Inhoud: 50gr.</t>
  </si>
  <si>
    <t>Siliconenvet tbv XLPE MS-kabels.</t>
  </si>
  <si>
    <t>855741 MC 43H flatkast compact 5 afgaande richtingen</t>
  </si>
  <si>
    <t>855742 MC 63 flatkast voeding onder-boven</t>
  </si>
  <si>
    <t>AKO(AansluitKastOnbemand) OVL Compact voor openbare verlichting.
Uitgevoerd met 2x6A. Voor alleen nachtverlichting NV en avondverlichting
AV
Let op buispatronen bestel je er apart bij. "</t>
  </si>
  <si>
    <t>Kabel bevestigingssetje voor 3 enkel-en meeraderige
laag-middenspanningskabels.
Voor kabels met een nominale buitendiameter van 24 t/m 35 mm.
Incl.
2 draadeinden M10x85
4 ringen M10
6 moeren M10.</t>
  </si>
  <si>
    <t>Enkelpolige langzaam-aardingsset transformatorveld,
met tas en aardingspennen met kogelbout rond 20mm.</t>
  </si>
  <si>
    <t>Hybride mof geschikt voor 20kV XLPE 1x240 mm2 Al op 10-20kV XLPE 1x630
mm2 Al . Inclusief schroefverbinders.</t>
  </si>
  <si>
    <t>Buis PVC 19 mm, wit, flexibel (Rol=100m)</t>
  </si>
  <si>
    <t>Buis PVC 16 mm wit, flexibel (rol=100m)</t>
  </si>
  <si>
    <t>HOEKIJZER 40X40X4MM, per lengte van 6 meter.</t>
  </si>
  <si>
    <t>Scotchbrite 3M 598364 150mmx10m rood. Rol 10 meter.</t>
  </si>
  <si>
    <t>Rail flamco 30 x 15mm type R1. Lengte 2 meter.</t>
  </si>
  <si>
    <t xml:space="preserve">Koper staf rond 10mm.
Lengtes van 4 meter.
</t>
  </si>
  <si>
    <t xml:space="preserve">Koper staf rond 16mm.
Lengtes van 4 meter.
</t>
  </si>
  <si>
    <t>STAAL-PLAT-FE 37-40X 5 MM.</t>
  </si>
  <si>
    <t xml:space="preserve">Koper plat  20X 5mm.
Lengtes van 4 meter.
</t>
  </si>
  <si>
    <t>Koper plat 30 x 5 mm. Lengte is 4 meter.</t>
  </si>
  <si>
    <t>Koper plat  40 x 5mm. Lengtes van 4 meter.</t>
  </si>
  <si>
    <t>Koper plat  50 x 10mm. Lengtes van 4 meter.</t>
  </si>
  <si>
    <t>Koper plat  60 x 10mm. Lengtes van 4 meter.</t>
  </si>
  <si>
    <t>Koper plat  80 x 10mm. Lengtes van 4 meter.</t>
  </si>
  <si>
    <t>Koper plat 100 x 10mm. Lengtes van 4 meter.</t>
  </si>
  <si>
    <t xml:space="preserve">Touw 10mm wit nylon rol a 100m
Kerngevlochten nylonkoord op kunststof haspel, vervaardigd uit
nylongaren.
Dit slijtbestendige touw heeft een hoge rek en breekbestendigheid, in
combinatie met een goed arbeidsopnamevermogen.
Diameter: 10 mm.
Lengte: 100 mtr.
Kleur: wit.
</t>
  </si>
  <si>
    <t>UNP  80 warmgewalst U-profiel
(1 lengte = 6 meter).</t>
  </si>
  <si>
    <t xml:space="preserve">Veiligheidsklem 80mm VDE; Kunststof Knijper 1000V VDE 80mm
Lengte 80 mm
Klembreedte 15mm
Met afgeschermde veer
Met rubberen inleg, tegen wegglijden
</t>
  </si>
  <si>
    <t>Bouwheksleutel; De bouwheksleutel is speciaal ontworpen voor het
monteren en demonteren van de bouwhekklem.</t>
  </si>
  <si>
    <t>20039993 FlexOV device
20040148 Router 4G FlexOV
26000656 Schakelinstall. 24kV ABB FCC O SVK
26001120 Nettrafo 10kV  400kVA  DYN5 isol
3200xxxx Oude Behuizing MSR small GBU630S
32000016 Afwerking metalen dl RAL6009 MSR small
32000024 Montage van het rek  630 kVA
32000029 OV-paneel voor LS-rek 630 kVA
32000030 Montage OV-paneel voor LS-rek 630 kVA
32000039 Zekeringen transformatorveld (577A)
32000075 Afwerking beton RAL 6009 MSR small
32000092 LS-rek  630 | 8 strk | 0 DIN00
32000100 Montage FlexOV dev. en router
Standaard aansluitschema: 1_1021</t>
  </si>
  <si>
    <t>20039993 FlexOV device
20040148 Router 4G FlexOV
26000656 Schakelinstall. 24kV ABB FCC O SVK
26001150 Nettrafo 10kV  630kVA  DYN5 isol
3200xxxx Oude Behuizing MSR small GBU630S
32000016 Afwerking metalen dl RAL6009 MSR small
32000024 Montage van het rek  630 kVA
32000029 OV-paneel voor LS-rek 630 kVA
32000030 Montage OV-paneel voor LS-rek 630 kVA
32000040 Zekeringen transformatorveld (910A)
32000075 Afwerking beton RAL 6009 MSR small
32000092 LS-rek  630 | 8 strk | 0 DIN00
32000100 Montage FlexOV dev. en router
Standaard aansluitschema: 1_1021</t>
  </si>
  <si>
    <t>Reservemes voor kabelschiller US15 (PRO)</t>
  </si>
  <si>
    <t>Retoursticker OT-Hub.
Betreft stickervel met 8 stickers “retour OT-Hub”.
In 1 pak zitten 25 vellen.</t>
  </si>
  <si>
    <t>Middenspanning schakelinstallatie Siemens 8DJH BlueGIS RRRT
- Geheel metaalomsloten
- Voorzien van C-conus voor kabelvelden en C-conus voor trafoveld en SVK
in alle kabelvelden
- Toepasbaar in zowel 10 kV als 20 kV netten.</t>
  </si>
  <si>
    <t>Middenspanning schakelinstallatie Siemens 8DJH BlueGIS  RRT
- Geheel metaalomsloten
- Voorzien van C-conus voor kabelvelden en C-conus voor trafoveld en SVK
(SIGMA DM+) in beide kabelvelden
- Toepasbaar in zowel 10 kV als 20 kV netten.</t>
  </si>
  <si>
    <t>Kabelbundelband, transparant, 617 x 6,9 mm. Verpakt per zak van 500
stuks.</t>
  </si>
  <si>
    <t>Modbus aansluit kabel voor de MEM.
0.3 meter open eind.
Male connector.
Voor 235X5 connector op de GATEWAY.
5P-M12MS CANopen kabel afgeschermd M/ (Pin 1,4 en 5 op hulz).</t>
  </si>
  <si>
    <t>Splitter T modbus 5PT-F/F-M VP SH afgeschermd.</t>
  </si>
  <si>
    <t>20039993 FlexOV device
20040148 Router 4G FlexOV
26000656 Schakelinstall. 24kV ABB FCC O SVK
26001120 Nettrafo 10kV  400kVA  DYN5 isol
3200xxxx Oude Behuizing MSR small GBU630S
32000019 Afwerking metalen dl RAL7016 MSR small
32000024 Montage van het rek  630 kVA
32000029 OV-paneel voor LS-rek 630 kVA
32000030 Montage OV-paneel voor LS-rek 630 kVA
32000039 Zekeringen transformatorveld (577A)
32000077 Afwerking beton RAL 7016 MSR small
32000092 LS-rek  630 | 8 strk | 0 DIN00
32000100 Montage FlexOV dev. en router
Standaard aansluitschema: 1_1021</t>
  </si>
  <si>
    <t>Siemens 8DJH blue-GIS bedieningshendel
Artikelnummer leverancier EVA:X00BE0010AA2
2/3 bedieningshendel On-OFF en aarde
Oper. lever (bk) for TPS (I-0-EARTH) and CB type L2/CB-f NAR tbv Siemens
8DJH</t>
  </si>
  <si>
    <t>LS voedingskabel met stekker voor de voeding van GATEWAY kast.
2,5 meter 5 x 2,5 mm2 met female connector.
Kabel met Phoenix 1308661 2,5 meter.</t>
  </si>
  <si>
    <t>Modbus kabel M/F 3 meter voor GATEWAY. 5P-M12MS CANopen kabel
afgeschermd M/F 3 meter.</t>
  </si>
  <si>
    <t>Modbus kabel M/F 1 meter voor de GATEWAY.
5P-M12MS CANopen kabel afgeschermd M/F 1 meter.</t>
  </si>
  <si>
    <t>Kabel met connector voor het aansluiten van de deurschakelaar voor de
GATEWAY.
Connector met openeind aan de andere kant.
3X1mm2 kabel met connector.</t>
  </si>
  <si>
    <t>Aansluitdop t.b.v. inbrenglans POM TBA 3.0.</t>
  </si>
  <si>
    <t>Hulpstuk PE schilboor 49mm, opvulring, tussenring, adapter,
PE aanboorring, POM, POLVA, opzetstuk.</t>
  </si>
  <si>
    <t>Hulpstuk PE schilboor 39 mm, opvulring, tussenring, adapter,
PE aanboorring, POM, POLVA, opzetstuk.</t>
  </si>
  <si>
    <t>Veerpen-verwijderhulpstuk RVS  TBA 3.0.</t>
  </si>
  <si>
    <t>Koppelstuk M30 &gt; G1''  TBA 3.0.</t>
  </si>
  <si>
    <t>Koppelst. tbv 75mm, rubber 10mm TBA 3.0.</t>
  </si>
  <si>
    <t>Voedingskabel van de GATEWAY kast naar de MEM.
5 x 1,5 mm2 3,5 meter.
Kabel met Phoenix 1308660.</t>
  </si>
  <si>
    <t>LS voedingskabel met stekker voor de voeding van GATEWAY kast.
5 meter 5 x 2,5 mm2 met female connector.
Kabel met Phoenix 1308661 5 meter.</t>
  </si>
  <si>
    <t>Koppelstuk tbv verlengstuk rubber 20mm TBA 3.0.</t>
  </si>
  <si>
    <t>Membraam PUR doorsnee 50mm TBA 3.0.</t>
  </si>
  <si>
    <t>Membraam PUR doorsnee 60mm TBA 3.0.</t>
  </si>
  <si>
    <t>Membraam inbrenglans RVS TBA 3.0.</t>
  </si>
  <si>
    <t>Klep openhouder tbv kijkglas TBA 3.0 .</t>
  </si>
  <si>
    <t>Overzetadapter 2.1/2'' dubbel dichting TBA 3.0.</t>
  </si>
  <si>
    <t>Opvangkamer en aanbooradapter POM TBA 3.0.</t>
  </si>
  <si>
    <t>Plaatafsluiter met 2'' en 2.5''aansl. TBA 3.0.</t>
  </si>
  <si>
    <t>Schilboor 22,4mm x M10  TBA 3.0.</t>
  </si>
  <si>
    <t>Staaldraad geplastif. 100cm incl klem TBA 3.0.</t>
  </si>
  <si>
    <t>Steeksleutel 11 tbv klemkegel TBA 3.0.</t>
  </si>
  <si>
    <t>Linkse Tap KST plug TBA 3.0.</t>
  </si>
  <si>
    <t>Tussenstuk G1'' buiten mini kogelkraan TBA 3.0.</t>
  </si>
  <si>
    <t>Veerpen t.b.v 63mm t/m 75mm TBA 3.0.</t>
  </si>
  <si>
    <t>Veerpen t.b.v. 90mm t/m 125mm TBA 3.0.</t>
  </si>
  <si>
    <t>Verlengbuis 200mm POM TBA 3.0.</t>
  </si>
  <si>
    <t>Boor KST met spindel TBA 3.0.</t>
  </si>
  <si>
    <t>Verlengstuk tbv veerpen, maat 160 mm TBA 3.0.</t>
  </si>
  <si>
    <t>Verlengstuk tbv veerpen, maat 200 mm TBA 3.0.</t>
  </si>
  <si>
    <t>Wringijzer Staal TBA 3.0.</t>
  </si>
  <si>
    <t>Zaklamp LED ATEX gekeurd TBA 3.0.</t>
  </si>
  <si>
    <t>Doorkijkglas 2'' boorgat-bepaling TBA 3.0.</t>
  </si>
  <si>
    <t>Kunststof dop/kap doorbooradapter TBA 3.0.</t>
  </si>
  <si>
    <t>PVC frees 24,0mm x M10 TBA 3.0.</t>
  </si>
  <si>
    <t>Haaksleutel 68x75mm TBA 3.0.</t>
  </si>
  <si>
    <t>Hulpstuk PE schilboor 29,5 mm, opvulring, tussenring, adapter,
PE aanboorring, POM, POLVA, opzetstuk.</t>
  </si>
  <si>
    <t>Hulpstuk PE schilboor 22,4 mm, opvulring, tussenring, adapter,
PE aanboorring, POM, POLVA, opzetstuk.</t>
  </si>
  <si>
    <t>Ombouwset RVS krukgarnituur bestaande uit:
Knopgreep, losse cilinder, slotplaten, montage materiaal.</t>
  </si>
  <si>
    <t>Eindmodule t.b.v. RTI kast.</t>
  </si>
  <si>
    <t>Voeding 24Vdc.</t>
  </si>
  <si>
    <t>Lastscheiderstrook LVSG2VE incl. V- klemmen, 1p schakelbaar.</t>
  </si>
  <si>
    <t>Adapterset (3stuks) M16-&gt;M12 tbv testset (20041660). De set bestaat uit
drie adapters.</t>
  </si>
  <si>
    <t>Glaszekering 8A tbv kabelselectieapparaat.
Buiszekering 0189140.8 ZEKER. 6,3X32MM 8A SIBA 10St.</t>
  </si>
  <si>
    <t>Schuurgaas met een korrel 180 en 100 mm breed. Schuurgaas 100 mm Q421
korrel 180 op rol van 25meter.</t>
  </si>
  <si>
    <t>Deelbare / telescopische kraansleutel met 27mm vierkant aansluiting, RVS
uitvoering.</t>
  </si>
  <si>
    <t>Wago Controller PFC200.</t>
  </si>
  <si>
    <t>Capacitieve buffer voor RTI kast.</t>
  </si>
  <si>
    <t>Seriële interface RS-232/485.</t>
  </si>
  <si>
    <t>8-kanaals digitale ingang.</t>
  </si>
  <si>
    <t>16-kanaals digitale ingang.</t>
  </si>
  <si>
    <t>Glijmoer M10 kwikstrut v Flamco-rail; Glijmoer THVZ of RVS</t>
  </si>
  <si>
    <t>Sleutelhanger (Sleutelbol);
Hotelsleutelbol Alu 105x30x3.6 met rubberring</t>
  </si>
  <si>
    <t>Kabelmantel en mof reparatiemanchet.
Raychem, type: CNSM-146/34-2600/S-NLxx.</t>
  </si>
  <si>
    <t>Drukopnemer voor continumeting kabeloliedruk (KOD) Model A-10
Specificaties zijn opgenomen in datasheet PE8161</t>
  </si>
  <si>
    <t>LS-rek 1000kVA 10 richtingen, railsysteem Cu vernikkeld 80x10mm, Inom
1600A.</t>
  </si>
  <si>
    <t>LS-rek 630kVA 8 richtingen, railsysteem Cu vernikkeld 50x10mm, Inom
1000A.</t>
  </si>
  <si>
    <t>Lastscheiderstrook LVSR910, 1p schakelbaar. Inclusief kabelkap,
stroomtrafo (L2) en A-meter 1000/5A. De lastscheiderstrook is voorzien
van een referentieaansluiting.</t>
  </si>
  <si>
    <t>LS-rek Uitbreiding 1000kVA 4 richtingen, railsysteem Cu vernikkeld
80x10mm, Inom 1600A.</t>
  </si>
  <si>
    <t>Lastscheiderstrook LVSR910LLE + A-meter, 1p schakelbaar.</t>
  </si>
  <si>
    <t>Muurplug (Duopower) #Fischer 5x25.
De combinatie van 2 materialen en 3 werkingsprincipes maakt de
DUOPOWER de juiste plug voor alle omstandigheden. De plug activeert
het optimale werkingsprincipe - spreiden, vouwen, knopen - afhankelijk
van de ondergrond.
Geschikt voor vele soorten bouwmaterialen, waaronder cellenbeton,
baksteen, kalkzandsteen, gipsplaat, gipsblokken, natuursteen en
spaanplaat.
Best mogelijke terugkoppeling van de plug, het is duidelijk voelbaar
wanneer de schroef goed is aangedraaid.  De korte en compacte plug
staat voor minimale boortijd en bespaart daarmee materiaal én tijd.  
De dunne kraag voorkomt dat de plug in het boorgat verdwijnt bij
gebruik in holle wanden, terwijl doorsteekmontage nog steeds
mogelijk blijft.  De vertande anti-rotatievleugels voorkomen
dat de plug tijdens montage in het boorgat meedraait.</t>
  </si>
  <si>
    <t>Muurplug (Duopower) #Fischer 6x30.
De combinatie van 2 materialen en 3 werkingsprincipes maakt de
DUOPOWER de juiste plug voor alle omstandigheden. De plug activeert
het optimale werkingsprincipe - spreiden, vouwen, knopen - afhankelijk
van de ondergrond.
Geschikt voor vele soorten bouwmaterialen, waaronder cellenbeton,
baksteen, kalkzandsteen, gipsplaat, gipsblokken, natuursteen en
spaanplaat.
Best mogelijke terugkoppeling van de plug, het is duidelijk voelbaar
wanneer de schroef goed is aangedraaid.  De korte en compacte plug
staat voor minimale boortijd en bespaart daarmee materiaal én tijd.
De dunne kraag voorkomt dat de plug in het boorgat verdwijnt bij
gebruik in holle wanden, terwijl doorsteekmontage nog steeds
mogelijk blijft. De vertande anti-rotatievleugels voorkomen
dat de plug tijdens montage in het boorgat meedraait.</t>
  </si>
  <si>
    <t>Muurplug (Duopower) #Fischer 8x40.
De combinatie van 2 materialen en 3 werkingsprincipes maakt de
DUOPOWER de juiste plug voor alle omstandigheden. De plug activeert
het optimale werkingsprincipe - spreiden, vouwen, knopen - afhankelijk
van de ondergrond.
Geschikt voor vele soorten bouwmaterialen, waaronder cellenbeton,
baksteen, kalkzandsteen, gipsplaat, gipsblokken, natuursteen en
spaanplaat.
Best mogelijke terugkoppeling van de plug, het is duidelijk voelbaar
wanneer de schroef goed is aangedraaid.  De korte en compacte plug
staat voor minimale boortijd en bespaart daarmee materiaal én tijd.
De dunne kraag voorkomt dat de plug in het boorgat verdwijnt bij
gebruik in holle wanden, terwijl doorsteekmontage nog steeds
mogelijk blijft. De vertande anti-rotatievleugels voorkomen
dat de plug tijdens montage in het boorgat meedraait.</t>
  </si>
  <si>
    <t>De combinatie van 2 materialen en 3 werkingsprincipes maakt de
DUOPOWER de juiste plug voor alle omstandigheden. De plug activeert
het optimale werkingsprincipe - spreiden, vouwen, knopen - afhankelijk
van de ondergrond.
Geschikt voor vele soorten bouwmaterialen, waaronder cellenbeton,
baksteen, kalkzandsteen, gipsplaat, gipsblokken, natuursteen en
spaanplaat.
Muurplug (Duopower) #Fischer 10x50.
Best mogelijke terugkoppeling van de plug, het is duidelijk voelbaar
wanneer de schroef goed is aangedraaid.  De korte en compacte plug
staat voor minimale boortijd en bespaart daarmee materiaal én tijd.
De dunne kraag voorkomt dat de plug in het boorgat verdwijnt bij
gebruik in holle wanden, terwijl doorsteekmontage nog steeds
mogelijk blijft. De vertande anti-rotatievleugels voorkomen
dat de plug tijdens montage in het boorgat meedraait.</t>
  </si>
  <si>
    <t>Muurplug (Duopower) #Fischer 12x50.
De combinatie van 2 materialen en 3 werkingsprincipes maakt de
DUOPOWER de juiste plug voor alle omstandigheden. De plug activeert
het optimale werkingsprincipe - spreiden, vouwen, knopen - afhankelijk
van de ondergrond.
Geschikt voor vele soorten bouwmaterialen, waaronder cellenbeton,
baksteen, kalkzandsteen, gipsplaat, gipsblokken, natuursteen en
spaanplaat.
Best mogelijke terugkoppeling van de plug, het is duidelijk voelbaar
wanneer de schroef goed is aangedraaid.  De korte en compacte plug
staat voor minimale boortijd en bespaart daarmee materiaal én tijd.
De dunne kraag voorkomt dat de plug in het boorgat verdwijnt bij
gebruik in holle wanden, terwijl doorsteekmontage nog steeds
mogelijk blijft. De vertande anti-rotatievleugels voorkomen
dat de plug tijdens montage in het boorgat meedraait.</t>
  </si>
  <si>
    <t>Kaart ‘’Niet thuis Kemkens’’.
Omvang : 50 vel per blok.
Formaat : 148 x 210 mm.
Bedrukking : tweezijdig full colour.
Papier : 160 grams bankpost.
Afwerking : nasnijden, en per 50 vel lijmen aan de kop (210) op
onderbord.</t>
  </si>
  <si>
    <t>Klemmenstrook op afstandhouder t.b.v. hulpaders.</t>
  </si>
  <si>
    <t>Kaart ‘’Niet thuis Energiewacht’’.
Omvang : 50 vel per blok.
Formaat : 148 x 210 mm.
Bedrukking : tweezijdig full colour.
Papier : 160 grams bankpost.
Afwerking : nasnijden, en per 50 vel lijmen aan de kop (210) op
onderbord.</t>
  </si>
  <si>
    <t>Verschilspanningsmeter #Orion M1;
Verschilspanningsmeter t.b.v. M.S. spanningsverschilmeting bij koppelen
O.S.
De Orion M1 is het mobiele deel van een spanningsdetectiesysteem volgens
IEC 61243-5,
met capacitieve koppeling aan spanning voerende delen.
Volgens deze standaard is de Orion M1 ook een universele fase comparator
(UPC)
voor LRM- en HR-systemen. De volgende functies zijn in dit apparaat
gecombineerd:
• Detectie van “spanning aanwezig” en “spanning niet aanwezig”.
• Fasevergelijking “fasebalans” en “fase-onbalans”.
• Meting en weergave van fasehoeken voor fasevergelijking.
• Onderhoudstest van VDS en indicatie.
• Meting en weergave van huidige waarden voor onderhoudstest.
• Controle en indicatie van fasevolgorde.
• Meting en indicatie van spanningsharmonischen.
Testen op HR-interfaces worden gedaan via HR-LRM-adapters,
die deel uitmaken van de levering.
Geschikte adapters zijn verkrijgbaar als speciale accessoires voor het
testen op andere interfaces.
Bij gebruik van de juiste adapters is een fasevergelijking tussen de
verschillende typen mogelijk.</t>
  </si>
  <si>
    <t>Naambord kliklijst A3 waterdicht.</t>
  </si>
  <si>
    <t>UNI/FIKS RING MJ3000+ DN50 NBR</t>
  </si>
  <si>
    <t>HYGIENE CAP DN 400</t>
  </si>
  <si>
    <t>Nut guard M16 WAGA</t>
  </si>
  <si>
    <t>UNI/FIKS RING MJ3000+ DN80 NBR</t>
  </si>
  <si>
    <t>HYGIENE CAP DN 50</t>
  </si>
  <si>
    <t>HYGIENE CAP DN 80</t>
  </si>
  <si>
    <t>HYGIENE CAP DN 100</t>
  </si>
  <si>
    <t>HYGIENE CAP DN 200</t>
  </si>
  <si>
    <t>HYGIENE CAP DN 225</t>
  </si>
  <si>
    <t>HYGIENE CAP DN 250</t>
  </si>
  <si>
    <t>HYGIENE CAP DN 300</t>
  </si>
  <si>
    <t>Kabelbundelslang diam 36mm L=25m Rittal Spiraalslang</t>
  </si>
  <si>
    <t>Beugel t.b.v. beschermslang 36mm zwart BFH-36-0 PMACLIP</t>
  </si>
  <si>
    <t>Installatiedraad 6mm2 VD &lt;(&gt;&lt;&lt;)&gt; 1 kV, geel/groen, koper
soepel. Lengte = 100 meter.</t>
  </si>
  <si>
    <t>Adereindhuls - AI 1 -12 RD Phoenix Contact</t>
  </si>
  <si>
    <t>Adereindhuls - AI 2,5-12 BU Phoenix Contact</t>
  </si>
  <si>
    <t>Adereindhuls - AI 1,5-12 BK Phoenix Contact</t>
  </si>
  <si>
    <t>Adereindhuls - AI-TWIN 2X 1,5-12 BK Phoenix Contact
Doos = 100 stuks</t>
  </si>
  <si>
    <t>Voedingskabel &lt; 1 kV, 300/500V 1mm2 koper soepel</t>
  </si>
  <si>
    <t>Verbindingsklem met hendels voor alle soorten geleiders max. 4 mm²
3-draads met hendels.
Behuizingskleur transparant.
Omgevingstemperatuur max. 85 graden Celsius.</t>
  </si>
  <si>
    <t>Grijptang (kunststof) VDE Kunststof-Grijptang 180 mm VDE - 98 62 01
Volledige geïsoleerd ter voorkoming van kortsluiting.
Voor tellermontage en tellerblokkering.
Kunststof, glasvezelversterkt.
Grepen met zone van zachte kunststof voor een betere houding.</t>
  </si>
  <si>
    <t>Geschermde haakse (T) steker (set van 3)
geschikt voor C-conus interface voor
XLPE 20kV 3x1x400 mm2 Cu.
Set van 3 stuks inclusief 3 schroefkabelschoenen voor de aders
en 3 schroefkabelschoenen voor het aardscherm.</t>
  </si>
  <si>
    <t>Vergrendeling Holec HV; Vergrendeling MS-installaties voor Holec HV</t>
  </si>
  <si>
    <t>Fernco PVC elastomeer koppeling 63-50 Rechte koppelingen bieden een
effectieve oplossing om leidingen met ongeveer dezelfde buitendiameter
met elkaar te verbinden, ongeacht de maat of het materiaal IPCO TBA.</t>
  </si>
  <si>
    <t>Bostop verlenghuis verlenging spoelstuk 1¼" H=89mm IPCO.</t>
  </si>
  <si>
    <t>Dopschroevendraaier zeskant 7mm ten behoeve van aandraaien
klembanden IPCO TBA.</t>
  </si>
  <si>
    <t>Fernco EPDM koppeling DC 65, 50-65 mm IPCO TBA.</t>
  </si>
  <si>
    <t>Fernco PVC elastomeer koppeling 90-75/63-50 mm Fernco
Verloopkoppelingen,
gemaakt van PVC Elastomeer, zijn uiterst geschikt om leidingen met
verschillende
buitendiameters en/of van verschillende materialen aan elkaar te
verbinden IPCO TBA.</t>
  </si>
  <si>
    <t>Montage en eindkeuring station.
- Gereedmaken betondeel incl schilderen betondeel.
(RAL 6009 + plaatwerk RAL6009).
- Bouwkundig aanpassen (aarding, verlichting, aardlitze’s en dergelijk).
- Revisie betondeel Gr2 en TB - Post verrekenbaar meer-/minderwerk.
- LS rek 8 velds net uitvoering met OV - LS-rekken geschikt voor 1000A
(incl. flex OVL).
- Aanvullend 7 stuks 400A afgaande strook 3 polig (enkelpolig
schakelbaar) schakelend - Totaal 8 stuks.
- Plaatsen en aansluiten trafo MS + LS zijde + magnefix.
- Revisie Transformator 400kVA (ouderdom 20 - 30 jaar).
- Meerprijs Gereviseerde 630kVA (ouderdom 20-30 jaar) (tov 400kVA).
- Revisie Magnefix MD4 KKT.
- Afspannen, inspecteren, schoonmaken (door Alliander Circulair
toegeleverde) magnefix bouwkundig aanpassen, boren
noodstroomdoorvoering en RVS afdekplaat.
- De sloten worden in orde gemaakt en de cilinders worden vervangen
(cilinder type in overleg vast te stellen).
- Aansluitschema voorstel: standaard 1-1021 (Noord Holland).</t>
  </si>
  <si>
    <t>Montage en eindkeuring station.
- Meerprijs kleur D10A nieuw (RAL6009).
- Nieuw Betondeel D10A.
- LS rek 8 velds net uitvoering met OV.
- LS-rekken geschikt voor 1000A (incl. flex OVL).
- Aanvullend 7 stuks 400A afgaande strook 3 polig (enkelpolig
schakelbaar) schakelend - Totaal 8 stuks.
- Plaatsen en aansluiten trafo MS + LS zijde + magnefix.
- Revisie Transformator 400 kVA (ouderdom 20 - 30 jaar).
- Revisie Magnefix MD4 KKT.
- Afspannen, inspecteren, schoonmaken (door Alliander Circulair
toegeleverde) magnefix.
- Aansluitschema voorstel: standaard 1-1021 (Noord Holland).</t>
  </si>
  <si>
    <t>Montage en eindkeuring station.
- Gereedmaken betondeel incl schilderen betondeel
(RAL 6009 + plaatwerk RAL6009)
- Bouwkundig aanpassen (aarding, verlichting, aardlitze’s en
dergelijke).
- Revisie betondeel Gr2 en TB - Post verrekenbaar meer-/minderwerk.
- LS rek 8 velds net uitvoering met OV.
- LS-rekken geschikt voor 1000A (incl. flex OVL).
- Aanvullend 7 stuks 400A afgaande strook 3 polig (enkelpolig
schakelbaar) schakelend - Totaal 8 stuks.
- Plaatsen en aansluiten trafo MS + LS zijde + magnefix.
- Revisie Transformator 400kVA (ouderdom 20 - 30 jaar).
- Revisie Magnefix MD4 KKT.
- Afspannen, inspecteren, schoonmaken (door Alliander Circulair
toegeleverde) magnefix bouwkundig aanpassen, boren
noodstroomdoorvoering en RVS afdekplaat.
- De sloten worden in orde gemaakt en de cilinders worden vervangen
(cilinder type in overleg vast te stellen).
- Aansluitschema voorstel: standaard 1-1021 (Noord Holland).</t>
  </si>
  <si>
    <t>Montage en eindkeuring station.
- Gereedmaken betondeel incl. schilderen betondeel
(RAL 6009 + plaatwerk RAL6009).
- Bouwkundig aanpassen (aarding, verlichting, aardlitze’s en dergelijk).
- Revisie betondeel Gr2 en TB - Post verrekenbaar meer-/minderwerk.
- LS rek 8 velds net uitvoering met OV - LS-rekken geschikt voor 1000A
(incl. flex OVL).
- Aanvullend 7 stuks 400A afgaande strook 3 polig (enkelpolig
schakelbaar) schakelend - Totaal 8 stuks.
- Plaatsen en aansluiten trafo MS + LS zijde + magnefix.
- Revisie Transformator 400kVA (ouderdom 20 - 30 jaar).
- Minderprijs Gereviseerde 250kVA (ouderdom 20-30 jaar) (tov 400kVA).
- Revisie Magnefix MD4 KKT.
- Afspannen, inspecteren, schoonmaken (door Alliander Circulair
toegeleverde)
magnefix bouwkundig aanpassen, boren noodstroomdoorvoering en
RVS afdekplaat.
- De sloten worden in orde gemaakt en de cilinders worden vervangen
(cilinder type in overleg vast te stellen).
- Aansluitschema voorstel: standaard 1-1021 (Noord Holland).</t>
  </si>
  <si>
    <t>Montage en eindkeuring station.
- Gereedmaken betondeel incl. schilderen betondeel
(RAL 6009 + plaatwerk RAL6009).
- Bouwkundig aanpassen (aarding, verlichting, aardlitze’s en dergelijk).
- Revisie betondeel Gr2 en TB - Post verrekenbaar meer-/minderwerk.
- LS rek 8 velds net uitvoering met OV.
- LS-rekken geschikt voor 1000A (incl. flex OVL).
- Aanvullend 7 stuks 400A afgaande strook 3 polig (enkelpolig
schakelbaar) schakelend - Totaal 8 stuks.
- Plaatsen en aansluiten trafo MS + LS zijde + magnefix.
- Revisie Transformator 400kVA (ouderdom 20 - 30 jaar).
- Meerprijs Gereviseerde 630kVA (ouderdom 20-30 jaar) (tov 400kVA).
- Revisie Magnefix MD4 KKT.
- Afspannen, inspecteren, schoonmaken (door Alliander Circulair
toegeleverde) magnefix bouwkundig aanpassen, boren
noodstroomdoorvoering en RVS afdekplaat.
- De sloten worden in orde gemaakt en de cilinders worden vervangen
(cilinder type in overleg vast te stellen).
- Aansluitschema voorstel: standaard 1-1021 (Noord Holland).</t>
  </si>
  <si>
    <t>Montage en eindkeuring station.
- Gereedmaken betondeel incl. schilderen betondeel
(RAL 6009 + plaatwerk RAL6009).
- Bouwkundig aanpassen (aarding, verlichting, aardlitze’s en dergelijk).
- Revisie betondeel Gr2 en TB - Post verrekenbaar meer-/minderwerk.
- LS rek 8 velds net uitvoering met OV.
- LS-rekken geschikt voor 1000A (incl. flex OVL).
- Aanvullend 7 stuks 400A afgaande strook 3 polig (enkelpolig
schakelbaar) schakelend - Totaal 8 stuks.
- Plaatsen en aansluiten trafo MS + LS zijde + magnefix.
- Revisie Transformator 400kVA (ouderdom 20 - 30 jaar).
- Revisie Magnefix MD4 KKT.
- Afspannen, inspecteren, schoonmaken (door Alliander Circulair
toegeleverde) magnefix bouwkundig aanpassen, boren
noodstroomdoorvoering en RVS afdekplaat.
- De sloten worden in orde gemaakt en de cilinders worden vervangen
(cilinder type in overleg vast te stellen)
- Aansluitschema voorstel: standaard 1-1021 (Noord Holland).</t>
  </si>
  <si>
    <t>Montage en eindkeuring station.
- Gereedmaken betondeel incl. schilderen betondeel
(RAL 6009 + plaatwerk RAL6009).
- Bouwkundig aanpassen (aarding, verlichting, aardlitze’s en dergelijk).
- Revisie betondeel Gr2 en TB - Post verrekenbaar meer-/minderwerk.
- LS rek 8 velds net uitvoering met OV.
- LS-rekken geschikt voor 1000A (incl. flex OVL).
- Aanvullend 7 stuks 400A afgaande strook 3 polig (enkelpolig
schakelbaar) schakelend - Totaal 8 stuks.
- Plaatsen en aansluiten trafo MS + LS zijde + magnefix.
- Revisie Transformator 400kVA (ouderdom 20 - 30 jaar).
- Minderprijs Gereviseerde 250kVA (ouderdom 20-30 jaar) (tov 400kVA).
- Revisie Magnefix MD4 KKT.
- Afspannen, inspecteren, schoonmaken (door Alliander Circulair
toegeleverde) magnefix bouwkundig aanpassen, boren
noodstroomdoorvoering en RVS afdekplaat.
- De sloten worden in orde gemaakt en de cilinders worden vervangen
(cilinder type in overleg vast te stellen).
- Aansluitschema voorstel: standaard 1-1021 (Noord Holland).</t>
  </si>
  <si>
    <t>Montage en eindkeuring station.
- Gereedmaken betondeel (Standaard Alfen kleur, RAL7044).
- Nieuw Betondeel D10A.
-.LS rek 8 velds net uitvoering met OV.
- LS-rekken geschikt voor 1000A (incl. flex OVL).
- Aanvullend 7 stuks 400A afgaande strook 3 polig (enkelpolig
schakelbaar) schakelend - Totaal 8 stuks.
- Plaatsen en aansluiten trafo MS + LS zijde + magnefix.
- Revisie Transformator 400 kVA (ouderdom 20 - 30 jaar).
- Minderprijs Gereviseerde 250kVA (ouderdom 20-30 jaar) (tov 400 kVA).
- Meerprijs Gereviseerde 630kVA (ouderdom 20-30 jaar) (tov 400kVA).
- Revisie Magnefix MD4 KKT.
- Afspannen, inspecteren, schoonmaken (door Alliander Circulair
toegeleverde) magnefix.
- Aansluitschema voorstel: standaard 1-1021 (Noord Holland).</t>
  </si>
  <si>
    <t>Montage en eindkeuring station.
- Meerprijs kleur D10A nieuw (RAL6009).
- Nieuw Betondeel D10A.
- LS rek 8 velds net uitvoering met OV.
- LS-rekken geschikt voor 1000A (incl. flex OVL).
- Aanvullend 7 stuks 400A afgaande strook 3 polig (enkelpolig
schakelbaar) schakelend - Totaal 8 stuks.
- Plaatsen en aansluiten trafo MS + LS zijde + magnefix.
- Revisie Transformator 400 kVA (ouderdom 20 - 30 jaar).
- Meerprijs Gereviseerde 630kVA (ouderdom 20-30 jaar) (tov 400kVA).
- Revisie Magnefix MD4 KKT.
- Afspannen, inspecteren, schoonmaken (door Alliander Circulair
toegeleverde) magnefix.
- Aansluitschema voorstel: standaard 1-1021 (Noord Holland).</t>
  </si>
  <si>
    <t>Montage en eindkeuring station.
- Gereedmaken betondeel (Standaard Alfen kleur, RAL7044.
- Nieuw Betondeel D10A.
- LS rek 8 velds net uitvoering met OV.
- LS-rekken geschikt voor 1000A (incl. flex OVL).
- Aanvullend 7 stuks 400A afgaande strook 3 polig (enkelpolig
schakelbaar) schakelend - Totaal 8 stuks.
- Plaatsen en aansluiten trafo MS + LS zijde + magnefix.
- Revisie Transformator 400 kVA (ouderdom 20 - 30 jaar).
- Revisie Magnefix MD4 KKT.
- Afspannen, inspecteren, schoonmaken (door Alliander Circulair
toegeleverde) magnefix.
- Aansluitschema voorstel: standaard 1-1021 (Noord Holland).</t>
  </si>
  <si>
    <t>Pedaalemmerzak
LDPE 20MY
320x420mm transparant
Verpakking:
1 doos is 1000 stuks.</t>
  </si>
  <si>
    <t>3395346 060448 DOORVERBINDSET 1 FASE OUNEVA BP METEROPSTELLING
2 X KLEMMEN OUNEVA VC02-0072
1 X KUNSST AFDEKPL 130X50MM</t>
  </si>
  <si>
    <t>Einddop met O-ring 32mm Polsafe.</t>
  </si>
  <si>
    <t>Kabel YMeKrvaslqwd of P1MeKrvaslqwd 12/20 kV 1 x 400 Curs+ as 35
volgens NEN HD620 S3- Part 10-J en 12-J.
Brandklasse Fca. Kabel haspels met 500 meter.</t>
  </si>
  <si>
    <t>Gasdrukregelaar, merk: Madas. Aansluiting DN100 Flens, Maximale
inlaatdruk: 500mbar. Geschikt voor een omgevingstemperatuur van -15°C
tot +60°C. Ingeregeld op een uitlaatdruk van +/- 30mbar. Inbouwlengte
350mm. NBR rubber (UNI 7702) Capaciteit bij een inlaatdruk van 100mbar
en een uitlaatdruk van 30mbar is 1100m3/h.</t>
  </si>
  <si>
    <t>Vergrendeling Holec HC; Vergrendeling MS-installaties voor Holec HC</t>
  </si>
  <si>
    <t>Vergrendeling MS-installaties voor EIB Prefab laag</t>
  </si>
  <si>
    <t xml:space="preserve">Tape 19mm zw/wit v Dymo Labelp 20034598
DYMO D1 Flexibele Nylon Labelmaker Tape is ideaal voor het omwikkelen
van draden en kabels. Hij is geheugenbestendig, zodat het gemakkelijk
rond gebogen oppervlakken kan worden gewikkeld en zo blijft. Deze
zwart-op-wit DYMO labelmaker tape heeft ook een klevende rug die blijft
kleven op vuile, vettige plaatsen.
Het is compatibel met LabelManager™ en LabelWriter™ 450 Duo, Cassette
van 19 mm x 3.5 m zwarte afdruk op witte tape.
</t>
  </si>
  <si>
    <t>Rectiverter 230/1500 110/0 (110V insteekmodule)</t>
  </si>
  <si>
    <t>HMI pc</t>
  </si>
  <si>
    <t xml:space="preserve">"3395347 060449 DOORVERBINDSET 3 FASE OUNEVA
BP METEROPSTELLING
4 X KLEMMEN OUNEVA VC02-0072
1 X KUNSTST AFDEKPL 130X50MM"
</t>
  </si>
  <si>
    <t>Insulatorsegment mf-mini – 12,5 mm.</t>
  </si>
  <si>
    <t>Gasdrukregelaar, merk: Madas. Aansluiting DN50 Flens, Maximale
inlaatdruk: 500mbar. Geschikt voor een omgevingstemperatuur van -15°C
tot +60°C. Ingeregeld op een uitlaatdruk van +/- 30mbar. Inbouwlengte
230mm. NBR rubber (UNI 7702) Capaciteit bij een inlaatdruk van 100mbar
en een uitlaatdruk van 30mbar is 100m3/h.</t>
  </si>
  <si>
    <t>Gasdrukregelaar, merk: Madas. Aansluiting DN80 Flens, Maximale
inlaatdruk: 500mbar. Geschikt voor een omgevingstemperatuur van -15°C
tot +60°C. Ingeregeld op een uitlaatdruk van +/- 30mbar. Inbouwlengte
310mm. NBR rubber (UNI 7702) Capaciteit bij een inlaatdruk van 100mbar
en een uitlaatdruk van 30mbar is 600m3/h.</t>
  </si>
  <si>
    <t>Gasdrukregelaar, merk: Madas. Aansluiting binnendraad 1.1/2". DN40,
Maximale inlaatdruk: 500mbar. Geschikt voor een omgevingstemperatuur van
-15°C tot +60°C. Ingeregeld op een uitlaatdruk van +/- 30mbar.
Inbouwlengte 160mm. NBR rubber (UNI 7702) Capaciteit bij een inlaatdruk
van 100mbar en een uitlaatdruk van 30mbar is 240m3/h.</t>
  </si>
  <si>
    <t>Losse bluetooth module ten behoeve van Esders Leckomio Ex HMG2
toestellen voorzien van JSON firmware, geschikt voor draadloze commun
icatie via een smartphone van de meetgegevens uit het Esders drukbeproevingstoestel.
Type; 262026</t>
  </si>
  <si>
    <t>Fernco PVC elastomeer koppeling 92-75 mm Fernco rechte
koppelingen zijn geschikt om leidingen met ongeveer dezelfde
buitendiameters met elkaar te verbinden, ongeacht de maat of
het materiaal IPCO TBA.</t>
  </si>
  <si>
    <t>HSS spiraalboor 12 mm, lengte totaal 70 mm, opname M8,
S.W. 10 mm IPCO TBA.</t>
  </si>
  <si>
    <t>IPCOFLEX 4-kant magneetdopsleutel 1" TBA.</t>
  </si>
  <si>
    <t>IPCOFLEX 4-kant magneetdopsleutel 1.1/4" TBA.</t>
  </si>
  <si>
    <t>IPCOFLEX afdichting 1" TBA.</t>
  </si>
  <si>
    <t>Fernco PVC elastomeer koppeling 63-50/50-40 mm Fernco
Verloopkoppelingen, gemaakt van PVC Elastomeer, zijn uiterst
geschikt om leidingen met verschillende buitendiameters en/of
van verschillende materialen aan elkaar te verbinden IPCO TBA.</t>
  </si>
  <si>
    <t>IPCOFLEX afdichting 1.1/4" TBA.</t>
  </si>
  <si>
    <t>IPCOFLEX afdichting 3/4" TBA .</t>
  </si>
  <si>
    <t>IPCOFLEX PU manchet 1" TBA.</t>
  </si>
  <si>
    <t>IPCOFLEX PU manchet 3/4" TBA.</t>
  </si>
  <si>
    <t>IPCOSAFE adapter 1½x1½" H=163mm TBA.</t>
  </si>
  <si>
    <t>IPCOSAFE RVS boorspil 16x450MM 3/8" &lt;(&gt;&amp;&lt;)&gt; M10 TBA .</t>
  </si>
  <si>
    <t>IPCOWAT Automatische voeding 10mm + kap TBA.</t>
  </si>
  <si>
    <t>IPCOWAT plugspil kap 10 mm Aluminium TBA.</t>
  </si>
  <si>
    <t>Kist IPCO.</t>
  </si>
  <si>
    <t>2" Klep (zwart) met adapter ten behoeve van IPCOSAFE TBA basis set.</t>
  </si>
  <si>
    <t>O-ring 34x3mm TBA IPCO.</t>
  </si>
  <si>
    <t>Plugspil met kap en linkse tap IPCO TBA.</t>
  </si>
  <si>
    <t>PU stop 31-41 mm ten behoeve van TBA Polsafedop
PU stoppen worden gebruikt voor het tijdelijk afsluiten
van  pijpleidingen en buizenstelsels IPCO TBA.</t>
  </si>
  <si>
    <t>PU stop 31-41 mm ten behoeve van TBA Wavindop
PU stoppen worden gebruikt voor het tijdelijk afsluiten
van  pijpleidingen en buizenstelsels IPCO TBA.</t>
  </si>
  <si>
    <t>PVC Frees 24,0 mm x 3/8" H=55 SW 22
Aanboren gas- en waterleidingen van PVC en
PE in combinatie met de IPCOWAT | IPCOSAFE.</t>
  </si>
  <si>
    <t>Stalen wringijzer 10 mm L = 200 mm IPCO TBA.</t>
  </si>
  <si>
    <t>TBA IPCOSAFE  PUstop op stang tbv 22mm gat.</t>
  </si>
  <si>
    <t>2.1/2" Klep (Grijs) IPCOSAFE IFLEX.</t>
  </si>
  <si>
    <t>TBA ring 2" v.v. kijkglas TBA IPCO.</t>
  </si>
  <si>
    <t>Verloopadapter 2" x 1¼" ten behoeve van grote klep
IPCOSAFE TBA.</t>
  </si>
  <si>
    <t>Verloopadapter 2 ½" x 1¼" ten behoeve van grote klep
IPCOSAFE TBA.</t>
  </si>
  <si>
    <t>Aanboorspil 10mm M8 L=365mm RVS IPCO TBA.</t>
  </si>
  <si>
    <t>Aanboorspil 10mm M8 L=450mm RVS IPCO TBA.</t>
  </si>
  <si>
    <t>Appelboor 22,4 x 3/8" mm, L103, SW19.
Voor het aanboren van gasleidingen van
PVC en PE in combinatie met de IPCOSAFE.</t>
  </si>
  <si>
    <t>Aanboorstoestel automatische voeding 16 mm 1"
L=155 TBA IPCO.</t>
  </si>
  <si>
    <t>Toetsenbord en muis - bedraad</t>
  </si>
  <si>
    <t>PC kast 48V (voorzien van vloer+lytze+labels) links scharnier</t>
  </si>
  <si>
    <t>PC kast 48V (voorzien van vloer+lytze+labels) rechts scharnier</t>
  </si>
  <si>
    <t>PC kast 110V (voorzien van vloer+lytze+labels) links scharnier</t>
  </si>
  <si>
    <t>PC kast 110V (voorzien van vloer+lytze+labels) rechts scharnier</t>
  </si>
  <si>
    <t>Meetmodule 800-LP/ 1TE</t>
  </si>
  <si>
    <t>Power analyser type UMG 801 Liander</t>
  </si>
  <si>
    <t>4 kanaals stroommeetmodule</t>
  </si>
  <si>
    <t>Meetmodule CT08</t>
  </si>
  <si>
    <t>Beeldscherm 1920 x 1200 (geschikt voor SES)</t>
  </si>
  <si>
    <t>Janitza paneel met RTU model A</t>
  </si>
  <si>
    <t>Janitza paneel met RTU model B</t>
  </si>
  <si>
    <t>Janitza paneel met RTU model C</t>
  </si>
  <si>
    <t>Janitza paneel met RTU model D</t>
  </si>
  <si>
    <t>Janitza paneel met RTU model E</t>
  </si>
  <si>
    <t>Communicatie module Janitza</t>
  </si>
  <si>
    <t>Cisco CGR2010 router</t>
  </si>
  <si>
    <t>ADVANTECH HMI SWITCH</t>
  </si>
  <si>
    <t>Advantech E3940 Fanless with 12.1" XGA Rtouch SCTASK0133280</t>
  </si>
  <si>
    <t>EtherSwitch 4 100FX SFP ports + 2 100/1000 SFP</t>
  </si>
  <si>
    <t>ABB RTU 540 SD kaart met voeding</t>
  </si>
  <si>
    <t>Dell PowerEdge XR2 server</t>
  </si>
  <si>
    <t>Stroomtrafo 1A/333mv 0,5 meter</t>
  </si>
  <si>
    <t>Stroomtrafo 1A/333mv 1 meter</t>
  </si>
  <si>
    <t>Stroomtrafo 1A/333mV 2 meter</t>
  </si>
  <si>
    <t>Stroomtrafo 5A/333mV 0,5 meter</t>
  </si>
  <si>
    <t>Stroomtrafo 5A/333mV 1 meter</t>
  </si>
  <si>
    <t>Stroomtrafo 5A/333mV 2 meter</t>
  </si>
  <si>
    <t>Stroomtrafo 5A/ 333mv 2,5 meter</t>
  </si>
  <si>
    <t>Uitbreidingsmodule, type CT24</t>
  </si>
  <si>
    <t>CISCO IE5000 (16 kanaals met 1 voeding bedoeld voor SAS2025)</t>
  </si>
  <si>
    <t>CISCO IE5000 (16 kanaals met 2 voedingen bedoeld voor GSU)</t>
  </si>
  <si>
    <t>CISCO IE5000 voedingen los</t>
  </si>
  <si>
    <t>CISCO SFP GLC-FE-100FX-RGD</t>
  </si>
  <si>
    <t>CISCO SFP GLC-LX-SM-RGD</t>
  </si>
  <si>
    <t>CISCO SFP GLC-SX-MM-RGD-1000Mbps Multimode RGD</t>
  </si>
  <si>
    <t>Intel SFP,10GB SFP+SR OPTICAL TRANCEIVER</t>
  </si>
  <si>
    <t>SFP Merkloos single mode</t>
  </si>
  <si>
    <t>SFP Dell XR2 single mode</t>
  </si>
  <si>
    <t>VOEDING 48VDC Rack voeding inclusief rectiverter</t>
  </si>
  <si>
    <t>VOEDING 60VDC Rack voeding inclusief rectiverter</t>
  </si>
  <si>
    <t>VOEDING 110VDC (T101) Rack voeding inclusief rectiverter</t>
  </si>
  <si>
    <t>VOEDING 110VDC (T111) Rack voeding inclusief rectiverter</t>
  </si>
  <si>
    <t>Rectiverter 230/1500 48/0 (48V insteekmodule)</t>
  </si>
  <si>
    <t>Router netwerk IR8340.
Axians.</t>
  </si>
  <si>
    <t>Gasdrukregelaar, merk: Madas. Aansluiting binnendraad 2". DN50,
Maximale inlaatdruk: 500mbar. Geschikt voor een omgevingstemperatuur van
-15°C tot +60°C. Ingeregeld op een uitlaatdruk van +/- 30mbar.
Inbouwlengte 160mm. NBR rubber (UNI 7702). Capaciteit bij een inlaatdruk
van 100mbar en een uitlaatdruk van 30mbar is 240m3/h.</t>
  </si>
  <si>
    <t>.Pasring DN80 4.0 mm</t>
  </si>
  <si>
    <t>RTU, onderdeel van de MSR-gateway 0.8 systeemkast.</t>
  </si>
  <si>
    <t>• omschakelbare ratel met 2C-greep, rechts-/linksomdraaiend
omschakelbaar door pal, drukknop-ontkoppeling, fijnvertand, ovale kop, 2
-componenten-greep, handsparende krachtoverbrenging, voor dopsleutels
• vierkantsteekgreep 1/4”, 1-componenten-greep met binnenvierkant
• dopsleutel 1/4” + 1/2”, 6-kant, metrisch, kort, uitvoering volgens DIN
3124, ISO 2725
• dopsleutel 1/4” + 1/2”, 6-kant, metrisch, lang, uitvoering volgens DIN
3124, ISO 2725
• bougiedopsleutel 1/2" met ingeperst klemrubber
• bougiedopsleutel 1/2", met ingeperst klemrubber en extra
aandrijfzeskant SW 24
• dopsleutelschroevendraaier 1/4", voor binnenzeskantbouten, met
ingeperste, gefosfateerde stift
• dopsleutelschroevendraaier 1/4", zaagsnede, met ingeperste,
gefosfateerde stift
• dopsleutelschroevendraaier 1/4", PH, met ingeperste, gefosfateerde
stift
• dopsleutelschroevendraaier 1/4", PZ, met ingeperste, gefosfateerde
stift
• dopsleutelschroevendraaier 1/4", TX, met ingeperste, gefosfateerde
stift
• dopsleutelverlenging 1/4” + 1/2”
• schuifgreep met glijstuk 1/4", uitvoering volgens DIN 3122, ISO 3315
• cardangewricht 1/4” + 1/2", gewricht vastgeschroefd, uitvoering
volgens DIN 3123 - C 12,5
• vergrotingsadapter/glijstuk 3/8” x 1/2”, voor het aandrijven van
dopsleutels en dopsleutelschroevendraaiers
• bitadapter 1/2", met binnenvierkant en binnenzeskant voor alle bits en
gereedschappen met 5/16”-buitenzeskant
• bit 5/16", 6-kant, zaagsnede, PH, PZ, TX passend voor houder volgens
DIN ISO 1173 - D 8
• haakse stiftsleutelset zeskant, uitvoering volgens DIN ISO 2936
• voor handbediende schroefsituaties
• chroom-vanadiumstaal, mat gesatineerd verchroomd
• kunststof koffer in GEDORE red-design
• vastgeklemde gereedschappen
• metalen scharnieren/sluiting
Inhoud:
• 1/4" 2C omschakelbare ratel, fijn getand, 72 tanden | 150 mm
• 1/4" Vierkant-handgreep 165 mm
• 1/4" Dopsleutel 6-kant 4 4,5 5,5 6 7 8 9 10 11 12 13 14 | 25 mm
• 1/4" Dopsleutel 6-kant 6 7 8 9 10 11 12 13 mm | 50 mm
• 1/4" dopsleutelschr.dr IN inbus zeskant 3 4 5 6 | 37 mm
• 1/4" dopsleutelschr.dr. zaagsnede 4 5,5 6,5 | 37 mm
• 1/4" dopsleutelschr.dr. kruiskop PH 1 2 | 37 mm
• 1/4" dopsleutelschr.dr. kruiskop PZ 1 2 | 37 mm
• 1/4" dopsleutelschr.dr. TX T8 T10 T15 T20 T25 T27 T30 | 37 mm
• 1/4" cardangewricht 50 100 mm
• 1/4" Schuifgreep | 115 mm
• 1/4" kruiskoppeling | 32 mm
• 5/16" Bits binnen zeskant 8 10 12 14 | 30 mm
• 5/16" bits zaagsnede 8 10 12 | 30 mm
• 5/16" bits kruiskop PH 3 4 | 30 mm
• 5/16" bits kruiskop PZ 3 4 | 30 mm
• 5/16" bits TX T40 T45 T50 T55 | 30 mm
• 1/2" 2C omschakelbare ratel fijn vertand, 72 tanden | 250 mm
• 1/2" dopsleutel 6-kant 10 11 12 13 14 15 16 17 18 19 20 21 22 23 24 27
28 30 32
• 1/2" dopsleutel 6-kant 14 15 17 19 | 77 mm
• 1/2" bougiedopsleutel 16 21 mm | 65 mm
• 1/2" verlengstuk 125 250 mm
• 1/2" cardangewricht | 66 mm
• Verloopstuk/schuifstuk 3/8" x 1/2" | 44 mm
• Bit adapter 1/2" 4-kant x 5/16" 6-kant | 38 mm
• Haakse stiftsleutelset 6-kant 1,5 2 2,5 mm</t>
  </si>
  <si>
    <t>Montage en eindkeuring station.
- Gereedmaken betondeel (Standaard Alfen kleur, RAL7044).
- Nieuw Betondeel D10A.
- LS rek 8 velds net uitvoering met OV.
- LS-rekken geschikt voor 1000A (incl. flex OVL).
- Aanvullend 7 stuks 400A afgaande strook 3 polig (enkelpolig
schakelbaar) schakelend - Totaal 8 stuks.
- Plaatsen en aansluiten trafo MS + LS zijde + magnefix.
- Revisie Transformator 250 kVA (ouderdom 20 - 30 jaar).
- Revisie Magnefix MD4/MF KKT.
- Afspannen, inspecteren, schoonmaken (door Alliander Circulair
toegeleverde) magnefix.
- Aansluitschema voorstel: standaard 1-1021 (Noord Holland).</t>
  </si>
  <si>
    <t>Fabrikant        Westermo
Fabriekstype   Merlin-3103-T2G-QFR-DCi0936
Synoniem:      Telecom MSR Gateway</t>
  </si>
  <si>
    <t>Magneten voor bevestiging Generieke Melder RTU002-L op stalen achterwand</t>
  </si>
  <si>
    <t>Vergrendeling MS-installaties voor Xiria/SVS</t>
  </si>
  <si>
    <t>Xiria-E KMV AC6a: zonder terug-levering (ZT).
M-veld voorzien van VT`s 10-20kV kl. 0.2 CT 1x 300-150/5 10VA 0.2SFS5.
V-veld voorzien van Siemens Siprotec relais (af-fabriek niet ingesteld).
Afmetingen: 1850 x 1752 x 760 mm (B x H x D).
Standaard geen plint.</t>
  </si>
  <si>
    <t>Xiria-E VVVMV AC6a: zonder terug-levering (ZT).
Omschakelbaar 10/20kV 10VA Kl0.2.
V-velden voorzien van CT t.b.v. beveiliging 750/1A 5VA 5P10 en
Siemens Sipotec relais (af-fabriek niet ingesteld).
M-veld voorzien van CT t.b.v. comptabele meting 300-150/5, 10VA,
0.2sFs5.</t>
  </si>
  <si>
    <t>Xiria-E VVMVV AC6a: met terug-levering (MT).
Omschakelbaar 10/20kV 10VA Kl0.2.
V-velden voorzien van CT t.b.v. beveiliging 750/1A 5VA 5P10 en
Siemens Sipotec relais (af-fabriek niet ingesteld).
M-veld voorzien van CT t.b.v. comptabele meting 400-200/5, 10VA,
0.2sFs5.</t>
  </si>
  <si>
    <t>Antenne set Paddle Indoor AC94502,
onderdeel van MSR Gateway en de generieke melder.
Voorkeursleverancier  The antenna company
Fabrikant                     The antenna company
Fabriekstyspe              AC94502</t>
  </si>
  <si>
    <t>Buis PVC 200x 5,9 mm SN8 Rood tromp.
Lengte=6 m. 100% gerecycled materiaal.</t>
  </si>
  <si>
    <t>Montage en eindkeuring station.
- Gereedmaken betondeel (Standaard Alfen kleur, RAL7044).
- Gereviseerd Betondeel D10A.
- LS rek 8 velds net uitvoering met OV.
- LS-rekken geschikt voor 1000A (incl. flex OVL).
- Aanvullend 7 stuks 400A afgaande strook 3 polig (enkelpolig
schakelbaar) schakelend - Totaal 8 stuks.
- Plaatsen en aansluiten trafo MS + LS zijde + magnefix.
- Revisie Transformator 400 kVA (ouderdom 20 - 30 jaar).
- Revisie Magnefix MD4/MF KKT.
- Afspannen, inspecteren, schoonmaken (door Alliander Circulair
toegeleverde) magnefix.
- Aansluitschema voorstel: standaard 1-1021 (Noord Holland).</t>
  </si>
  <si>
    <t>Montage en eindkeuring station.
- Gereedmaken betondeel incl. schilderen betondeel (RAL 6009 + plaatwerk
RAL6009)
- Gereviseerd Betondeel D10A.
- LS rek 8 velds net uitvoering met OV.
- LS-rekken geschikt voor 1000A (incl. flex OVL).
- Aanvullend 7 stuks 400A afgaande strook 3 polig (enkelpolig
schakelbaar) schakelend - Totaal 8 stuks.
- Plaatsen en aansluiten trafo MS + LS zijde + magnefix.
- Revisie Transformator 630 kVA (ouderdom 20 - 30 jaar).
- Revisie Magnefix MD4/MF KKT.
- Afspannen, inspecteren, schoonmaken (door Alliander Circulair
toegeleverde) magnefix.
- Aansluitschema voorstel: standaard 1-1021 (Noord Holland).</t>
  </si>
  <si>
    <t>Batterijen voor Generieke Melder RTU002-L</t>
  </si>
  <si>
    <t>Montagevoetjes voor Generieke Melder RTU002-L</t>
  </si>
  <si>
    <t>Xiria-E VVMV AC6a: zonder terug-levering (ZT).
M-veld voorzien van VT`s 10-20kV kl. 0.2 CT 1x 300-150/5 10VA 0.2SFS5.
V-veld voorzien van Siemens Siprotec relais (af-fabriek niet ingesteld).
Afmetingen: 2350 x 1725 x 760 mm (B x H x D).
Standaard geen plint.</t>
  </si>
  <si>
    <t>Xiria-E VVMV AC6a: met terug-levering (MT).
M-veld voorzien van VT`s 10-20kV kl. 0.2 CT 2x 800-400/5 10VA 0.2SFS5.
V-veld voorzien van Siemens Siprotec relais (af-fabriek niet ingesteld).
Afmetingen: 2350 x 1725 x 760 mm (B x H x D).
Standaard geen plint.</t>
  </si>
  <si>
    <t>Xiria-E KMV AC6b: met terug-levering (MT).
V-veld voorzien van Siemens Siprotec relais (af-fabriek niet ingesteld).
M-veld voorzien van VT`s 10-20kV kl. 0.2 CT 2x 800-400/5 10VA 0.2SFS5.
Afmetingen: 1850 x 1752 x 760 mm (B x H x D).
Standaard geen plint.</t>
  </si>
  <si>
    <t>Xiria-E VVMVV AC6b: met terug-levering (MT).
Omschakelbaar 10/20kV 10VA Kl0.
V-velden voorzien van CT t.b.v. beveiliging 750/1A 5VA 5P10 en
Siemens Sipotec relais (af-fabriek niet ingesteld).
M-veld voorzien van CT t.b.v. comptabele meting 2x 800-400/5, 10VA,
0.2sFs5.</t>
  </si>
  <si>
    <t>Warmtekrimp mof geschikt voor 50/70 kV XLPE 1x400 mm2 op 20kV XLPE 1x630
mm2.
Inclusief schroefverbinders.</t>
  </si>
  <si>
    <t>Xiria-E VVMV AC6a: met terug-levering (MT).
M-veld voorzien van VT`s 10-20kV kl. 0.2 CT 1x 400-200/5 10VA 0.2SFS5.
V-veld voorzien van Siemens Siprotec relais (af-fabriek niet ingesteld).
Afmetingen: 2350 x 1725 x 760 mm (B x H x D).
Standaard geen plint.</t>
  </si>
  <si>
    <t>Xiria-E KMV AC6b: zonder terug-levering (ZT).
M-veld voorzien van VT`s 10-20kV kl. 0.2 CT 2x 600-300/5 10VA 0.2SFS5.
V-veld voorzien van Siemens Siprotec relais (af-fabriek niet ingesteld).
Afmetingen: 1850 x 1752 x 760 mm (B x H x D).
Standaard geen plint.</t>
  </si>
  <si>
    <t>Xiria-E VVMVV AC6a: zonder terug-levering (ZT).
Omschakelbaar 10/20kV 10VA Kl0.2
V-velden voorzien van CT t.b.v. beveiliging 750/1A 5VA 5P10 en
Siemens Sipotec relais (af-fabriek niet ingesteld).
M-veld voorzien van CT t.b.v. comptabele meting 300-150/5, 10VA,
0.2sFs5.</t>
  </si>
  <si>
    <t>Xiria-E VVMVV AC6b: zonder terug-levering (ZT).
Omschakelbaar 10/20kV 10VA Kl0.2.
V-velden voorzien van CT t.b.v. beveiliging 750/1A 5VA 5P10 en
Siemens Sipotec relais (af-fabriek niet ingesteld).
M-veld voorzien van CT t.b.v. comptabele meting 2x 600-300/5, 10VA,
0.2sFs5.</t>
  </si>
  <si>
    <t>Xiria-E KMV AC6a: met terug-levering (MT).
M-veld voorzien van VT`s 10-20kV kl. 0.2 CT 1x 400-200/5 10VA 0.2SFS5.
V-veld voorzien van Siemens Siprotec relais (af-fabriek niet ingesteld).
Afmetingen: 1850 x 1752 x 760 mm (B x H x D).
Standaard geen plint.</t>
  </si>
  <si>
    <t>20039993 FlexOV device
20040148 Router 4G FlexOV
20050313 Schakelinst. 10/20KV Siemens RRT 8DJH
26001120 Nettrafo 10kV  400kVA  DYN5 isol
32000000 Behuizing MSR small
32000016 Afwerking metalen dl RAL6009 MSR small
32000024 Montage van het rek  630 kVA
32000029 OV-paneel voor LS-rek 630 kVA
32000030 Montage OV-paneel voor LS-rek 630 kVA
32000039 Zekeringen transformatorveld (577A)
32000075 Afwerking beton RAL 6009 MSR small
32000092 LS-rek  630 | 8 strk | 0 DIN00
32000100 Montage FlexOV dev. en router
Aansluitschema 1_1001</t>
  </si>
  <si>
    <t>20039993 FlexOV device
20040148 Router 4G FlexOV
20050313 Schakelinstall. 10/20kV Siemens RRT 8DJH
26001150 Nettrafo 10kV  630kVA  DYN5 isol
32000000 Behuizing MSR small
32000016 Afwerking metalen dl RAL6009 MSR small
32000024 Montage van het rek  630 kVA
32000029 OV-paneel voor LS-rek 630 kVA
32000030 Montage OV-paneel voor LS-rek 630 kVA
32000040 Zekeringen transformatorveld (910A)
32000075 Afwerking beton RAL 6009 MSR small
32000092 LS-rek  630 | 8 strk | 0 DIN00
32000100 Montage FlexOV dev. en router</t>
  </si>
  <si>
    <t>20039993 FlexOV device
20040148 Router 4G FlexOV
20050313 Schakelinstall. 10/20kV Siemens RRT 8DJH
26001150 Nettrafo 10kV  630kVA  DYN5 isol
32000002 Behuizing MSR medium
32000017 Afwerking metalen dl RAL6009 MSR medium
32000025 Montage van het rek 1000 kVA
32000031 OV-paneel voor LS-rek 1000 kVA
32000032 Montage OV-paneel voor LS-rek 1000 kVA
32000040 Zekeringen transformatorveld (910A)
32000079 Afwerking beton RAL 6009 MSR medium
32000097 LS-rek 1000 | 14 strk | 0 DIN00
32000100 Montage FlexOV dev. en router
Aansluitschema 1_1001</t>
  </si>
  <si>
    <t>20039993 FlexOV device
20040148 Router 4G FlexOV
20050312 Schakelinstall. 10/20kV Siemens RRRT 8DJH
26001150 Nettrafo 10kV  630kVA  DYN5 isol
32000002 Behuizing MSR medium
32000017 Afwerking metalen dl RAL6009 MSR medium
32000025 Montage van het rek 1000 kVA
32000031 OV-paneel voor LS-rek 1000 kVA
32000032 Montage OV-paneel voor LS-rek 1000 kVA
32000040 Zekeringen transformatorveld (910A)
32000079 Afwerking beton RAL 6009 MSR medium
32000097 LS-rek 1000 | 14 strk | 0 DIN00
32000100 Montage FlexOV dev. en router
Aansluitschema 1_1001</t>
  </si>
  <si>
    <t>Xiria-E VVMV AC6b: zonder terug-levering (ZT).
M-veld voorzien van VT`s 10-20kV kl. 0.2 CT 2x 600-300/5 10VA 0.2SFS5.
V-veld voorzien van Siemens Siprotec relais (af-fabriek niet ingesteld).
Afmetingen: 2350 x 1725 x 760 mm (B x H x D).
Standaard geen plint.</t>
  </si>
  <si>
    <t>Xiria-E VVMVV AC6b: met terug-levering (MT).
Omschakelbaar 10/20kV 10VA Kl0.2.
V-velden voorzien van CT t.b.v. beveiliging 750/1A 5VA 5P10 en
Siemens Sipotec relais (af-fabriek niet ingesteld).
M-veld voorzien van CT t.b.v. comptabele meting 2x 800-400/5, 10VA,
0.2sFs5.</t>
  </si>
  <si>
    <t>Antenne set Puck Outdoor AC94500-100,
te gebruiken bij de implementatie en uitrol van MSR gateway en generieke
melder.
Voorkeursleverancier  The antenna company
Fabrikant                     The antenna company
Fabriekstyspe              AC94500-100</t>
  </si>
  <si>
    <t>Stappenboor 5-35mm.
Stappenboor vervaardigd uit hoogwaardig molybdeen staal,
voorzien van zelfcentrerende punt.
Uitgevoerd met een afgevlakte cilindrische schacht,
om doorslippen in de boorkop te vermijden.
Technische gegevens: Fasen 5-35 mm, Materiaal HSS</t>
  </si>
  <si>
    <t>20039993 FlexOV device
20040148 Router 4G FlexOV
20050313 Schakelinst. 10/20KV Siemens RRT 8DJH
26001120 Nettrafo 10kV  400kVA  DYN5 isol
32000000 Behuizing MSR small
32000016 Afwerking metalen dl RAL6009 MSR small
32000024 Montage van het rek  630 kVA
32000029 OV-paneel voor LS-rek 630 kVA
32000030 Montage OV-paneel voor LS-rek 630 kVA
32000039 Zekeringen transformatorveld (577A)
32000075 Afwerking beton RAL 6009 MSR small
32000092 LS-rek  630 | 8 strk | 0 DIN00
32000100 Montage FlexOV dev. en router
Aansluitschema 1_1021</t>
  </si>
  <si>
    <t>20039993 FlexOV device
20040148 Router 4G FlexOV
20050313 Schakelinst. 10/20KV Siemens RRT 8DJH
26001150 Nettrafo 10kV  630kVA  DYN5 isol
32000000 Behuizing MSR small
32000016 Afwerking metalen dl RAL6009 MSR small
32000024 Montage van het rek  630 kVA
32000029 OV-paneel voor LS-rek 630 kVA
32000030 Montage OV-paneel voor LS-rek 630 kVA
32000040 Zekeringen transformatorveld (910A)
32000075 Afwerking beton RAL 6009 MSR small
32000092 LS-rek  630 | 8 strk | 0 DIN00
32000100 Montage FlexOV dev. en router
Aansluitschema 1_1021</t>
  </si>
  <si>
    <t>20039993 FlexOV device
20040148 Router 4G FlexOV
20050313 Schakelinst. 10/20KV Siemens RRT 8DJH
26001150 Nettrafo 10kV  630kVA  DYN5 isol
32000002 Behuizing MSR medium
32000017 Afwerking metalen dl RAL6009 MSR medium
32000025 Montage van het rek 1000 kVA
32000031 OV-paneel voor LS-rek 1000 kVA
32000032 Montage OV-paneel voor LS-rek 1000 kVA
32000040 Zekeringen transformatorveld (910A)
32000079 Afwerking beton RAL 6009 MSR medium
32000097 LS-rek 1000 | 14 strk | 0 DIN00
32000100 Montage FlexOV dev. en router
Aansluitschema 1_1021</t>
  </si>
  <si>
    <t>20039993 FlexOV device
20040148 Router 4G FlexOV
20050312 Schakelinstall. 10/20kV Siemens RRRT 8DJH
26001150 Nettrafo 10kV  630kVA  DYN5 isol
32000002 Behuizing MSR medium
32000017 Afwerking metalen dl RAL6009 MSR medium
32000025 Montage van het rek 1000 kVA
32000031 OV-paneel voor LS-rek 1000 kVA
32000032 Montage OV-paneel voor LS-rek 1000 kVA
32000040 Zekeringen transformatorveld (910A)
32000079 Afwerking beton RAL 6009 MSR medium
32000097 LS-rek 1000 | 14 strk | 0 DIN00
32000100 Montage FlexOV dev. en router
Aansluitschema 1_1021</t>
  </si>
  <si>
    <t>Buissnijder Knipex Bix 90 22 10 BK 20-50mm.
Snijders voor kunststof buizen en afdichtingsmanchetten.</t>
  </si>
  <si>
    <t>BO-stop huis 1".
Het Bostophuis wordt gebruikt in combinatie met
de IPCO BOSTOP, een gepatenteerde oplossing vanuit
de praktijk, om volgens de actuele VIAG gasafsluiters
geheel gasloos te kunnen verwisselen.</t>
  </si>
  <si>
    <t>Verlengstuk Heytec  1/2"x400mm</t>
  </si>
  <si>
    <t>Laadset Basic voor Gasdetector voor Ex/O2/CO/HCN/H2S;
Dräger Type XAM-5000.
Bestaande uit:
• laadmodule en stekkerlader voor 1 laadmodule.</t>
  </si>
  <si>
    <t>BO stop IPCO XSFL 1"inch m flex greep (ALL) IPCO Bostop 1"</t>
  </si>
  <si>
    <t>BO stop IPCO XSFL 1¼”inch m flex greep (ALL) IPCO Bostop 1".</t>
  </si>
  <si>
    <t>Bo-stop verlenggreep M5M4 met schaalverdeling (M5bixM4bi)
voor de 1” bo-stop.</t>
  </si>
  <si>
    <t>Bo-stop verlenggreep M5M5 met schaalverdeling (M5bixM5bi)
voor de 1¼” bo-stop.</t>
  </si>
  <si>
    <t>Bo-stop verlenggreep (M5bixM5bu)</t>
  </si>
  <si>
    <t>Knipex Kabelmes recht, beschermd mes 185 mm VDE.
Recht lemmet speciaal geslepen, vervangbaar.
Met wegklapbare lemmetbeveiliging, vast in de greep gemonteerd.
Lemmetrug met kunststof bekleed ter vermijding van kortsluitingen.
Greep met anti-slipbeveiliging.
Greep met anti-slipbeveiliginglemmet: chirurgiestaal, roestvrij,
luchtgehard.</t>
  </si>
  <si>
    <t>Reserve mes recht, beschermd mes VDE.
Recht lemmet speciaal geslepen, vervangbaar.
Lemmetrug met kunststof bekleed ter vermijding van kortsluitingen.
Chirurgiestaal, roestvrij, luchtgehard.
Ter behoeve van Knipex Kabelmes 185 mm VDE.</t>
  </si>
  <si>
    <t>LS-rek 10 moduul met OV, configuratie 1</t>
  </si>
  <si>
    <t>LS-rek 6 moduul (2x) met OV, configuratie 2</t>
  </si>
  <si>
    <t>Aftakklem ten behoeve van kabelselectie in de HAK.
Toepasbaar van 6mm2 tot 16mm2.</t>
  </si>
  <si>
    <t>LS-rek 1000A 630kVA v 12 richtingen.</t>
  </si>
  <si>
    <t>Set met 8 reservemessen voor
Knipex Bix buissnijder 90 22 10 BK</t>
  </si>
  <si>
    <t>Hamerboor Hikoki 25,0x600mm SDS+ 2-snijder
Werkende lengte: 550mm
Ten behoeve van het boren van een invoer gat in geval van storingen.</t>
  </si>
  <si>
    <t>Vat inhoud 30 liter, kleur: blauw, materiaal: HDPE, met handgreep,
klemdeksel en spanring.</t>
  </si>
  <si>
    <t>Montagerail Flamco 41x21 mm, lengte 3 m</t>
  </si>
  <si>
    <t>1SPB007299F0300 = Verlengstuk 2 cm voor meterbord ABB.</t>
  </si>
  <si>
    <t>RVS kast type RVN30 inclusief OV ontsteekpunt en RVS sokkel.</t>
  </si>
  <si>
    <t>Polsafe Einddop met O-ring 50mm.</t>
  </si>
  <si>
    <t>Polsafe Einddop met O-ring 25mm
Methode gasloos werken. Zie N1402. Te gebruiken voor afsluiten Opzetstuk
PVC-SV KR 25mmx1.1/2" SDR17,6 (Artikelnummer 20030606). De Einddop wordt
geleverd met O-ring in een zakje.</t>
  </si>
  <si>
    <t>Kunststof blok met 4 ongeïsoleerde schroefverbinder met
aftakmogelijkheid. Verbinders met afbreekbout geschikt voor
kabeldoorsnede 25 t/m 150 mm2 en aftak 4 t/m 50 mm2.</t>
  </si>
  <si>
    <t>Afdekplaat ABB meterbord solo opstelling. 1SPB007299F0460</t>
  </si>
  <si>
    <t>Manufacturer: Mikronika Type: CR-510 Lengte 4,5m. Fabrikant: Mikronika
Fabriekstype CR-510</t>
  </si>
  <si>
    <t>LS-rek 630kVA 8 richtingen, Inom 1000A.</t>
  </si>
  <si>
    <t>Soknippel 50mm voor Madas regelaar 2"x2"</t>
  </si>
  <si>
    <t xml:space="preserve">Polsafe Einddop met O-ring 40mm.
</t>
  </si>
  <si>
    <t>Magnefix installatie type MD4, 12kV,
samenstelling van links naar rechts K.K.T.,
(standaard variant B)
Veld 1: K
1 Onbeveiligd kabelveld met 3 schakelkappen,
elk voorzien van een elektronische verklikker 450A.
Veld 2: K
1 Onbeveiligd kabelveld met 3 schakelkappen,
zonder verklikker.
Veld 3: T
Transformatorveld (T-veld), bestaande uit:
    1 Beveiligd transformatorveld met 3 schakelkappen zonder verklikker
    en 3 patroonhouders volgens DIN 43625
    1 Eindsluiting t.b.v. kunststofkabels 3x1x16 mm2 CU 1)
De installatie wordt geleverd met :
1 Kunststof afschermkap
1 Naamplaat PVC, hoogte 130mm
Zonder Frame voor vloermontage.</t>
  </si>
  <si>
    <t>Magnefix installatie type MD4, 12kV,
samenstelling van links naar rechts K.K.T.,
(standaard variant A)
Veld 1: K
1 Onbeveiligd kabelveld met 3 schakelkappen,
elk voorzien van een elektronische verklikker 250A.
Veld 2: K
1 Onbeveiligd kabelveld met 3 schakelkappen,
zonder verklikker.
Veld 3: T
Transformatorveld (T-veld), bestaande uit:
    1 Beveiligd transformatorveld met 3 schakelkappen zonder verklikker
    en 3 patroonhouders volgens DIN 43625
    1 Eindsluiting t.b.v. kunststofkabels 3x1x16 mm2 CU 1)
De installatie wordt geleverd met :
1 Frame voor vloermontage (niet samengebouwd)
1 Kunststof afschermkap
1 Naamplaat PVC, hoogte 130mm.</t>
  </si>
  <si>
    <t>Magnefix installatie type MD4, 12kV,
samenstelling van links naar rechts K.T.,
Veld 1: K
1 Onbeveiligd kabelveld met 3 schakelkappen,
zonder verklikker.
Veld 2: T
Transformatorveld (T-veld), bestaande uit:
    1 Beveiligd transformatorveld met 3 schakelkappen zonder verklikker
    en 3 patroonhouders volgens DIN 43625
    1 Eindsluiting t.b.v. kunststofkabels 3x1x16 mm2 CU 1)
De installatie wordt geleverd met :
1 Frame voor vloermontage (niet samengebouwd)
1 Kunststof afschermkap
1 Naamplaat PVC, hoogte 130mm.</t>
  </si>
  <si>
    <t xml:space="preserve">Magnefix type: MF, uitvoering: KKT,
voorzien van:
* 3 blinde schakelkappen
* 3 schakelkappen met zelfherstellende verklikkers 450A
(excl. frame)
</t>
  </si>
  <si>
    <t>Herinzet Magnefix installatie type MF, 12kV, samenstelling van links
naar rechts K.K.T., (standaard variant B) Veld 1: K 1 Onbeveiligd
kabelveld met 3 stofkappen. Veld 2: K 1 Onbeveiligd kabelveld met 3
stofkappen. Veld 3: T Transformatorveld (T-veld), bestaande uit:     1
Beveiligd transformatorveld met 3 schakelkappen zonder verklikker. Excl.
Frame.</t>
  </si>
  <si>
    <t>K-velden voorzien van 3 enkelpolige lastscheiders met moment in- en
uitschakeling,
Ieder k-Veld 3 elektronische kortsluitstroomindicatoren In = 450 A, 2
halve beschermkappen artikelnummer 283.344 (f) T-veld voorzien van 3
enkelpolige lastscheiders met moment in- en uitschakeling, 3
veilighedenhouders geschikt voor veiligheden volgens DIN43625-12 kV, 2
halve beschermkappen artikelnummer 283.344 (f), 1 beschermkap
artikelnummer 683.386 (e), 3 nylon proppen (wit), artikelnummer 692.391
(d) , 3 afdichtmanchetten (rood), artikelnummer 692.376 (c), 3
rubberhulzen (grijs), artikelnummer 683.366 (a), 3 connection pins
620.000 , 1 isolatiebuis, afdichtdoppen en rubbermachet, artikelnummer
684.536, Stofkappen op 1 veld, 1 Schakelhendel per MF installatie..</t>
  </si>
  <si>
    <t>Herinzet Magnefix installatie type MF, 12kV, samenstelling van links
naar rechts K.K.K.T., Veld 1: K 1 Onbeveiligd kabelveld met 3 s
tofkappen. Veld 2: K 1 Onbeveiligd kabelveld met 3 stofkappen. Veld 3: K 1 Onbeveiligd kabelveld met 3 schakelkappen, zonder
verklikker. Veld 4: T Transformatorveld (T-veld), bestaande uit:     1
Beveiligd transformatorveld met 3 schakelkappen zonder verklikker. Excl
frame.</t>
  </si>
  <si>
    <t>Herinzet Magnefix installatie type MD4, 12kV, samenstelling van links
naar rechts K.K.K.T., Veld 1: K 1 Onbeveiligd kabelveld met 3
stofkappen. Veld 2: K 1 Onbeveiligd kabelveld met 3 stofkappen. Veld 3:
K 1 Onbeveiligd kabelveld met 3 schakelkappen, zonder verklikker. Veld
4: T Transformatorveld (T-veld), bestaande uit:     1 Beveiligd
transformatorveld met 3 schakelkappen zonder verklikker     en 3
patroonhouders volgens DIN 43625     1 Eindsluiting t.b.v.
kunststofkabels 3x1x16 mm2 CU 1) De installatie wordt geleverd met : 1
Kunststof afschermkap 1 Naamplaat PVC, hoogte 130mm. Excl frame.</t>
  </si>
  <si>
    <t xml:space="preserve"> Herinzet Magnefix installatie type MD4, 12kV, samenstelling van links
naar rechts K.K.K.B., Veld 1: K 1 Onbeveiligd kabelveld met 3
stofkappen. Veld 2: K 1 Onbeveiligd kabelveld met 3 stofkappen. Veld 3:
K 1 Onbeveiligd kabelveld met 3 schakelkappen, zonder verklikker. Veld
4: B Vermogenschakelaarveld (B-veld), bestaande uit: 3 Enkelpolige
lastscheiders met momentinschakeling 1 Vermogenschakelaarveld voor
driepolige uitschakeling, opgebouwd uit:     3 Vacuumonderbrekers type
VB12, mechanisch vergrendeld met   de enkelpolige lastscheiders     1
Mechanisme voor (stroomloze) handinschakeling en voor    driepolige
electrische of mechanische uitschakeling         1 Drukknop voor
mechanische uitschakeling         Op B-veld een  WIC relais en W4
stroomtransformatoren.         de primaire stroom range van deze
stoomtransformator is 64A-224A         Gecombineerd met het WIC relais
is een beveiligingsinstelling         mogelijk van 57,6A (0,9 x 64)  tot
560A (2.5x224).         1 Stroomuitschakelspoel         1 Set secundaire
bedrading van 5 meter lengte om           stroomtransformatoren en
stroomuitschakelspoel te     verbinden met het op afstand te plaatsen
relais         3 Zwarte isolatiekokersCU 1) De installatie wordt
geleverd met : 1 Kunststof afschermkap 1 Naamplaat PVC, hoogte 130mm
Zonder Frame.</t>
  </si>
  <si>
    <t>Herinzet Magnefix installatie type MD4, 12kV, samenstelling van links
naar rechts K.K.B., Veld 1: K 1 Onbeveiligd kabelveld met 3 stofkappen,
Veld 2: K 1 Onbeveiligd kabelveld met 3 schakelkappen, zonder
verklikker. Veld 3: B Vermogenschakelaarveld (B-veld), bestaande uit: 3
Enkelpolige lastscheiders met momentinschakeling 1
Vermogenschakelaarveld voor driepolige uitschakeling, opgebouwd uit:
    3 Vacuumonderbrekers type VB12, mechanisch vergrendeld met   de
enkelpolige lastscheiders     1 Mechanisme voor (stroomloze) ha
ndinschakeling en voor    driepolige electrische of mechanische uitschakeling         1 Drukknop voor mechanische uitschakeling
        Op B-veld een  WIC relais en W4 stroomtransformatoren.
        de primaire stroom range van deze stoomtransformator is 64A-224A
        Gecombineerd met het WIC relais is een beveiligingsinstelling
        mogelijk van 57,6A (0,9 x 64)  tot 560A (2.5x224)         1
Stroomuitschakelspoel         1 Set secundaire bedrading van 5 meter
lengte om           stroomtransformatoren en stroomuitschakelspoel te
    verbinden met het op afstand te plaatsen relais         3 Zwarte
isolatiekokers CU 1) De installatie wordt geleverd met : 1 Kunststof
afschermkap 1 Naamplaat PVC, hoogte 130mm Zonder Frame.</t>
  </si>
  <si>
    <t>Herinzet Magnefix installatie type MD4, 12kV, samenstelling van links
naar rechts K.K.T., (standaard variant B) Veld 1: K 1 Onbeveiligd
kabelveld met 3 stofkappen. Veld 2: K 1 Onbeveiligd kabelveld met 3
stofkappen. Veld 3: T Transformatorveld (T-veld), bestaande uit:     1
Beveiligd transformatorveld met 3 schakelkappen zonder verklikker     en
3 patroonhouders volgens DIN 43625     1 Eindsluiting t.b.v.
kunststofkabels 3x1x16 mm2 CU 1) De installatie wordt geleverd met : 1
Kunststof afschermkap 1 Naamplaat PVC, hoogte 130mm. Excl. Frame.</t>
  </si>
  <si>
    <t xml:space="preserve">Herinzet Magnefix installatie type MD4, 12kV, samenstelling van links
naar rechts T.K.K.K., Veld 1: T Transformatorveld (T-veld), bestaande
uit:     1 Beveiligd transformatorveld met 3 schakelkappen zonder
verklikker     en 3 patroonhouders volgens DIN 43625     1 Eindsluiting
t.b.v. kunststofkabels 3x1x16 mm2 CU 1) Veld 2: K 1 Onbeveiligd
kabelveld met 3 met 3 stofkappen. Veld 3: K 1 Onbeveiligd kabelveld met
3 stofkappen. Veld 4: K 1 Onbeveiligd kabelveld met 3 schakelkappen,
zonder verklikker. De installatie wordt geleverd met : 1 Kunststof
afschermkap 1 Naamplaat PVC, hoogte 130mm. Excl. Frame
</t>
  </si>
  <si>
    <t>Herinzet Magnefix installatie type MD4, 12kV, samenstelling van links
naar rechts T.K.K., Veld 1: T Transformatorveld (T-veld), bestaande uit:
    Beveiligd transformatorveld met 3 schakelkappen zonder verklikker
    en 3 patroonhouders volgens DIN 43625     1 Eindsluiting t.b.v.
kunststofkabels 3x1x16 mm2 CU 1) Veld 2: K 1 Onbeveiligd kabelveld met 3
stofkappen. Veld 3: K 1 Onbeveiligd kabelveld met 3 schakelkappen,
zonder verklikker. De installatie wordt geleverd met : Kunststof
afschermkap 1 Naamplaat PVC, hoogte 130mm. Excl. Frame</t>
  </si>
  <si>
    <t xml:space="preserve">Herinzet Magnefix installatie type MD4, 12kV, samenstelling van links
naar rechts T.K.T., Veld 1: T Transformatorveld (T-veld), bestaande uit:
    1 Beveiligd transformatorveld met 3 schakelkappen zonder verklikker
   en 3 patroonhouders volgens DIN 43625     1 Eindsluiting t.b.v.
kunststofkabels 3x1x16 mm2 CU 1) Veld 2: K 1 Onbeveiligd kabelveld met 3
schakelkappen, zonder verklikker. Veld 3: T Transformatorveld (T-veld),
bestaande uit:     1 Beveiligd transformatorveld met 3 schakelkappen
zonder verklikker     en 3 patroonhouders volgens DIN 43625     1
Eindsluiting t.b.v. kunststofkabels 3x1x16 mm2 CU 1) De installatie
wordt geleverd met : 1 Kunststof afschermkap 1 Naamplaat PVC, hoogte
130mm. Excl. Frame
</t>
  </si>
  <si>
    <t xml:space="preserve">L; L; Cm (10kV;  60/5) and W3 SafePlus CCVm 10kV 60/5A (W3) 630A 16kA
IAC-AFL 16kA
(Afblazing naar onder)
</t>
  </si>
  <si>
    <t xml:space="preserve">L; L; Cm (10kV;  90/5) and W3 SafePlus CCVm 10kV 90/5A (W3) 630A 16kA
IAC-AFL 16kA
(Afblazing naar onder)
</t>
  </si>
  <si>
    <t xml:space="preserve">L; L; Cm (10kV; 135/5) and W3 SafePlus CCVm 10kV 135/5A (W3) 630A 16kA
IAC-AFL 16kA
(Afblazing naar onder)
</t>
  </si>
  <si>
    <t xml:space="preserve">L; L; Cm (10kV; 135/5) and W3 SafePlus CCVm 10kV 135/5A (W3) 630A 16kA
IAC-AFL 16kA
(betreedbaar Afblazing naar achter incl. arc-shields)
</t>
  </si>
  <si>
    <t>- Middenspanning schakelinstallatie 8DJH Compact  RRT-R.
- Geheel metaalomsloten.
- 1700 mm hoog met zijaansluiting.
- Voorzien van C-conus voor kabelvelden en A-conus voor trafoveld en SVK
in beide kabelvelden.</t>
  </si>
  <si>
    <t>- Middenspanning schakelinstallatie 8DJH Compact  RRT
- Geheel metaalomsloten
- 1700 mm hoog met zijaansluiting.
- Voorzien van C-conus voor kabelvelden en A-conus voor trafoveld en SVK
in beide kabelvelden.</t>
  </si>
  <si>
    <t xml:space="preserve">L; L; Cm (20kV;  60/5) and W3 SafePlus CCVm 20kV 60/5A (W3) 630A 16kA
IAC-AFL 16kA
(betreedbaar Afblazing naar achter incl. arc-shields)
</t>
  </si>
  <si>
    <t xml:space="preserve">L; L; Cm (20kV;  60/5) and W3 SafePlus CCVm 20kV 60/5A (W3) 630A 16kA
IAC-AFL 16kA
(Afblazing naar onder)
</t>
  </si>
  <si>
    <t xml:space="preserve">Toepassing in compact station MS installatie voor aansluiting AC5
toepasbaar in 10/20kVnet .
Met 10/20kV spanningstransformatoren en aftakbare stroomtransformatoren
GSA105 D45 60-90-135/5A t.b.v. kWh  Contractvermogen 60/5: 618-928kW,
90/5: 928-1391kW en 135/5: 1391-2087kW
K velden 630A. Vm veld 630A.
Afmeting installatie: 1021mm x 751mm x 1610mm. Afblaas naar achter incl.
Arc-shields. DA-voorziening via DA-tool bestellen.
</t>
  </si>
  <si>
    <t xml:space="preserve">Toepassing in compact station MS installatie voor aansluiting AC5
afschakelbaar toepasbaar in 10/20kVnet.
Met 10/20kV spanningstransformatoren en aftakbare stroomtransformatoren
GSA105 D45 60-90-135/5A t.b.v. kWh  Contractvermogen 60/5: 618-928kW,
90/5: 928-1391kW en 135/5: 1391-2087kW
K velden 630A.
Vm veld 630A.
Afmeting installatie: 1021mm x 751mm x 1610mm. Afblaas naar onder.
DA-voorziening via DA-Tool bestellen.
</t>
  </si>
  <si>
    <t xml:space="preserve">Toepassing in betreedbaar station MS installatie voor aansluiting AC5
toepasbaar in 10/20 KV net.
Met 10/20KV spanningstransformatoren en aftakbare stroomtransformatoren
GSA105 D45 60-90-135/5A t.b.v. kWh  Contractvermogen 60/5: 618-928kW,
90/5: 928-1391kW en 135/5: 1391-2087kW
K velden 630A. Vm veld 630A.
Beveiligingsrelais WIC1-1PE Stroomtrafo W3 instelbereik I&gt; 28,8A tot
280A I&gt;&gt; 32 tot 2240A.
Voorzien van C-conus op alle velden en storingsverklikkers in de
kabelvelden.
Afmeting installatie: 1021mm x 751mm x 1900mm. Incl. plint Afblaas naar
achter incl. arc-shields
</t>
  </si>
  <si>
    <t xml:space="preserve">Toepassing in compact station MS installatie voor aansluiting AC5
toepasbaar in 10/20KV net.
Met 10/20KV spanningstransformatoren en aftakbare stroomtransformatoren
GSA105 D45 60-90-135/5A t.b.v. kWh  Contractvermogen 60/5: 618-928kW,
90/5: 928-1391kW en 135/5: 1391-2087kW
K velden 630A. Vm veld 630A.
Beveiligingsrelais WIC1-1PE Stroomtrafo W3 instelbereik I&gt; 28,8A tot
280A I&gt;&gt; 32 tot 2240A.
Voorzien van C-conus op alle velden en storingsverklikkers in de
kabelvelden.
Afmeting installatie: 1021mm x 751mm x 1610mm. Afblaas naar onder
</t>
  </si>
  <si>
    <t>MS installatie voor aansluiting AC5a en AC5b (2 last scheiders 1
vermogensschakelaar). Met SVK in beide kabelvelden, WIC 1-1 PE beve
iligingsrelais en W2 stroomtransformator op vermogensschakelaar. Voorzien van C-conus op alle velden. Afblaas naar achter.
Inclusief 290mm verhogingsplint en Arc shields.</t>
  </si>
  <si>
    <t xml:space="preserve">MS installatie zowel toepasbaar in 10kV als 20kV netten.
(1 patroon/lastscheider, 2 lastscheider, 2 vermogensschakelaars).
Met WIC 1-1 PE beveiligingsrelais en W4 stroomtransformator op
vermogensschakelaars.
Betreedbaar station.
Voorzien van C-conus op alle velden.
Afblaas naar achter. Incl. 290mm verhogingsplint en Arc shields.
Kortsluitverklikkers aanwezig in alle C+V-velden.
</t>
  </si>
  <si>
    <t xml:space="preserve">L: L: L: F: F; SafePlus CCCFF 24kV 630A  16kA IAC-AFL 16kA
(betreedbaar afblazing naar achter incl. arc-shields)
Kortsluitverklikkers aanwezig in alle C+V-velden.
</t>
  </si>
  <si>
    <t xml:space="preserve">L: L: L: F: F; SafePlus CCCFF 24kV 630A  16kA IAC-AFL 16kA
(Afblazing naar onder)
Kortsluitverklikkers aanwezig in alle C+V-velden.
</t>
  </si>
  <si>
    <t>F; L
(Afblazing naar onder). Kortsluitverklikkers aanwezig in alle
C+V-velden.</t>
  </si>
  <si>
    <t>F: L: L: F: SafePlus FCCF 24kV 630A  16kA IAC-AFL 16kA
(betreedbaar
Afblazing naar achter
incl. arc-shields)
Kortsluitverklikkers aanwezig in alle C+V-velden.</t>
  </si>
  <si>
    <t>F: L: L: F: SafePlus FCCF 24kV 630A  16kA IAC-AFL 16kA
(Afblazing naar onder)
Kortsluitverklikkers aanwezig in alle C+V-velden.</t>
  </si>
  <si>
    <t xml:space="preserve">L; L; Vm; DA 10 kV 135/5 zon op land SafePlus CCVm-DA ZOL 10kV 135/5
 630A IAC-AFL 16kA
(betreedbaar
Afblazing naar achter
incl. arc-shields)
</t>
  </si>
  <si>
    <t xml:space="preserve">L; L; Vm; DA 10 kV 90/5 zon op land SafePlus CCVm-DA ZOL 10kV 90/5  630A
IAC-AFL 16kA
(betreedbaar
Afblazing naar achter
incl. arc-shields)
</t>
  </si>
  <si>
    <t xml:space="preserve">L; L; Vm; DA 10 kV 90/5 zon op land SafePlus CCVm-DA ZOL 10kV 90/5  630A
IAC-AFL 16kA
(Afblazing naar onder)
</t>
  </si>
  <si>
    <t xml:space="preserve">L; L; Vm; DA 20 kV 60/5 zon op land SafePlus CCVm-DA ZOL 20kV 60/5  630A
IAC-AFL 16kA
(betreedbaar
Afblazing naar achter
incl. arc-shields)
</t>
  </si>
  <si>
    <t xml:space="preserve">L; L; Vm;  DA 20 kV 60/5 zon op land SafePlus CCVm-DA ZOL 20kV 60/5
 630A IAC-AFL 16kA
(Afblazing naar onder)
</t>
  </si>
  <si>
    <t xml:space="preserve">F; L; L;  DA zon op land SafePlus CCF-DA ZOL 24kV 630A IAC-AFL 16kA
(betreedbaar
Afblazing naar achter
incl. arc-shields)
</t>
  </si>
  <si>
    <t xml:space="preserve">F; L; L;  DA zon op land SafePlus CCF-DA ZOL 24kV 630A IAC-AFL 16kA
(Afblazing naar onder)
</t>
  </si>
  <si>
    <t xml:space="preserve">F; L; C; C; F. SafePlus FCVVF (W4) 24kV 630A  16kA IAC-AFL 16kA
(betreedbaar
Afblazing naar achter
incl. arc-shields)
</t>
  </si>
  <si>
    <t xml:space="preserve">F Lt1 Lt2 Lt2 SafePlus FCCC-DA 24kV 630A 16kA IAC-AFL 16kA
(Afblazing naar onder)
</t>
  </si>
  <si>
    <t xml:space="preserve">F Lt1 Lt2 Lt2 SafePlus FCCC-DA 24kV 630A 16kA IAC-AFL 16kA
(betreedbaar
Afblazing naar achter
incl. arc-shields)
</t>
  </si>
  <si>
    <t xml:space="preserve">F Lt1 Lt2 SafePlus FCC-DA 24kV 630A 16kA IAC-AFL 16kA
(Afblazing naar onder)
</t>
  </si>
  <si>
    <t xml:space="preserve">F Lt1 Lt2 SafePlus FCC-DA 24kV 630A 16kA IAC-AFL 16kA
(betreedbaar
Afblazing naar achter
incl. arc-shields)
</t>
  </si>
  <si>
    <t xml:space="preserve">F Lt1 Ct3 Lt2 SafePlus FCVC-DA 24kV 630A 16kA IAC-AFL 16kA
(betreedbaar
Afblazing naar achter
incl. arc-shields)
</t>
  </si>
  <si>
    <t xml:space="preserve">F Lt1 Ct3 SafePlus FCV-DA 24kV 630A 16kA IAC-AFL 16kA
(Afblazing naar onder)
</t>
  </si>
  <si>
    <t xml:space="preserve">F Lt1 Ct3 SafePlus FCV-DA 24kV 630A 16kA IAC-AFL 16kA
(betreedbaar
Afblazing naar achter
incl. arc-shields)
</t>
  </si>
  <si>
    <t xml:space="preserve">F Lt1 Ct3 Ct3 SafePlus FCVV-DA 24kV 630A 16kA IAC-AFL 16kA
(Afblazing naar onder)
</t>
  </si>
  <si>
    <t xml:space="preserve">F Lt1 Ct3 Ct3 SafePlus FCVV-DA 24kV 630A 16kA IAC-AFL 16kA
(betreedbaar
Afblazing naar achter
incl. arc-shields)
</t>
  </si>
  <si>
    <t xml:space="preserve">F Lt1 Ct3 Ct3 Ct3 SafePlus FCVVV-DA 24kV 630A 16kA IAC-AFL 16kA
(Afblazing naar onder)
</t>
  </si>
  <si>
    <t xml:space="preserve">F Lt1 Ct3 Ct3 Ct3 SafePlus FCVVV-DA 24kV 630A 16kA IAC-AFL 16kA
(betreedbaar
Afblazing naar achter
incl. arc-shields)
</t>
  </si>
  <si>
    <t xml:space="preserve">C: L; C: C: DA SafePlus VCVV-DA 24kV 630A 16kA IAC-AFL 16kA
(betreedbaar
Afblazing naar achter
incl. arc-shields)
</t>
  </si>
  <si>
    <t xml:space="preserve">C: L: C; C: C: DA SafePlus VCVVV-DA 24kV 630A 16kA IAC-AFL 16kA
(Afblazing naar onder)
</t>
  </si>
  <si>
    <t xml:space="preserve">C: L: C; C: C: DA SafePlus VCVVV-DA 24kV 630A 16kA IAC-AFL 16kA
(betreedbaar
Afblazing naar achter
incl. arc-shields)
</t>
  </si>
  <si>
    <t xml:space="preserve">C: C: C: C: DA SafePlus VVVV-DA 24kV 630A 16kA IAC-AFL 16kA
(Afblazing naar onder)
</t>
  </si>
  <si>
    <t xml:space="preserve">C: L; C: C: DA SafePlus VCVV-DA 24kV 630A 16kA IAC-AFL 16kA
(Afblazing naar onder)
In veld 1 van de VCVV installatie wordt de 300-600/1A  CT toegepast.
Deze is af fabriek voor de DR standaard  uitbedraad op 300/1.
</t>
  </si>
  <si>
    <t xml:space="preserve">C: L; C: C: DA SafePlus VCVV-DA 24kV 630A 16kA IAC-AFL 16kA
(betreedbaar
Afblazing naar achter
incl. arc-shields)
In veld 1 van de VCVV installatie wordt de 300-600/1A  CT toegepast.
Deze is af fabriek voor de DR standaard  uitbedraad op 300/1.
</t>
  </si>
  <si>
    <t xml:space="preserve">C: C: C: C: DA SafePlus VVVV-DA 24kV 630A 16kA IAC-AFL 16kA
(Afblazing naar onder)
</t>
  </si>
  <si>
    <t xml:space="preserve">C: C: C: C: DA SafePlus VVVV-DA 24kV 630A 16kA IAC-AFL 16kA
(betreedbaar
Afblazing naar achter
incl. arc-shields)
</t>
  </si>
  <si>
    <t>Middenspanning schakelinstallatie
EATON Xiria Blok 24 kV - Geheel metaalomsloten.
K velden 630 A. V veld 200 A. Beveiligingsrelais WIC1-1PE Stroomtrafo W2
instelbereik
I&gt; 14,4 A tot 140 A
I&gt;&gt; 16 tot 1120 A.
Voorzien van C-conus op alle velden.
Geschikt voor toepassing in 10 kV als 20 kV netten.</t>
  </si>
  <si>
    <t>Middenspanning schakelinstallatie.
EATON Xiria Blok 24 kV
- Geheel metaalomsloten
– met 10/20 kV spanningstransformatoren en aftakbare
stroomtransformatoren 60/90/135 t.b.v. kWh meting.
Voor aansluiting AC5.
Contractvermogen
minimaal 693 kVA is 589 kW
Maximaal 2000 kVA is 1700 kW
- K velden 630 A.
- Vm veld 200 A. Beveiligingsrelais WIC1-1PE Stroomtrafo W3 instelbereik
I&gt; 28,8 A tot 280 A I&gt;&gt; 32 tot 2240 A.
Voorzien van C-conus op alle velden.</t>
  </si>
  <si>
    <t>Toepassing in compact station.
MS installatie - voor i-Netten.  zowel toepasbaar in 10kV als 20kV
netten.
(1 patroon/lastscheider, 2 lastscheider, 2 vermogensschakelaars).
Met WIC 1-1 PE beveiligingsrelais en W4 stroomtransformator op
vermogensschakelaars.
Voorzien van C-conus op alle velden.
Afblaas naar onder.</t>
  </si>
  <si>
    <t xml:space="preserve">Oliegevulde nettransformator, isolator-uitvoering,
10 kV, 100 kVA,
Schakeling: DYN, klokgetal: 5.
Losse Wielen en Thermometerpocket.
Zonder vlaggen.
Voorzien van sticker die het DYN-type aangeeft.
</t>
  </si>
  <si>
    <t>Oliegevulde nettransformator, isolator-uitvoering,
10 kV, 100 kVA,
Schakeling: DYN, klokgetal: 11.
Losse Wielen en Thermometerpocket.
Zonder vlaggen.
Voorzien van sticker die het DYN-type aangeeft.</t>
  </si>
  <si>
    <t>=======================================================
LET OP: DEZE NIEUWE UITVOERING MAG NIET WORDEN BESTELD.
=======================================================
Oliegevulde nettransformator,
Giethars aansluitblok,
10 kV, 100 kVA,
Schakeling: DYN, klokgetal: 11.</t>
  </si>
  <si>
    <t>Oliegevulde nettransformator, isolator-uitvoering,
10 kV, 160 kVA,
Schakeling: DYN, klokgetal: 5.
Losse Wielen en Thermometerpocket.
Zonder vlaggen.
Voorzien van sticker die het DYN-type aangeeft.</t>
  </si>
  <si>
    <t>Oliegevulde nettransformator, isolator-uitvoering,
10 kV, 160 kVA,
Schakeling: DYN, klokgetal: 11.
Losse Wielen en Thermometerpocket.
Zonder vlaggen.
Voorzien van sticker die het DYN-type aangeeft.</t>
  </si>
  <si>
    <t>=======================================================
LET OP: DEZE NIEUWE UITVOERING MAG NIET WORDEN BESTELD.
=======================================================
Oliegevulde nettransformator,
Giethars aansluitblok,
10 kV, 160 kVA,
Schakeling: DYN, klokgetal: 11.</t>
  </si>
  <si>
    <t>Oliegevulde nettransformator, isolator-uitvoering,
10 kV, 200 kVA,
Schakeling: DYN, klokgetal: 5.
Losse Wielen en Thermometerpocket.
Zonder vlaggen.
Voorzien van sticker die het DYN-type aangeeft.</t>
  </si>
  <si>
    <t xml:space="preserve">Oliegevulde nettransformator,
Giethars aansluitblok,
10 kV, 200 kVA,
Schakeling: DYN, klokgetal: 11.
</t>
  </si>
  <si>
    <t>Oliegevulde nettransformator, elastinold-uitvoering,
10 kV, 200 kVA,
Schakeling: DYN, klokgetal: 11.
Trafo dient uitgevoerd te worden met aansluitvlaggen aan de Ls-zijde.
Losse Wielen en Thermometerpocket.
Voorzien van sticker die het DYN-type aangeeft.</t>
  </si>
  <si>
    <t>Oliegevulde nettransformator, isolator-uitvoering,
10 kV, 200 kVA,
Schakeling: DYN, klokgetal: 11,
Losse Wielen en Thermometerpocket.
Zonder vlaggen.
Voorzien van sticker die het DYN-type aangeeft.</t>
  </si>
  <si>
    <t>Oliegevulde nettransformator, isolator-uitvoering,
10 kV, 250 kVA,
Schakeling: DYN, klokgetal: 5.
Trafo dient uitgevoerd te worden met aansluitvlaggen aan de Ls-zijde.
Losse Wielen en Thermometerpocket.
Voorzien van sticker die het DYN-type aangeeft.</t>
  </si>
  <si>
    <t>Oliegevulde nettransformator, isolator-uitvoering,
10 kV, 250 kVA,
Schakeling: DYN, klokgetal: 11.
Trafo dient uitgevoerd te worden met aansluitvlaggen aan de Ls-zijde.
Losse Wielen en Thermometerpocket.
Voorzien van sticker die het DYN-type aangeeft.</t>
  </si>
  <si>
    <t xml:space="preserve">Oliegevulde nettransformator,
Giethars aansluitblok,
10 kV, 250 kVA,
Schakeling: DYN, klokgetal: 11.
</t>
  </si>
  <si>
    <t>Oliegevulde nettransformator, isolator-uitvoering,
6 kV, 250 kVA,
Schakeling: DYN, klokgetal:  5.
420V 6100-6200-6300-6400-6500 stift 250amp
incl. vlaggen en wielen
Voorzien van sticker die het DYN-type aangeeft.</t>
  </si>
  <si>
    <t>Oliegevulde nettransformator, elastimold-uitvoering,
10 kV, 250 kVA,
Schakeling: DYN, klokgetal: 11.
Trafo dient uitgevoerd te worden met aansluitvlaggen aan de Ls-zijde.
Losse Wielen en Thermometerpocket.
Voorzien van sticker die het DYN-type aangeeft.</t>
  </si>
  <si>
    <t>Oliegevulde nettransformator, isolator-uitvoering,
10 kV, 315 kVA,
Schakeling: DYN, klokgetal: 5.
Losse Wielen en Thermometerpocket.
Zonder vlaggen.
Voorzien van sticker die het DYN-type aangeeft.</t>
  </si>
  <si>
    <t>Oliegevulde nettransformator, elastimold-uitvoering,
10 kV, 315 kVA,
Schakeling: DYN, klokgetal: 11.
Trafo dient uitgevoerd te worden met aansluitvlaggen aan de Ls-zijde.
Losse Wielen en Thermometerpocket.
Voorzien van sticker die het DYN-type aangeeft.</t>
  </si>
  <si>
    <t xml:space="preserve">Oliegevulde nettransformator,
Giethars aansluitblok,
10 kV, 315 kVA,
Schakeling: DYN, klokgetal: 11.
</t>
  </si>
  <si>
    <t>Oliegevulde nettransformator, isolator-uitvoering,
10 kV, 315 kVA,
Schakeling: DYN, klokgetal: 11,
Losse Wielen en Thermometerpocket.
Zonder vlaggen.
Voorzien van sticker die het DYN-type aangeeft.</t>
  </si>
  <si>
    <t>Oliegevulde nettransformator, isolator-uitvoering,
10 kV, 400 kVA,
Schakeling: DYN, klokgetal: 5.
Trafo dient uitgevoerd te worden met aansluitvlaggen aan de Ls-zijde.
Losse Wielen en Thermometerpocket.
Voorzien van sticker die het DYN-type aangeeft.</t>
  </si>
  <si>
    <t>Oliegevulde nettransformator, isolator-uitvoering,
10 kV, 400 kVA,
Schakeling: DYN, klokgetal: 5.
HS spanning: 10250 V
LS spanning: 400 V
Trafo dient uitgevoerd te worden met aansluitvlaggen aan de Ls-zijde.
Losse Wielen en Thermometerpocket.
Voorzien van sticker die het DYN-type aangeeft.</t>
  </si>
  <si>
    <t xml:space="preserve">"Oil immersed distribution transformer, isolator version, 10kV, 400kVA,
circuit DYN, clock number 11.
Transformer must be equipped with connection flags on the LV side.
Delivered with unmounted rollers, (in bag or connected with try-raps),
and Thermopocket
Large visual sticker with marking ‘DYN-11’."
</t>
  </si>
  <si>
    <t>Oliegevulde nettransformator,
Giethars aansluitblok,
10 kV, 400 kVA,
Schakeling: DYN, klokgetal: 11.
LET OP: TE REVISEREN UITVOERING -- NIET BESTELLEN</t>
  </si>
  <si>
    <t>Oliegevulde nettransformator,
Giethars aansluitblok,
10 kV, 400 kVA,
Schakeling: DYN, klokgetal: 5
LET OP: TE REVISEREN UITVOERING -- NIET BESTELLEN</t>
  </si>
  <si>
    <t>Oliegevulde nettransformator, isolator-uitvoering,
6 kV, 400 kVA,
Schakeling: DYN, klokgetal: 5.
420V 6100-6200-6300-6400-6500 stift 630amp
incl. vlaggen en wielen
Voorzien van sticker die het DYN-type aangeeft.</t>
  </si>
  <si>
    <t>Oliegevulde nettransformator, elastinold-uitvoering,
10 kV, 400 kVA,
Schakeling: DYN, klokgetal: 11.
Trafo dient uitgevoerd te worden met aansluitvlaggen aan de Ls-zijde.
Losse Wielen en Thermometerpocket.
Voorzien van sticker die het DYN-type aangeeft.</t>
  </si>
  <si>
    <t>Oliegevulde nettransformator, isolator-uitvoering,
10 kV, 630 kVA,
Schakeling: DYN, klokgetal: 5.
Trafo dient uitgevoerd te worden met aansluitvlaggen aan de Ls-zijde.
Losse Wielen en Thermometerpocket.
Voorzien van sticker die het DYN-type aangeeft.</t>
  </si>
  <si>
    <t>Oliegevulde nettransformator, isolator-uitvoering,
10 kV, 630 kVA,
Schakeling: DYN, klokgetal: 11.
Trafo dient uitgevoerd te worden met aansluitvlaggen aan de Ls-zijde.
Losse Wielen en Thermometerpocket.
Voorzien van sticker die het DYN-type aangeeft.</t>
  </si>
  <si>
    <t>Oliegevulde nettransformator,
Giethars aansluitblok,
10 kV, 630 kVA,
Schakeling: DYN, klokgetal: 11.
LET OP: TE REVISEREN UITVOERING -- NIET BESTELLEN</t>
  </si>
  <si>
    <t>Oliegevulde nettransformator, isolator-uitvoering,
6 kV, 630 kVA,
Schakeling: DYN, klokgetal: 5.
420V 6100-6200-6300-6400-6500 vlag 1000amp
incl. vlaggen en wielen
Voorzien van sticker die het DYN-type aangeeft.</t>
  </si>
  <si>
    <t>Oliegevulde nettransformator, elastinold-uitvoering,
10 kV, 630 kVA,
Schakeling: DYN, klokgetal: 11.
Trafo dient uitgevoerd te worden met aansluitvlaggen aan de Ls-zijde.
Losse Wielen en Thermometerpocket.
Voorzien van sticker die het DYN-type aangeeft.</t>
  </si>
  <si>
    <t>Oliegevulde nettransformator, isolator-uitvoering,
10 kV, 1000 kVA,
Schakeling: DYN, klokgetal: 5.
Trafo dient uitgevoerd te worden met aansluitvlaggen aan de Ls-zijde.
De gatmaat van de aansluitvlaggen is 14 mm.
Losse Wielen en Thermometerpocket.
Voorzien van sticker die het DYN-type aangeeft.</t>
  </si>
  <si>
    <t>Oliegevulde nettransformator, isolator-uitvoering,
10 kV, 1000 kVA,
Schakeling: DYN, klokgetal: 11.
Trafo dient uitgevoerd te worden met aansluitvlaggen aan de Ls-zijde.
Losse Wielen en Thermometerpocket.
Voorzien van sticker die het DYN-type aangeeft.</t>
  </si>
  <si>
    <t>Oliegevulde nettransformator,
Giethars aansluitblok,
10 kV, 1000 kVA,
Schakeling: DYN, klokgetal: 11.
LET OP: TE REVISEREN UITVOERING -- NIET BESTELLEN</t>
  </si>
  <si>
    <t>Oliegevulde nettransformator, isolator-uitvoering,
6 kV, 1000 kVA,
Schakeling: DYN, klokgetal: 5.
6100-6200-6300-6400-6500 vlag 2000amp
incl. vlaggen en wielen
Voorzien van sticker die het DYN-type aangeeft.</t>
  </si>
  <si>
    <t>Oliegevulde nettransformator, elastimold-uitvoering,
10 kV, 1000 kVA,
Schakeling: DYN, klokgetal: 11.
Trafo dient uitgevoerd te worden met aansluitvlaggen aan de Ls-zijde.
Losse Wielen en Thermometerpocket.
Voorzien van sticker die het DYN-type aangeeft.</t>
  </si>
  <si>
    <t>Oliegevulde nettransformator, isolator-uitvoering,
10kV,  2.000 kVA,
Schakeling: DYN, Klokgetal: 5.
Trafo dient uitgevoerd te worden met aansluitvlaggen aan de Ls-zijde.
Losse Wielen en Thermometerpocket.
Voorzien van sticker die het DYN-type aangeeft.</t>
  </si>
  <si>
    <t>Oliegevulde nettransformator, isolator-uitvoering,
10kV,  2.000 kVA,
Schakeling: DYN, Klokgetal: 11.
Trafo dient uitgevoerd te worden met aansluitvlaggen aan de Ls-zijde.
Losse Wielen en Thermometerpocket.
Voorzien van sticker die het DYN-type aangeeft.</t>
  </si>
  <si>
    <t>Oliegevulde nettransformator, isolator-uitvoering,
10 kV, 1600 kVA,
Schakeling: DYN, klokgetal: 5.
Trafo dient uitgevoerd te worden met aansluitvlaggen aan de Ls-zijde.
Losse Wielen en Thermometerpocket.
Voorzien van sticker die het DYN-type aangeeft.</t>
  </si>
  <si>
    <t>Oliegevulde nettransformator, isolator-uitvoering,
10 kV, 1600 kVA,
Schakeling: DYN, klokgetal: 11.
Trafo dient uitgevoerd te worden met aansluitvlaggen aan de Ls-zijde.
Losse Wielen en Thermometerpocket.
Voorzien van sticker die het DYN-type aangeeft.</t>
  </si>
  <si>
    <t>Oliegevulde nettransformator, isolator-uitvoering,
10kV,  2.500 kVA,
Schakeling: DYN, Klokgetal: 5.
Trafo dient uitgevoerd te worden met aansluitvlaggen aan de Ls-zijde.
Losse Wielen en Thermometerpocket.
Voorzien van sticker die het DYN-type aangeeft.</t>
  </si>
  <si>
    <t>Oliegevulde nettransformator, isolator-uitvoering,
10kV,  2.500 kVA,
Schakeling: DYN, Klokgetal: 11.
Trafo dient uitgevoerd te worden met aansluitvlaggen aan de Ls-zijde.
Losse Wielen en Thermometerpocket.
Voorzien van sticker die het DYN-type aangeeft.</t>
  </si>
  <si>
    <t>Let Trafo 690 Volt.
Met vlaggen, losse wielen en thermometer pocket.
Voorzien van sticker die het DYN-type aangeeft.</t>
  </si>
  <si>
    <t>Inregelen retour/revisieproces t.b.v.
3kV transformatoren.
Kritisch storingsartikel. Reservestelling.</t>
  </si>
  <si>
    <t>Inregelen retour/revisieproces t.b.v. 3kV transformatoren.
Kritisch storingsartikel. Reservestelling.</t>
  </si>
  <si>
    <t>Nettrafo olie,
10/3 kV
400 kVA
DYN 5.</t>
  </si>
  <si>
    <t>Nettrafo olie,
10/3 kV
200 kVA
DYN 5.</t>
  </si>
  <si>
    <t>Nettrafo olie,
10/3 kV
400 kVA
DYN 11.</t>
  </si>
  <si>
    <t>Nettrafo olie,
10/3 kV
150 kVA
DYN 11.</t>
  </si>
  <si>
    <t>Oliegevulde nettransformator,
uitvoering MS aansluitingen in C-conus type K400AR-6/J,
20/10 kV, 6000 kVA,
Schakeling: Yyn, klokgetal: 6.
- De transformator wordt zonder wielen geleverd.
- Inclusief 2x Thermometerpocket
- Type minerale olie: Starke &lt;(&gt;&amp;&lt;)&gt; Sohn StaSo I
- Inclusief dempmat.
-------------------------------------------------------------
Afleveradres mag NIET het CDC Apeldoorn zijn !!!!
-------------------------------------------------------------
Fabrikant: Eltas</t>
  </si>
  <si>
    <t>Oliegevulde nettransformator, isolator-uitvoerring,
20 kV, 250 kVA,
Schakeling: DYN, klokgetal: 5.
Trafo dient uitgevoerd te worden met aansluitvlaggen aan de Ls-zijde.
Losse Wielen en Thermometerpocket.
Voorzien van sticker die het DYN-type aangeeft.</t>
  </si>
  <si>
    <t xml:space="preserve">Oliegevulde nettransformator, isolator-uitvoering,
20 kV, 400 kVA,
Schakeling: DYN, klokgetal: 5.
Trafo dient uitgevoerd te worden met aansluitvlaggen aan de Ls-zijde.
Losse Wielen en Thermometerpocket.
Voorzien van sticker die het DYN-type aangeeft.
</t>
  </si>
  <si>
    <t>Oliegevulde nettransformator, isolator-uitvoering
20 kV, 630 kVA,
Schakeling: DYN, klokgetal: 5.
Trafo dient uitgevoerd te worden met aansluitvlaggen aan de Ls-zijde.
Losse Wielen en Thermometerpocket.
Voorzien van sticker die het DYN-type aangeeft.</t>
  </si>
  <si>
    <t>Oliegevulde nettransformator, isolator-uitvoering.
20 kV, 1000 kVA,
Schakeling: DYN, klokgetal: 5.
Trafo dient uitgevoerd te worden met aansluitvlaggen aan de Ls-zijde.
Losse Wielen en Thermometerpocket.
Voorzien van sticker die het DYN-type aangeeft.</t>
  </si>
  <si>
    <t>KABEL YMeKrvasqlwd 3X 95alrm + as70 6/10 kV,
KABEL YMeKrvasqlwd 3X 95alrm + as50 6/10 kV,
Ring van 15 meter aanmaken (lengte)
Afboekeenheid is meter.
Aan te maken van standaardartikel 20027905.
===========================================
Niet bestellen
===========================================</t>
  </si>
  <si>
    <t>KABEL VVMvKhsas/750 Alk4x150 Alsvm + 4x6  sas50
vlgs. Alkudia spec. 1981.
Ring van 15 meter aanmaken (lengte)
Afboekeenheid is meter.
Aan te maken van standaardartikel 20009692.
===========================================
Niet bestellen
===========================================</t>
  </si>
  <si>
    <t>Kabel P1MeKrvaslqwd 10kV 3x240Alrm as70 20kV
Kabel P1MeKrvaslqwd 10kV 3x240Alrm as50 20kV
of
Kabel YMeKrvaslqwd 10kV 3x240Alrm as70 20kV
Kabel YMeKrvaslqwd 10kV 3x240Alrm as50 20kV
Ring van 15 meter aanmaken (lengte)
 Afboekeenheid is meter.
Aan te maken van standaardartikel 20027989.
===========================================
Niet bestellen
===========================================</t>
  </si>
  <si>
    <t xml:space="preserve">====================================
Niet bestellen
Kan door klant worden afgeroepen
====================================
Bestaat uit:
- Container met daar in een SVS08
- Deelbare bok (L 2x 1490 x B2420 x H 2x800)
- Trap
====================================
</t>
  </si>
  <si>
    <t xml:space="preserve">Magnefix dummy
</t>
  </si>
  <si>
    <t>====================================
Niet bestellen.
Zal via LKC (Landelijk Klant Contact) worden afgeroepen voor storingen.
Mag niet worden gebruikt andere toepassingen.
====================================</t>
  </si>
  <si>
    <t>20kV aardingstransformator</t>
  </si>
  <si>
    <t xml:space="preserve">-------------------------------------------------
Artikel is niet meer bestelbaar en niet gekoppeld aan
een leverancier.
Voorraad is afhankelijk van wat uit voorraden van Netcare
komt
of
geschikt bevonden materiaal wat vrij komt na
ombouw van 3 kV netten naar 10 of 20 kV.
Zie mail in clip.
-------------------------------------------------
</t>
  </si>
  <si>
    <t xml:space="preserve">-------------------------------------------------
 Artikel is niet meer bestelbaar en niet gekoppeld aan
een leverancier.
Voorraad is afhankelijk van wat uit voorraden van Netcare
komt
of
geschikt bevonden materiaal wat vrij komt na
ombouw van 3 kV netten naar 10 of 20 kV.
Zie mail in clip.
-------------------------------------------------
</t>
  </si>
  <si>
    <t xml:space="preserve">Buispatroon t.b.v. 3 kV 10 A voor magnefix MA
-------------------------------------------------
Artikel is niet meer bestelbaar en niet gekoppeld aan
een leverancier.
Voorraad is afhankelijk van wat uit voorraden van Netcare
komt
of
geschikt bevonden materiaal wat vrij komt na
ombouw van 3 kV netten naar 10 of 20 kV.
Zie mail in clip.
-------------------------------------------------
</t>
  </si>
  <si>
    <t xml:space="preserve">Buispatroon 3 kv 10 A voor magnefix MG
-------------------------------------------------
Artikel is niet meer bestelbaar en niet gekoppeld aan
een leverancier.
Voorraad is afhankelijk van wat uit voorraden van Netcare
komt
of
geschikt bevonden materiaal wat vrij komt na
ombouw van 3 kV netten naar 10 of 20 kV.
Zie mail in clip.
-------------------------------------------------
</t>
  </si>
  <si>
    <t xml:space="preserve">Doorverbinder t.b.v. montage in schakelkap 3 kV magnefix MA
-------------------------------------------------
Artikel is niet meer bestelbaar en niet gekoppeld aan
een leverancier.
Voorraad is afhankelijk van wat uit voorraden van Netcare
komt
of
geschikt bevonden materiaal wat vrij komt na
ombouw van 3 kV netten naar 10 of 20 kV.
Zie mail in clip.
-------------------------------------------------
</t>
  </si>
  <si>
    <t xml:space="preserve">Doorverbinder t.b.v. montage in schakelkap 3 kV magnefix MG
-------------------------------------------------
Artikel is niet meer bestelbaar en niet gekoppeld aan
een leverancier.
Voorraad is afhankelijk van wat uit voorraden van Netcare
komt
of
geschikt bevonden materiaal wat vrij komt na
ombouw van 3 kV netten naar 10 of 20 kV.
Zie mail in clip.
-------------------------------------------------
</t>
  </si>
  <si>
    <t xml:space="preserve">Koppelstukken t.b.v. koppelen 3 kV magnefix MA schakelaars railzijdig
-------------------------------------------------
Artikel is niet meer bestelbaar en niet gekoppeld aan
een leverancier.
Voorraad is afhankelijk van wat uit voorraden van Netcare
komt
of
geschikt bevonden materiaal wat vrij komt na
ombouw van 3 kV netten naar 10 of 20 kV.
Zie mail in clip.
-------------------------------------------------
</t>
  </si>
  <si>
    <t xml:space="preserve">Koppelstukken t.b.v. koppelen 3 kV magnefix MG schakelaars railzijdig
-------------------------------------------------
Artikel is niet meer bestelbaar en niet gekoppeld aan
een leverancier.
Voorraad is afhankelijk van wat uit voorraden van Netcare
komt
of
geschikt bevonden materiaal wat vrij komt na
ombouw van 3 kV netten naar 10 of 20 kV.
Zie mail in clip.
-------------------------------------------------
</t>
  </si>
  <si>
    <t xml:space="preserve">Mica grondplaat 3 kV voor 2 velden MA (3 fase)  met 1 veld (3 fase)
magnefix MA gemonteerd
-------------------------------------------------
Artikel is niet meer bestelbaar en niet gekoppeld aan
een leverancier.
Voorraad is afhankelijk van wat uit voorraden van Netcare
komt
of
geschikt bevonden materiaal wat vrij komt na
ombouw van 3 kV netten naar 10 of 20 kV.
Zie mail in clip.
-------------------------------------------------
</t>
  </si>
  <si>
    <t xml:space="preserve">Mica grondplaat 3 kV voor 3 velden MA (3 fase)
-------------------------------------------------
Artikel is niet meer bestelbaar en niet gekoppeld aan
een leverancier.
Voorraad is afhankelijk van wat uit voorraden van Netcare
komt
of
geschikt bevonden materiaal wat vrij komt na
ombouw van 3 kV netten naar 10 of 20 kV.
Zie mail in clip.
-------------------------------------------------
</t>
  </si>
  <si>
    <t xml:space="preserve">Mica grondplaat 3 kV voor 3 velden MG (3 fase)
-------------------------------------------------
Artikel is niet meer bestelbaar en niet gekoppeld aan
een leverancier.
Voorraad is afhankelijk van wat uit voorraden van Netcare
komt
of
geschikt bevonden materiaal wat vrij komt na
ombouw van 3 kV netten naar 10 of 20 kV.
Zie mail in clip.
-------------------------------------------------
</t>
  </si>
  <si>
    <t xml:space="preserve">Mica grondplaat 3 kV  voor 4 velds (3 fase) magnefix MG
-------------------------------------------------
Artikel is niet meer bestelbaar en niet gekoppeld aan
een leverancier.
Voorraad is afhankelijk van wat uit voorraden van Netcare
komt
of
geschikt bevonden materiaal wat vrij komt na
ombouw van 3 kV netten naar 10 of 20 kV.
Zie mail in clip.
-------------------------------------------------
</t>
  </si>
  <si>
    <t xml:space="preserve">Mica grondplaat 3 kV  voor 5 velds (3 fase) magnefix MG
-------------------------------------------------
Artikel is niet meer bestelbaar en niet gekoppeld aan
een leverancier.
Voorraad is afhankelijk van wat uit voorraden van Netcare
komt
of
geschikt bevonden materiaal wat vrij komt na
ombouw van 3 kV netten naar 10 of 20 kV.
Zie mail in clip.
-------------------------------------------------
</t>
  </si>
  <si>
    <t xml:space="preserve">Schakelkap 3 kV magnefix MA 3 fase met handgreep  doorverbinding
-------------------------------------------------
Artikel is niet meer bestelbaar en niet gekoppeld aan
een leverancier.
Voorraad is afhankelijk van wat uit voorraden van Netcare
komt
of
geschikt bevonden materiaal wat vrij komt na
ombouw van 3 kV netten naar 10 of 20 kV.
Zie mail in clip.
-------------------------------------------------
</t>
  </si>
  <si>
    <t xml:space="preserve">Schakelkap  3 kV magnefix MA met vast gemonteerde doorverbinding
-------------------------------------------------
Artikel is niet meer bestelbaar en niet gekoppeld aan
een leverancier.
Voorraad is afhankelijk van wat uit voorraden van Netcare
komt
of
geschikt bevonden materiaal wat vrij komt na
ombouw van 3 kV netten naar 10 of 20 kV.
Zie mail in clip.
-------------------------------------------------
</t>
  </si>
  <si>
    <t xml:space="preserve">Schakelkap  3 kV magnefix MA met patroonhouder
-------------------------------------------------
Artikel is niet meer bestelbaar en niet gekoppeld aan
een leverancier.
Voorraad is afhankelijk van wat uit voorraden van Netcare
komt
of
geschikt bevonden materiaal wat vrij komt na
ombouw van 3 kV netten naar 10 of 20 kV.
Zie mail in clip.
-------------------------------------------------
</t>
  </si>
  <si>
    <t xml:space="preserve">Schakelkap  3 kV magnefix MG met patroonhouder
-------------------------------------------------
Artikel is niet meer bestelbaar en niet gekoppeld aan
een leverancier.
Voorraad is afhankelijk van wat uit voorraden van Netcare
komt
of
geschikt bevonden materiaal wat vrij komt na
ombouw van 3 kV netten naar 10 of 20 kV.
Zie mail in clip.
-------------------------------------------------
</t>
  </si>
  <si>
    <t xml:space="preserve">Schakelstok /handgreep 3 kV  voor magnefix MA
-------------------------------------------------
Artikel is niet meer bestelbaar en niet gekoppeld aan
een leverancier.
Voorraad is afhankelijk van wat uit voorraden van Netcare
komt
of
geschikt bevonden materiaal wat vrij komt na
ombouw van 3 kV netten naar 10 of 20 kV.
Zie mail in clip.
-------------------------------------------------
</t>
  </si>
  <si>
    <t xml:space="preserve">Schakelstok /handgreep 3 kV voor magnefix MG
-------------------------------------------------
Artikel is niet meer bestelbaar en niet gekoppeld aan
een leverancier.
Voorraad is afhankelijk van wat uit voorraden van Netcare
komt
of
geschikt bevonden materiaal wat vrij komt na
ombouw van 3 kV netten naar 10 of 20 kV.
Zie mail in clip.
-------------------------------------------------
</t>
  </si>
  <si>
    <t xml:space="preserve">Compleet schakelveld
inclusief schakelkappen 3-fasig
3 kV magnefix MA
gemonteerd op mica plaat.
-------------------------------------------------
Artikel is niet meer bestelbaar en niet gekoppeld aan
een leverancier.
Voorraad is afhankelijk van wat uit voorraden van Netcare
komt
of
geschikt bevonden materiaal wat vrij komt na
ombouw van 3 kV netten naar 10 of 20 kV.
Zie mail in clip.
-------------------------------------------------
</t>
  </si>
  <si>
    <t xml:space="preserve">Compleet schakelveld inclusief schakelkappen 3 fasig 3 kV magnefix MA
-------------------------------------------------
Artikel is niet meer bestelbaar en niet gekoppeld aan
een leverancier.
Voorraad is afhankelijk van wat uit voorraden van Netcare
komt
of
geschikt bevonden materiaal wat vrij komt na
ombouw van 3 kV netten naar 10 of 20 kV.
Zie mail in clip.
-------------------------------------------------
</t>
  </si>
  <si>
    <t xml:space="preserve">Compleet schakelveld inclusief schakelkappen 3 fasig  3 kV magnefix MG
-------------------------------------------------
Artikel is niet meer bestelbaar en niet gekoppeld aan
een leverancier.
Voorraad is afhankelijk van wat uit voorraden van Netcare
komt
of
geschikt bevonden materiaal wat vrij komt na
ombouw van 3 kV netten naar 10 of 20 kV.
Zie mail in clip.
-------------------------------------------------
</t>
  </si>
  <si>
    <t xml:space="preserve">3 kV netstation compleet met 3 kV magnefix MA installatie en 40 kVA 3kV
/ 400V giethars transformator
-------------------------------------------------
Artikel is niet meer bestelbaar en niet gekoppeld aan
een leverancier.
Voorraad is afhankelijk van wat uit voorraden van Netcare
komt
of
geschikt bevonden materiaal wat vrij komt na
ombouw van 3 kV netten naar 10 of 20 kV.
Zie mail in clip.
-------------------------------------------------
</t>
  </si>
  <si>
    <t>Kabel  3kV   3 x 10 mm2 kunststof</t>
  </si>
  <si>
    <t>Kabel kunststof  3x 16 mm2  3 kV</t>
  </si>
  <si>
    <t xml:space="preserve">Aardingsset voor 3 kV magnefix MA 3 fase incl aardsnoer en railklem
-------------------------------------------------
Artikel is niet meer bestelbaar en niet gekoppeld aan
een leverancier.
Voorraad is afhankelijk van wat uit voorraden van Netcare
komt
of
geschikt bevonden materiaal wat vrij komt na
ombouw van 3 kV netten naar 10 of 20 kV.
Zie mail in clip.
-------------------------------------------------
</t>
  </si>
  <si>
    <t xml:space="preserve">Aardingsset voor  3 kV magnefix MG
-------------------------------------------------
Artikel is niet meer bestelbaar en niet gekoppeld aan
een leverancier.
Voorraad is afhankelijk van wat uit voorraden van Netcare
komt
of
geschikt bevonden materiaal wat vrij komt na
ombouw van 3 kV netten naar 10 of 20 kV.
Zie mail in clip.
-------------------------------------------------
</t>
  </si>
  <si>
    <t xml:space="preserve">EATON Xiria Block KKV 20kV ter vervanging van gestoorde SVS 20kV zondert
meting bij windmolen. Installatie wordt geleverd zonderplint. Alle
velden uitsluitend geschikt voor enkel aderige kabels verder info zie N-
blad: N6931
Reserve installaties voor vervanging 20kV SVS windmolen.
</t>
  </si>
  <si>
    <t xml:space="preserve">12kV Xiria KVV
Xiria-installatie, met navolgende opbouw
(van links naar rechts gezien)
Veld 1 630A Kabelveld / 12 kV
Veld 2 200A Vermogenschakelaarveld.
Veld 3 200A Vermogenschakelaarveld.
</t>
  </si>
  <si>
    <t xml:space="preserve">Distributietransformator,
uitvoering: droge giethars,
Schakeling/klokgetal: DYN 5,
Wikkelmateriaal MS/LS: Cu,
Spanning primair HS-zijde : 11250 V, 11000, 10750, 10500, 10250.
Spanning secunda LS-zijde :   420 V.
Vermogen: 630 kVA.
</t>
  </si>
  <si>
    <t xml:space="preserve">Distributietransformator,
uitvoering: droge giethars,
Schakeling/klokgetal: DYN 11,
Wikkelmateriaal MS/LS: Cu,
Spanning primair HS-zijde : 11288 V, (11019/ 10750/10481/10213)
Spanning secunda LS-zijde :   420 V.
Vermogen: 1000 kVA.
</t>
  </si>
  <si>
    <t>Herinzet:
Innovac SVS
serienummers 39338, 39339, 39340.
Afkomstiig van Horsawal 1
Aldedijk 13 Workum
dhr. Dijkstra
Transportopdracht 80345202 (11.05.2105).
W.Hoekstra / Horsaewal 1 / 8711 CG WORKUM</t>
  </si>
  <si>
    <t xml:space="preserve">Herinzet
Eaton xiria 12 kV,
opdracht 430247
po-order: 4501608367 (2300) ; 02.04.2015
tranport: 80376574 R (24.11.2015)
Referentienummer: 150327847-52
Afgeleverd bij J.Dongelmans / Hefbrugweg 28 / 1332 AP Almere
------------------------------------------------------------------------
-------------------------
hulpspanning: 24 Vdc
K    12 kV    630 A
V    200 A
V    200 A
.
Last- en vermogenschakelaarsvelden met C-conus
Inclusief bedieningshendel
Inclusief 250 mm plint
Handel en stofkap
Aardkogel in kabelcompartiment incl. litze
Veldafdichting d.m.v. Filoform (ieder veld)
Geen vergrendeling op de deuren
Hoekbeugel bevestiging / grondbevestiging (links en rechts)
------------------------------------------------------------------------
-------------------------
3 velden kabelblokken ...
2 velden beveiligingstransformatoren ....
</t>
  </si>
  <si>
    <t xml:space="preserve">Herinzet:
Eaton Holec
Innovac SVS
3-deurs.
MSR Caterpillar Log
Kabel 240 AL / Kabel 240 AL / Klant kabel 95 Cu
</t>
  </si>
  <si>
    <t xml:space="preserve">Herinzet
Eaton SVS08 Verdeelinrichting
Project 307405.
3 deurs (2 hoog, 1 laag)
artikel SVSA200400
serienr: 1439SVSA20003410
John Mol / ALmere / 06-5240052
po-order 4501415252 / 09-07-2014
offerte 214-4252 (offerter:2140004252)
.
</t>
  </si>
  <si>
    <t xml:space="preserve">opdracht 307076
Netcare Apeldoorn
3-deurs (2 hoge segmenten; 1 lagere).
Middenspanningsverdeeelinrichting type SVS 08.
bestaande uit 3 panelen, k,K.Vm.
De installatie wordt als een blok geleverd.
</t>
  </si>
  <si>
    <t xml:space="preserve">Herinzet:
opdracht 302094.
5 segmenten; 2 HOGE; 1 LAGERE; 2 HOGERE
</t>
  </si>
  <si>
    <t xml:space="preserve">Herinzet.
Opdracht 302093.
5 segmenten (2 hoog, 1 lager, 2 hoger)
</t>
  </si>
  <si>
    <t xml:space="preserve">Herinzet
SVS; 4-segmenten';
Hoekseweg 8 / Poederooijen
240 AL / Satten postweg / meetveld / ?
Transportorder: 84083277 (27.09.2018).
S Becic 06-31031749 / Hoekseweg 8 / 5307 TC POEDEROIJEN
</t>
  </si>
  <si>
    <t xml:space="preserve">MS installatie KKmV 20 kV
(met 20 kV spanningstransformatoren en stroomtransformatoren t.b.v. kWh
meting) ter vervanging van een gestoorde SVS 20 kV met meting bij
windmolen.
Indien voorradig wordt er een 20 kV KKVm SVS08 geleverd uit herinzet.
Indien niet beschikbaar een KKVm ABB Safering.
</t>
  </si>
  <si>
    <t>Warmtekrimp mof geschikt voor XLPE 20kV 1x800Al/Cu op XLPE 20kV
1x800Al/Cu</t>
  </si>
  <si>
    <t>Warmtekrimp mof geschikt voor XLPE 20kV 1x630Al/Cu op XLPE 20kV 1x800Al
- Raychem MXSU-5171-T8-NL-xx</t>
  </si>
  <si>
    <t>Mof met schroefverbinder geschikt voor 10kV GPLK 1x1000Cu op 20kV XLPE
1x630Al (Cellpack CHMPR-SV SINGLE 24kV 630-1000 10kV AL/CU)</t>
  </si>
  <si>
    <t>Isolatieolie voor bijvullen Kabeldon eindsluiting type ABB OTIA 152,
verpakt per blik van 4 liter.</t>
  </si>
  <si>
    <t>HAS gAvilar deel installatie. Bestaat uit: Regelaar, filter en 2x
veiligheidsafslagklep.</t>
  </si>
  <si>
    <t>Distributietransformator, olie-koeling.
uitvoering: ?????
Schakeling/klokgetal: DYN 5
Wikkelmateriaal MS/LS: Cu,
Spanning primair HS-zijde : 21500 V
Spanning secunda LS-zijde :   420 V
Vermogen: 1600 kVA.
Fabrikant: Efacec.
Tier 2 / N21.</t>
  </si>
  <si>
    <t>Omschrijving</t>
  </si>
  <si>
    <t>Afleveradres</t>
  </si>
  <si>
    <t>Contactpersoon/ontvanger</t>
  </si>
  <si>
    <t>Contactpersonen Liander</t>
  </si>
  <si>
    <t>ASP 3003, van den Heuvel, D&amp;C Stations – Zuid Oost</t>
  </si>
  <si>
    <t>Kruishoekstraat 13, 5384 TK, Heesh</t>
  </si>
  <si>
    <t>ASP 3004, Dmissie Electro B.V. Amsterdam</t>
  </si>
  <si>
    <t>Portsmuiden 15, 1046 AH, Amsterdam</t>
  </si>
  <si>
    <t>ASP 3005, Dmissie Electro B.V. Leeuwarden</t>
  </si>
  <si>
    <t>Siriusweg 2, 8938 BB, Leeuwarden</t>
  </si>
  <si>
    <t>NuGelre Visser Smit Hanab (3101)</t>
  </si>
  <si>
    <t>Oude Weistraat 17, Velddriel</t>
  </si>
  <si>
    <t>NuGelre Van Voskuilen (3102)</t>
  </si>
  <si>
    <t>Nieuwgraafsestraat, Duiven</t>
  </si>
  <si>
    <t>NuGelre Van De Heuvel (3103)</t>
  </si>
  <si>
    <t>Marssestraat 3, Halle</t>
  </si>
  <si>
    <t>John Lamberts</t>
  </si>
  <si>
    <t>Helix Visser Smit Hanab (3104)</t>
  </si>
  <si>
    <t>Het Schild 1, Heerhugowaard</t>
  </si>
  <si>
    <t>0645781300 Dylan Althoff</t>
  </si>
  <si>
    <t>Helix Hak (3105)</t>
  </si>
  <si>
    <t>Schervenweg 12a, Wieringerwerf</t>
  </si>
  <si>
    <t>0639376977 Joep Mobers</t>
  </si>
  <si>
    <t>Helix Van Gelder (3106)</t>
  </si>
  <si>
    <t>Middenweg 3, 1463 HA, Noordbeemster</t>
  </si>
  <si>
    <t>0653404988 Justin Konings</t>
  </si>
  <si>
    <t>Logistiek Beheer</t>
  </si>
  <si>
    <t>NuLelie Heijmans Voskuilen Pol (3107)</t>
  </si>
  <si>
    <t>Zwartemeerweg 3, Ens</t>
  </si>
  <si>
    <t>0610377981 Basem Atif</t>
  </si>
  <si>
    <t>NuLelie Van Gelder (3108)</t>
  </si>
  <si>
    <t>Wirdmarsumerweg 5, Bolsward</t>
  </si>
  <si>
    <t>0682546526 Mardo van Mook</t>
  </si>
  <si>
    <t>NuLelie Alsema (3109)</t>
  </si>
  <si>
    <t>thv Hendoweg 26, Dokkum</t>
  </si>
  <si>
    <t>0641271976 Henri Niebeek</t>
  </si>
  <si>
    <t>VHS NuRijnland (3110)</t>
  </si>
  <si>
    <t>0638606845 Peter Paul Frans</t>
  </si>
  <si>
    <t>DE/MB NuRijnland (3111)</t>
  </si>
  <si>
    <t>0639079939 Johan Merkus</t>
  </si>
  <si>
    <t>ASP Siers NuMere (3112)</t>
  </si>
  <si>
    <t>0619835254 Robert Kloppenburg</t>
  </si>
  <si>
    <t>ASP VDH NuMeren (3113)</t>
  </si>
  <si>
    <t>0682523719 Rob Zincken</t>
  </si>
  <si>
    <t>Alsema Quatrebra (3114)</t>
  </si>
  <si>
    <t>?</t>
  </si>
  <si>
    <t>De Roede 1, 8801 RC, Franeker</t>
  </si>
  <si>
    <t>ASP 3002, Equans, D&amp;C Stations - Noord</t>
  </si>
  <si>
    <t>Edisonstraat 21, 8013 PS, Zwolle</t>
  </si>
  <si>
    <t>ASP 3001, Heijmans, D&amp;C Stations - West</t>
  </si>
  <si>
    <t>Coenhaverweg 16, 1013 BL, Amsterdam</t>
  </si>
  <si>
    <t>Vervallen gegevens:</t>
  </si>
  <si>
    <t>Datum</t>
  </si>
  <si>
    <t>Schimminck 16, 5301 KR, Zaltbommel</t>
  </si>
  <si>
    <t>Nieuweweg 74, 6603 BR, Wijchen</t>
  </si>
  <si>
    <t>Breguetlaan 25, 1438 BD, Oude Meer</t>
  </si>
  <si>
    <r>
      <t xml:space="preserve">0629951914 </t>
    </r>
    <r>
      <rPr>
        <sz val="10"/>
        <color theme="1"/>
        <rFont val="Tahoma"/>
        <family val="2"/>
      </rPr>
      <t>Ibrahim Erkalem</t>
    </r>
  </si>
  <si>
    <r>
      <t xml:space="preserve">0651870189 </t>
    </r>
    <r>
      <rPr>
        <sz val="11"/>
        <color rgb="FF000000"/>
        <rFont val="Calibri"/>
        <family val="2"/>
        <scheme val="minor"/>
      </rPr>
      <t>Richard van Aerle</t>
    </r>
  </si>
  <si>
    <t>0641586642 Turan Simsek</t>
  </si>
  <si>
    <t>0657016020 Dylan Althoff</t>
  </si>
  <si>
    <t>0638851761 Hans Wedda</t>
  </si>
  <si>
    <t>0682612436 Magazijn Equans Zwolle</t>
  </si>
  <si>
    <t>0610471836 Lucas Bunt</t>
  </si>
  <si>
    <t>0682943160 Carlo Derks</t>
  </si>
  <si>
    <t>0650190085 Coen Doets</t>
  </si>
  <si>
    <t>Aannemer Verkley</t>
  </si>
  <si>
    <t>Maak een keuze</t>
  </si>
  <si>
    <t>&gt;Gaasband 10x350cm v wikkelmof</t>
  </si>
  <si>
    <t>&gt;Spuitnippel v. wikkelmof</t>
  </si>
  <si>
    <t>Kabelbeschermband 250 x 2,5mm Kleur: rood.
Opdruk: "[gevarendriehoek elektriciteit] LET OP HS-KABEL".
Rol van 40 meter</t>
  </si>
  <si>
    <t>Buis PVC 110x 3,2 mm SN8 Rood tromp.
Lengte=6 m. 100% gerecycled materiaal</t>
  </si>
  <si>
    <t>&gt;Zeskantplaatschroef+ring 6,5x25 ds500</t>
  </si>
  <si>
    <t xml:space="preserve">Buis PVC 160x 4,7 mm SN8 Rood tromp.
Lengte=6 m. 100% gerecycled materiaal
</t>
  </si>
  <si>
    <t>Buis PVC 110x 2,35 mm SN8 Rood tromp.
Lengte=6 m. 100% gerecycled materiaal</t>
  </si>
  <si>
    <t>&gt;Kabelbeschermband 250x2,5mm RDHs 3x480m</t>
  </si>
  <si>
    <t>20050762</t>
  </si>
  <si>
    <t>Kabelbeschermband 250 x 2,5 mm Kleur: rood.
Opdruk: "[gevarendriehoek elektriciteit] LET OP HS-KABEL"
Per haspel van 1.500 meter (3 banen naast elkaar van 500 meter).</t>
  </si>
  <si>
    <t>T-stopper 32mm</t>
  </si>
  <si>
    <t>T-stopper 32mm PE. Afsluitorgaan voor PE80 32mm. Ten behoeve van
wegnemen van een gaszadel bij gasafsluiting. Zie N1402</t>
  </si>
  <si>
    <t>Kabellasdoos met klemmenstrook M20/M25</t>
  </si>
  <si>
    <t>Graszaad 1 kg zak BG11 Weidemengsel</t>
  </si>
  <si>
    <t>Graszaad BG11 Weidemengsel zak a 1 kg. 1 kg is geschikt voor 150 m2.</t>
  </si>
  <si>
    <t>Zeskantplaatschroef+ring 6,5x25 ds250</t>
  </si>
  <si>
    <t>Zeskantplaatschroef met onverliesbare ring 6,5x25 doos 250 stuks.</t>
  </si>
  <si>
    <t>/Schakelinst. 10kV ABB CVmC-DA ZOL  90/5</t>
  </si>
  <si>
    <t>/Schakelinstall. 24kV ABB FCCC O</t>
  </si>
  <si>
    <t>/Schakelinstall. 24kV ABB FCVC W4 O</t>
  </si>
  <si>
    <t>/Schakelinstall. 24kV ABB FCVVV 3xW4 O</t>
  </si>
  <si>
    <t>/Schakelinstall. 24kV ABB FCCF A</t>
  </si>
  <si>
    <t>/Schakelinstall. 24kV ABB FCV W4 A</t>
  </si>
  <si>
    <t>/Schakelinstall. 24kV ABB CCCFF A</t>
  </si>
  <si>
    <t>Adres wissel</t>
  </si>
  <si>
    <t>Delfweg 36a, 2211 VM, Noordwijkerhout</t>
  </si>
  <si>
    <t>0610908356 Emre Aydin</t>
  </si>
  <si>
    <t>0641825675 Mouktafi Mohamed</t>
  </si>
  <si>
    <t>Reden</t>
  </si>
  <si>
    <t>Toermalijnstraat 20, 1812 RL, Alkmaar</t>
  </si>
  <si>
    <t xml:space="preserve">Kabelhaspel Brennenstuhl Garant 3x1,5mm2 25m H05RR-F IP44
Type: Garant Haspelhuis vervaardigd uit Breflex kunststof, gemonteerd op
een stabiel schokdempend stalen frame. Voorzien van een ergonomisch
handvat met geïntegreerde kabelgeleider, 3 spatwaterdichte
veiligheidsstopcontacten met zelfsluitende afdekkleppen,
oververhittingsbeveiliging en controlelichten bij oververhitting/
overbelasting.  Toepassing: voor kortstondig gebruik buiten.  Kabeltype:
H05RR-F. (Mantel van EPDM/PP)  Kabellengte: 25 meter.  Aders: 3 x 1,5
mm.
</t>
  </si>
  <si>
    <t>Bedieningsgreep v. schakelkap Magnefix MD4.</t>
  </si>
  <si>
    <t>Inlegklem 16/50MM AL voor een huisaansluitkast.</t>
  </si>
  <si>
    <t>&gt;Ls-rek R8 links  v 8 groepen m 4gr 400A</t>
  </si>
  <si>
    <t>Schutbuis telesc PVC-SV 63 wnd=3 #gA</t>
  </si>
  <si>
    <t>De aansluitset bestaat uit: Zegelkap Schutbuis,
Schutbuis Kort (400-700mm) Fixatie element PE32
Zelftappende plaatschroef CKK Torx T15 DIN798</t>
  </si>
  <si>
    <t>Hoefrasp groot 350x45mm 14"</t>
  </si>
  <si>
    <t>Hoefrasp Nicholson 18057 350x45 mm 14".
Type: Amerikaans
Hoefraspen voorzien van rechthoekige vorm, enkel gekapt aan snijkanten.
Met arend, rasptanden aan 1 zijde, vijltanden aan andere kant.
Lengte: 350 mm (14”).</t>
  </si>
  <si>
    <t>Steekmof voor beschermbuis flex 110 mm,
t.b.v. beschermbuis 20004132.</t>
  </si>
  <si>
    <t>&gt;Bitumenband 100mm #Denso AV-G4</t>
  </si>
  <si>
    <t>Steekmof voor beschermbuis flex 160 mm,
t.b.v. beschermbuis 20004134.</t>
  </si>
  <si>
    <t>Persbek Viega 3/4" 638238 (ALL)
Type: 638238 Persbek Afmeting: 3/4"
Voor persfittingen voor stalen leidingen.
GTIN;  4015211638238 model 42999
Persbek is van staal kleur zwart.</t>
  </si>
  <si>
    <t>Meetset tbv geschermde stekkers       !K</t>
  </si>
  <si>
    <t>Meet- aarding/pennen t.b.v. geschermde stekkers.
Drie meet- aarding/pennen met aardsnoer van 16 mm2.
Deze meet- aarding/pennen zijn t.b.v. beproeven, selecteren en
uitkleuren van kabels vanuit een geschermde eindsluiting.
Wordt geleverd in een koffer inclusief:
- Een tool voor het wegnemen van het cap. beleg
- Aardsnoer
- Drie meetpennen
- Ontluchtingshulpmiddel voor het plaatsen van de isolatie stop
- Één tube vet t.b.v. isolatiestop
- In de koffer is ruimte om drie stuks isolatiestop tijdelijk in te
leggen.
Wordt geleverd met 3x reduceerhuls M16-M12.
Eenmaal afscherming t.b.v. beproevingen ter voorkoming van overslag.</t>
  </si>
  <si>
    <t>Antenne puck 4G, te gebruiken met draadloze 4G routers van Alliander
Telecom.
Ingezet voor FlexOV, iNet, Sassensor en andere ketens.
Voorkeursleverancier     2J-Antennaes
Fabrikant                     2J-Antennaes
Fabriekstype                2J6924B -  GSM puck antenne</t>
  </si>
  <si>
    <t>Multitool afdichtingsverwijderaar L. 29 mm, Starlock ALI 12 SC</t>
  </si>
  <si>
    <t>Kaart "Meterwissel Heijmans" (blok50)</t>
  </si>
  <si>
    <t>Kaart ‘’ Meterwissel niet uitgevoerd Heijmans’’
Omvang : 50 vel per blok
Formaat : 148 x 210 mm
Bedrukking : tweezijdig full colour
Papier : 160 grams bankpost
Afwerking : nasnijden, en per 50 vel lijmen aan de kop (210) op
onderbord</t>
  </si>
  <si>
    <t>20050825</t>
  </si>
  <si>
    <t>Gaslekzoektoestel Hunter NGP          !C</t>
  </si>
  <si>
    <t xml:space="preserve">Gaslektoestel voor het systematisch testen van het gasleidingnet.
Inclusief koffer.
Fabriekstype: Hunter
Type: 251201
Gaslekdetectieset in duurzame koffer ten behoeve van het bovengronds
lekzoeken.
Inhoud:
- Hunter gasdetectie apparaat voor het bovengronds lekzoeken (251201).
- Hunter aluminium koffer inclusief schuiminlage (252040).
- Hunter testgas reduceer en testadapter (331022).
- Heupgordel ten behoeve van Hunter (202052).
- Hydrofoobfilter verpakking 10 stuks (271112).
- Bus testgas 10 ppm, 1 liter, 12 bar (372007).
- Netadapter 230V (202002).
- 12 volt autolader (202003).
Afmeting: 460 x 345 x 195 mm.
Gewicht: circa 7,0 kg.
</t>
  </si>
  <si>
    <t>Standmat rubber 1000x1000x3mm VDE</t>
  </si>
  <si>
    <t>Isolatiemat 1000V VDE 1000 x 1000 x 3 mm</t>
  </si>
  <si>
    <t>Kaart "Meterwissel Energiewacht"(blok50)</t>
  </si>
  <si>
    <t>Kaart ‘’Meterwissel niet uitgevoerd Energiewacht’’
Omvang : 50 vel per blok
Formaat : 148 x 210 mm
Bedrukking : tweezijdig full colour
Papier : 160 grams bankpost
Afwerking : nasnijden, en per 50 vel lijmen aan de kop (210) op
onderbord.</t>
  </si>
  <si>
    <t>Kaart "Meterwissel Kemkens" (blok50)</t>
  </si>
  <si>
    <t>Kaart ‘’Meterwissel niet uitgevoerd Kemkens’’.
Omvang : 50 vel per blok
Formaat : 148 x 210 mm
Bedrukking : tweezijdig full colour
Papier : 160 grams bankpost
Afwerking : nasnijden, en per 50 vel lijmen aan de kop (210) op
onderbord.</t>
  </si>
  <si>
    <t>Kaart "Meterwissel BAM" (blok50)</t>
  </si>
  <si>
    <t>Kaart ‘’Meterwissel niet uitgevoerd BAM’’
Omvang : 50 vel per blok
Formaat : 148 x 210 mm
Bedrukking : tweezijdig full colour
Papier : 160 grams bankpost
Afwerking : nasnijden, en per 50 vel lijmen aan de kop (210) op
onderbord.</t>
  </si>
  <si>
    <t>Reciprozaag #Bosch GSA18V-LiC z Ac/La !K</t>
  </si>
  <si>
    <t xml:space="preserve">Compacte 18V-reciprozaagmachine met weinig trillingen.
Praktisch ontwerp en minder trillingen voor gemakkelijker werken.
Sterke motor maakt een hoge snelheid bij het zagen mogelijk.
Gereedschapsloos Bosch SDS-systeem maakt het wisselen van
zaagbladen snel en gemakkelijk.
</t>
  </si>
  <si>
    <t>20050852</t>
  </si>
  <si>
    <t>ABB CCV SF6 vrij W4
Veldvolgorde C = Cable, V = Vermogensschakelaarveld
WIC W4 CT alleen voor toepassing in reguliere MSR</t>
  </si>
  <si>
    <t>Kabelbreukbeveiliging GH saneringsset</t>
  </si>
  <si>
    <t>Magneetbord Werkverkeer</t>
  </si>
  <si>
    <t>Magneetbord Werkverkeer
Reflectieklasse I, verhouding breedte:hoogte = 5:1,
lettertype ANWB-Ee met verzwaarde stokdikte,
zwart op gele achtergrond.</t>
  </si>
  <si>
    <t>0615837441 Ruud Zwanenburg</t>
  </si>
  <si>
    <t>0642320900 Niels Baij</t>
  </si>
  <si>
    <t>0614890062 Neil Chow</t>
  </si>
  <si>
    <t>0657707962 Tonnie Bonder</t>
  </si>
  <si>
    <t>0623508482 Gertjan Schuiling</t>
  </si>
  <si>
    <t>0657718547 Richard van Gulick</t>
  </si>
  <si>
    <t>Hanab NuGelre</t>
  </si>
  <si>
    <t>Van Vosk NuGelre</t>
  </si>
  <si>
    <t>VDH NuGelre</t>
  </si>
  <si>
    <t>Hanab Helix NHN</t>
  </si>
  <si>
    <t>A.Hak Helix NHN</t>
  </si>
  <si>
    <t>V Gel Helix NHN</t>
  </si>
  <si>
    <t>HVP NuLelie</t>
  </si>
  <si>
    <t>V Gel NuLelie</t>
  </si>
  <si>
    <t>Van Baarsen GV</t>
  </si>
  <si>
    <t>Rijnlanderweg 966, 2132 MP, Hoofddorp</t>
  </si>
  <si>
    <t>Marssestraat 3, 7025 DX, Halle</t>
  </si>
  <si>
    <t>Schervenweg 12a, 1771 RS, Wieringerwerf</t>
  </si>
  <si>
    <t>Espelerweg 52, 8311 PP, Espel</t>
  </si>
  <si>
    <t>Wirdmarsumerweg 5, 8701 ME, Bolsward</t>
  </si>
  <si>
    <t>Noordermiedweg 4, 9074 LM, Hallum</t>
  </si>
  <si>
    <t>Hanab NuRijnland</t>
  </si>
  <si>
    <t>Onbekend</t>
  </si>
  <si>
    <t>Fort Blauwkapel 20, 1358 DB, Almere</t>
  </si>
  <si>
    <t>Oude Commissieweg 41, 9257 MC, Noardburgum</t>
  </si>
  <si>
    <t>ASP Perceel #1 Pol</t>
  </si>
  <si>
    <t>Laan van Zodiak 150, 7342 BC, Apeldoorn</t>
  </si>
  <si>
    <t>Ron heeft Mark Meilink per e-mail gevraagd welke oranje contractpersonen nog actueel zijn?</t>
  </si>
  <si>
    <t>N.v.t.</t>
  </si>
  <si>
    <t>Update verzoek van Dennis Scheer aan Mark Meilink</t>
  </si>
  <si>
    <t>&lt;14-07-2025</t>
  </si>
  <si>
    <t>JR Infra</t>
  </si>
  <si>
    <t>Molensteijn 23, 3454 PT, De Meern</t>
  </si>
  <si>
    <t>Sluiswachter 18, 3861 SN, Nijkerk</t>
  </si>
  <si>
    <t>Snoeischaar Felco 2 215mm cap=25mm</t>
  </si>
  <si>
    <t>Snoeischaar Felco 2 215 mm capaciteit = 25 mm met extra bovenmes</t>
  </si>
  <si>
    <t>J48 Rp2 RECHT 22,5 - 35mbarINDUSTR. GAS</t>
  </si>
  <si>
    <t>Betonboor 20,0x210mm 2-snijder #SDS+</t>
  </si>
  <si>
    <t>&gt;Ls-rek R8 rechts v 8 groepen m 4gr 400A</t>
  </si>
  <si>
    <t>&gt;Ls-rek R12 links v 12 groep m 4 gr 400A</t>
  </si>
  <si>
    <t>Momentsleutel ½” 40-200NM.
1/2" paddenstoelkop-omschakelvierkant met kogelvergrendeling.
Robuuste, mat gepoedercoate stalen buisconstructie,
met verzinkte ratel en hoogwaardige kunststof onderdelen,
Dubbele schaal Nm / lbf·ft met nonius (Nm).
Nauwkeurig ontgrendelingsmechanisme genereert een duidelijk
voelbaar en hoorbaar triggersignaal bij het bereiken van het ingestelde
koppel.</t>
  </si>
  <si>
    <t>Aardkabel geïsoleerd 50mm2 l=480mm</t>
  </si>
  <si>
    <t>&gt;Afdichtringdop aftapkraan trafo 25x35x3</t>
  </si>
  <si>
    <t>&gt;Afdichtringdop aftapkraan trafo 34x45x3</t>
  </si>
  <si>
    <t>+Spanningstester 4-690Volt LSP 4L     !K</t>
  </si>
  <si>
    <t>Dopsleutel VDE 17mm – 6-kant T-greep</t>
  </si>
  <si>
    <t>Dopsleutel T-model 17mm geisoleerd (hol); Dopsleutel T-model 6 kant
17mm. Deze dient hol te zijn voor uitstekende tapeinde. Lengte 200mm.
Volgens norm NEN-EN-IEC 60900, (dompelisolatie) (VDE).
Voorzien van dompelisolatie. Handgreep dient volledig gesloten te zijn.
Voor werkzaamheden aan spanningvoerende delen tot 1.000 V AC en 1500V
DC.</t>
  </si>
  <si>
    <t>Dopsleutel VDE 13mm – 6-kant T-greep</t>
  </si>
  <si>
    <t>Dopsleutel T-model 13mm geïsoleerd (hol); Dopsleutel T-model 6 kant
13mm. Deze dient hol te zijn voor uitstekende tapeinde. Lengte 200mm.
Volgens norm NEN-EN-IEC 60900, (dompelisolatie) (VDE).
Voorzien van dompelisolatie. Handgreep dient volledig gesloten te zijn.
Voor werkzaamheden aan spanningvoerende delen tot 1.000 V AC en 1500V
DC.</t>
  </si>
  <si>
    <t>Warmte krimp eindsluiting (set van 3) binnenopstelling
voor XLPE 15kV 3x1x16 mm2 Cu en 20kV 3x1x25 mm2 Cu.
Inclusief 3 schroefkabelschoenen met gat 13mm
en 3 met gat 10 ,5mm voor het aardscherm.</t>
  </si>
  <si>
    <t>&gt;Router 4G FlexOV</t>
  </si>
  <si>
    <t>Schroevendraaier inbus 2,5mm L=186 VDE</t>
  </si>
  <si>
    <t>T-stopper 28mm en 1". Afsluitorgaan voor koper 28 mm en staal 1". Ten
behoeve van wegnemen hoofdkraan in de hoogbouw bij gasafsluiting.</t>
  </si>
  <si>
    <t>T-stopper 28mm en 1". Afsluitorgaan voor koper 28 mm en staal 1". Ten
behoeve van wegnemen hoofdkraan in de hoogbouw bij gasafsluiting.
Speciaal met afstandhouder voor afsluiten in aftakking T-stuk.</t>
  </si>
  <si>
    <t>Zaagblad v multitool zachte materialen</t>
  </si>
  <si>
    <t>Zaagblad voor multitool voor het snijden van zachte materialen.</t>
  </si>
  <si>
    <t>Acculader Makita 9,6-18V              !K</t>
  </si>
  <si>
    <t>Accuhouder #Bosch #Makita #Viega</t>
  </si>
  <si>
    <t>Deze accuhouder is voor de Bosch, Makita en Viega schuifaccu’s.</t>
  </si>
  <si>
    <t>Stoppelzadel staal FS 108mm 4”</t>
  </si>
  <si>
    <t>Stoppelzadel staal FS 114,5mm 4”</t>
  </si>
  <si>
    <t>Stoppelzadel staal FS 159mm 6”</t>
  </si>
  <si>
    <t>Stoppelzadel staal FS 168,3mm 6”</t>
  </si>
  <si>
    <t>Luchtspray (dust remover) (0,25 liter)</t>
  </si>
  <si>
    <t>Reiniger Motip 090408 250 ml dust remover</t>
  </si>
  <si>
    <t xml:space="preserve">AKO (Aansluit-Kast-Onbemand) OVL compact voor openbare verlichting.
Uitgevoerd met 1 x 6 A. Voor alleen nachtverlichting NV.
Buispatronen 6A wordt meegeleverd bij het product"
</t>
  </si>
  <si>
    <t>HA Blaas IPCO TBA Alu Frans ventiel.</t>
  </si>
  <si>
    <t>Spoelstuk IPCO TBA verlenging 68mm adapt 1,1/4x1inch</t>
  </si>
  <si>
    <t>Pomp IPCO kunststof t.b.v. TBA</t>
  </si>
  <si>
    <t>Boorspil IPCO Safe 16x450mm 3/8" &lt;(&gt;&amp;&lt;)&gt; M10.</t>
  </si>
  <si>
    <t>Schroevendraaier inbus 3mm L=186 VDE</t>
  </si>
  <si>
    <t>Inbusschroevendraaier zeskant 3 mm, lengte ca. 186 mm in
schroevendraaier-model. Volgens norm NEN-EN-IEC 60900,
(dompelisolatie) (VDE). Ergonomische handgreep voorzien van
zachte maar stevige grip en dient volledig gesloten te zijn.
Voor werkzaamheden aan spanningvoerende delen
tot 1.000 V AC en 1500 V DC.
Toepassing: Voor binnenzeskantschroeven  (WIHA)</t>
  </si>
  <si>
    <t>Bit inbus 3mm VDE</t>
  </si>
  <si>
    <t>Inbusbit Wiha sw 3,0x75 mm slimvario VDE Bit met inbuskop 3 mm voor
momentschroevendraaier VDE.</t>
  </si>
  <si>
    <t>Steunbus met keg  63mm SDR17</t>
  </si>
  <si>
    <t>Steunbus met keg 63 mm SDR17, ondersteuningsbus type keg van AVK
vervaardigd uit roestvast staal AISI 304, gebeitst en gepassiveerd.</t>
  </si>
  <si>
    <t>Stoppelzadel St vent fitting 2"</t>
  </si>
  <si>
    <t>Stalen vent fitting 2"</t>
  </si>
  <si>
    <t>Stoppelzadel FS PE 200mm el-las</t>
  </si>
  <si>
    <t>FS PE Lasfitting DN200</t>
  </si>
  <si>
    <t>Stoppelzadel staal FS 273,0 mm 10"</t>
  </si>
  <si>
    <t>Stoppelzadel staal FS 273 mm 10"</t>
  </si>
  <si>
    <t>Drukregelaar gaspatroon</t>
  </si>
  <si>
    <t>Drukregelaar (reduceerventiel) voor de gaspatronen.</t>
  </si>
  <si>
    <t>Persbek 28 mm voor Ridgid RP340b en Viega 4b en 5b.</t>
  </si>
  <si>
    <t>Hamerboor(betonboor) 6x165mm 4 snijder SDS plus.</t>
  </si>
  <si>
    <t>Hamerboor(betonboor) 8x165mm 4 snijder.</t>
  </si>
  <si>
    <t>Sticker “20 kV” 24x20cm</t>
  </si>
  <si>
    <t>Sticker, hoge spanning “20 kV” 24 x 20 cm</t>
  </si>
  <si>
    <t>Hevelhendel # Gräper greep kort MKP 630D</t>
  </si>
  <si>
    <t>Gräper MKP 630D hevel hendel greep korte staaf</t>
  </si>
  <si>
    <t>Stoppelzadel staal FS 219,1 mm 8"</t>
  </si>
  <si>
    <t>Stoppelzadel FS PE 200mm vent fitting</t>
  </si>
  <si>
    <t>Stoppelzadel FS PE 200 mm vent fitting</t>
  </si>
  <si>
    <t>Haak tbv gaspatroon</t>
  </si>
  <si>
    <t>Ophanghaak voor de gaspatronen.</t>
  </si>
  <si>
    <t>Gaspatroon propaanmix 750ml</t>
  </si>
  <si>
    <t>Gaspatroon 750 ml Sievert 220885</t>
  </si>
  <si>
    <t>Hamerboor(betonboor) 10x165mm 4 snijder.</t>
  </si>
  <si>
    <t>Sticker -SPANNING LEVENSGEVAARLIJK-klein</t>
  </si>
  <si>
    <t xml:space="preserve">Sticker met tekst SPANNING LEVENSGEVAARLIJK.
Formaat 150 x 125 mm (hoogte x breedte)
</t>
  </si>
  <si>
    <t>Aardkabel geïsoleerd 95mm2 l=480mm</t>
  </si>
  <si>
    <t>Aardkabel geïsoleerd 95 mm2 lng = 480 mm voorzien van
kabelschoenen M12 t.b.v. aarde-nul verbinding 1000 kVA
distributietransformatoren.</t>
  </si>
  <si>
    <t>Steunbus met keg 200mm SDR17</t>
  </si>
  <si>
    <t>Steunbus met keg 200 mm SDR17, ondersteuningsbus type keg van AVK
vervaardigd uit roestvast staal AISI 304, gebeitst en gepassiveerd.</t>
  </si>
  <si>
    <t>+Hangslot 35mm messing + 2stls 01</t>
  </si>
  <si>
    <t>Hangslot (veiligheids-/blokkeerslot) 01</t>
  </si>
  <si>
    <t>+Hangslot 35mm messing + 2stls 02</t>
  </si>
  <si>
    <t>Hangslot (veiligheids-/blokkeerslot) 02</t>
  </si>
  <si>
    <t>+Hangslot 35mm messing + 2stls 03</t>
  </si>
  <si>
    <t>Hangslot (veiligheids-/blokkeerslot) 03</t>
  </si>
  <si>
    <t>+Hangslot 35mm messing + 2stls 04</t>
  </si>
  <si>
    <t>Hangslot (veiligheids-/blokkeerslot) 04</t>
  </si>
  <si>
    <t>+Hangslot 35mm messing + 2stls 05</t>
  </si>
  <si>
    <t>Hangslot (veiligheids-/blokkeerslot) 05</t>
  </si>
  <si>
    <t>+Hangslot 35mm messing + 2stls 06</t>
  </si>
  <si>
    <t>Hangslot (veiligheids-/blokkeerslot) 06</t>
  </si>
  <si>
    <t>+Hangslot 35mm messing + 2stls 07</t>
  </si>
  <si>
    <t>Hangslot (veiligheids-/blokkeerslot) 07</t>
  </si>
  <si>
    <t>+Hangslot 35mm messing + 2stls 08</t>
  </si>
  <si>
    <t>Hangslot (veiligheids-/blokkeerslot) 08</t>
  </si>
  <si>
    <t>+Hangslot 35mm messing + 2stls 09</t>
  </si>
  <si>
    <t>Hangslot (veiligheids-/blokkeerslot) 09</t>
  </si>
  <si>
    <t>+Hangslot 35mm messing + 2stls 10</t>
  </si>
  <si>
    <t>Hangslot (veiligheids-/blokkeerslot) 10</t>
  </si>
  <si>
    <t>+Hangslot 35mm messing + 2stls 11</t>
  </si>
  <si>
    <t>Hangslot (veiligheids-/blokkeerslot) 11</t>
  </si>
  <si>
    <t>+Hangslot 35mm messing + 2stls 12</t>
  </si>
  <si>
    <t>Hangslot (veiligheids-/blokkeerslot) 12</t>
  </si>
  <si>
    <t>+Hangslot 35mm messing + 2stls 13</t>
  </si>
  <si>
    <t>Hangslot (veiligheids-/blokkeerslot) 13</t>
  </si>
  <si>
    <t>+Hangslot 35mm messing + 2stls 14</t>
  </si>
  <si>
    <t>Hangslot (veiligheids-/blokkeerslot) 14</t>
  </si>
  <si>
    <t>+Hangslot 35mm messing + 2stls 15</t>
  </si>
  <si>
    <t>Hangslot (veiligheids-/blokkeerslot) 15</t>
  </si>
  <si>
    <t>+Hangslot 35mm messing + 2stls 16</t>
  </si>
  <si>
    <t>Hangslot (veiligheids-/blokkeerslot) 16</t>
  </si>
  <si>
    <t>+Hangslot 35mm messing + 2stls 17</t>
  </si>
  <si>
    <t>Hangslot (veiligheids-/blokkeerslot) 17</t>
  </si>
  <si>
    <t>+Hangslot 35mm messing + 2stls 18</t>
  </si>
  <si>
    <t>Hangslot (veiligheids-/blokkeerslot) 18</t>
  </si>
  <si>
    <t>+Hangslot 35mm messing + 2stls 19</t>
  </si>
  <si>
    <t>Hangslot (veiligheids-/blokkeerslot) 19</t>
  </si>
  <si>
    <t>+Hangslot 35mm messing + 2stls 20</t>
  </si>
  <si>
    <t>Hangslot (veiligheids-/blokkeerslot) 20</t>
  </si>
  <si>
    <t>+Hangslot 35mm messing + 2stls 21</t>
  </si>
  <si>
    <t>Hangslot (veiligheids-/blokkeerslot) 21</t>
  </si>
  <si>
    <t>+Hangslot 35mm messing + 2stls 22</t>
  </si>
  <si>
    <t>Hangslot (veiligheids-/blokkeerslot) 22</t>
  </si>
  <si>
    <t>+Hangslot 35mm messing + 2stls 23</t>
  </si>
  <si>
    <t>Hangslot (veiligheids-/blokkeerslot) 23</t>
  </si>
  <si>
    <t>+Hangslot 35mm messing + 2stls 24</t>
  </si>
  <si>
    <t>Hangslot (veiligheids-/blokkeerslot) 24</t>
  </si>
  <si>
    <t>+Hangslot 35mm messing + 2stls 25</t>
  </si>
  <si>
    <t>Hangslot (veiligheids-/blokkeerslot) 25</t>
  </si>
  <si>
    <t>+Hangslot 35mm messing + 2stls 26</t>
  </si>
  <si>
    <t>Hangslot (veiligheids-/blokkeerslot) 26</t>
  </si>
  <si>
    <t>+Hangslot 35mm messing + 2stls 27</t>
  </si>
  <si>
    <t>Hangslot (veiligheids-/blokkeerslot) 27</t>
  </si>
  <si>
    <t>+Hangslot 35mm messing + 2stls 28</t>
  </si>
  <si>
    <t>Hangslot (veiligheids-/blokkeerslot) 28</t>
  </si>
  <si>
    <t>+Hangslot 35mm messing + 2stls 29</t>
  </si>
  <si>
    <t>Hangslot (veiligheids-/blokkeerslot) 29</t>
  </si>
  <si>
    <t>+Hangslot 35mm messing + 2stls 30</t>
  </si>
  <si>
    <t>Hangslot (veiligheids-/blokkeerslot) 30</t>
  </si>
  <si>
    <t>+Hangslot 35mm messing + 2stls 31</t>
  </si>
  <si>
    <t>Hangslot (veiligheids-/blokkeerslot) 31</t>
  </si>
  <si>
    <t>+Hangslot 35mm messing + 2stls 32</t>
  </si>
  <si>
    <t>Hangslot (veiligheids-/blokkeerslot) 32</t>
  </si>
  <si>
    <t>+Hangslot 35mm messing + 2stls 33</t>
  </si>
  <si>
    <t>Hangslot (veiligheids-/blokkeerslot) 33</t>
  </si>
  <si>
    <t>+Hangslot 35mm messing + 2stls 34</t>
  </si>
  <si>
    <t>Hangslot (veiligheids-/blokkeerslot) 34</t>
  </si>
  <si>
    <t>+Hangslot 35mm messing + 2stls 35</t>
  </si>
  <si>
    <t>Hangslot (veiligheids-/blokkeerslot) 35</t>
  </si>
  <si>
    <t>+Hangslot 35mm messing + 2stls 36</t>
  </si>
  <si>
    <t>Hangslot (veiligheids-/blokkeerslot) 36</t>
  </si>
  <si>
    <t>+Hangslot 35mm messing + 2stls 37</t>
  </si>
  <si>
    <t>Hangslot (veiligheids-/blokkeerslot) 37</t>
  </si>
  <si>
    <t>+Hangslot 35mm messing + 2stls 38</t>
  </si>
  <si>
    <t>Hangslot (veiligheids-/blokkeerslot) 38</t>
  </si>
  <si>
    <t>+Hangslot 35mm messing + 2stls 39</t>
  </si>
  <si>
    <t>Hangslot (veiligheids-/blokkeerslot) 39</t>
  </si>
  <si>
    <t>+Hangslot 35mm messing + 2stls 40</t>
  </si>
  <si>
    <t>Hangslot (veiligheids-/blokkeerslot) 40</t>
  </si>
  <si>
    <t>+Hangslot 35mm messing + 2stls 41</t>
  </si>
  <si>
    <t>Hangslot (veiligheids-/blokkeerslot) 41</t>
  </si>
  <si>
    <t>+Hangslot 35mm messing + 2stls 42</t>
  </si>
  <si>
    <t>Hangslot (veiligheids-/blokkeerslot) 42</t>
  </si>
  <si>
    <t>+Hangslot 35mm messing + 2stls 43</t>
  </si>
  <si>
    <t>Hangslot (veiligheids-/blokkeerslot) 43</t>
  </si>
  <si>
    <t>+Hangslot 35mm messing + 2stls 44</t>
  </si>
  <si>
    <t>Hangslot (veiligheids-/blokkeerslot) 44</t>
  </si>
  <si>
    <t>+Hangslot 35mm messing + 2stls 45</t>
  </si>
  <si>
    <t>Hangslot (veiligheids-/blokkeerslot) 45</t>
  </si>
  <si>
    <t>+Hangslot 35mm messing + 2stls 46</t>
  </si>
  <si>
    <t>Hangslot (veiligheids-/blokkeerslot) 46</t>
  </si>
  <si>
    <t>+Hangslot 35mm messing + 2stls 47</t>
  </si>
  <si>
    <t>Hangslot (veiligheids-/blokkeerslot) 47</t>
  </si>
  <si>
    <t>+Hangslot 35mm messing + 2stls 48</t>
  </si>
  <si>
    <t>Hangslot (veiligheids-/blokkeerslot) 48</t>
  </si>
  <si>
    <t>+Hangslot 35mm messing + 2stls 49</t>
  </si>
  <si>
    <t>Hangslot (veiligheids-/blokkeerslot) 49</t>
  </si>
  <si>
    <t>+Hangslot 35mm messing + 2stls 50</t>
  </si>
  <si>
    <t>Hangslot (veiligheids-/blokkeerslot) 50</t>
  </si>
  <si>
    <t>Dopsleutel VDE 3/8" - 6-kant  8mm</t>
  </si>
  <si>
    <t>Dopsleutel VDE 3/8" 6-kant 8 mm</t>
  </si>
  <si>
    <t>Stoppelzadel St vent fitting 3"</t>
  </si>
  <si>
    <t>Stalen vent fitting 3"</t>
  </si>
  <si>
    <t>Steunbus met keg  75mm SDR17</t>
  </si>
  <si>
    <t>Steunbus met keg 75 mm SDR17, ondersteuningsbus type keg van AVK
vervaardigd uit roestvast staal AISI 304, gebeitst en gepassiveerd.</t>
  </si>
  <si>
    <t>Steunbus met keg 110mm SDR17</t>
  </si>
  <si>
    <t>Steunbus met keg 110 mm SDR17, ondersteuningsbus type keg van AVK \
vervaardigd uit roestvast staal AISI 304, gebeitst en gepassiveerd.</t>
  </si>
  <si>
    <t>Steunbus met keg 160mm SDR17</t>
  </si>
  <si>
    <t>Steunbus met keg 160 mm SDR17, ondersteuningsbus type keg van AVK
vervaardigd uit roestvast staal AISI 304, gebeitst en gepassiveerd.</t>
  </si>
  <si>
    <t>20050955</t>
  </si>
  <si>
    <t>Fabrikant: Westermo
Type: LTE Merlin-3103-T2G-QFR-DCi0936
(router inclusief powerconnector, gemonteerde beugel en simkaart (zit in
de router))
-----------------------------------------------------------
Laat de leverancier bij de levering van de order ook ons 20050955 nummer
vermelden en het 42- &lt;(&gt;&amp;&lt;)&gt; 45- ordernummer.
Wijzigingen in
- Leverdatum / aantal doorgeven per mail aan
Logistiek.Servicedesk@Liander.nl
- Fabrikanten / typecodes / leveranciers-artikelnummer / structurele
levertijden per mail aan Bestandsbeheer
Logistiek.Beheer@Liander.nl</t>
  </si>
  <si>
    <t>Mof met schroefverbinders geschikt voor 10kV GPLK 3-lood kabels
3x(1x95Cu), 3x(1x150Al) en 3x(1x240Al) op 20kV XLPE 3x1x240Al
(Raychem MXSU-24C/1XU-3HL- NL01  ET4494-000)</t>
  </si>
  <si>
    <t xml:space="preserve">Mof met schroefverbinder geschikt voor 10kV GPLK 1x185Al/Cu
op 20kV XLPE1x240Al (MXSU-24C/1XU-1HL-NL01 ET4493-000)
</t>
  </si>
  <si>
    <t>Mof met schroefverbinders geschikt voor 10kV GPLK 3x400Al op 20kV XLPE
3x1x630Al (Raychem SMOE- 64342 - CZ6883-000)</t>
  </si>
  <si>
    <t>Mof geschikt voor 10kV XLPE 1x500Al/Cu op 20kV XLPE 1x630Al
(Raychem MXSU-3161-T7-NL01 ET4492-000)</t>
  </si>
  <si>
    <t>/KSV 450A rode plastic houder  (GSM ksv)</t>
  </si>
  <si>
    <t>/Schakelinstall. 24kV ABB FCVVV 3xW4 A</t>
  </si>
  <si>
    <t>&gt;Lekzoekpasta (bus=1kg) #Gaspruf</t>
  </si>
  <si>
    <t>Gaasband 10x350cm voor wikkelmof</t>
  </si>
  <si>
    <t>Dopsleutel VDE 19mm – 6-kant T-greep</t>
  </si>
  <si>
    <t>Dopsleutel T-model 19mm geïsoleerd (hol); Dopsleutel T-model 6 kant
19mm. Deze dient hol te zijn voor uitstekende tapeinde. Lengte 200mm.
Volgens norm NEN-EN-IEC 60900, (dompelisolatie) (VDE).
Voorzien van dompelisolatie. Handgreep dient volledig gesloten te zijn.
Voor werkzaamheden aan spanningvoerende delen tot 1.000 V AC en 1500V
DC.</t>
  </si>
  <si>
    <t>Mof XLPE 10-20kV 3x240/20kV 3x1x400-630</t>
  </si>
  <si>
    <t>Hybride mof
Geschikt voor 10-20kV XLPE 3x240 mm2 Al op 10-20kV XLPE 3x1x400-630 mm2
Al.
Inclusief schroefverbinders.</t>
  </si>
  <si>
    <t>Momentsleutel ½” 40-200NM. 1/2" paddenstoelkop-omschakelvierkant
met kogelvergrendeling.
Robuuste, mat gepoedercoate stalen buisconstructie, met verzinkte ratel
en hoogwaardige kunststof onderdelen.
Dubbele schaal Nm / lbf·ft met nonius (Nm).
Het precieze ontgrendelingsmechanisme genereert een duidelijk voelbaar
en hoorbaar ontgrendelingssignaal wanneer de ingestelde koppelwaarde
is bereikt.</t>
  </si>
  <si>
    <t>Kabelbeschrmband 250x2,5mm RD Hs 3x500m</t>
  </si>
  <si>
    <t>Soknippel 50mm voor 2"    x2    "v MADAS</t>
  </si>
  <si>
    <t>Betonboor  6,0x165mm 4-snijder #SDS+</t>
  </si>
  <si>
    <t>Aansluitstekker voor Aansluit-Kast-(On)bemand.
Kabel: 4 x 10 mm2 / L= 3 meter.</t>
  </si>
  <si>
    <t>20050886</t>
  </si>
  <si>
    <t>ABB CFVC-DA SF6 vrij (Air).
Veldvolgorde C=Cable, F=Fuse, V=Vermogensschakelaarveld,
Transformatorveld=beveiliging met patronen.
WIC W4 toepassing i-MSR .</t>
  </si>
  <si>
    <t>ABB VVVV-DA DR SF6 vrij (Air).
Veldvolgorde V=vermogensschakelaarveld.
WIC W4 toepassing DR-ruimte.</t>
  </si>
  <si>
    <t>Aansluitstekker voor Aansluit-Kast-(On)bemand.
Kabel: 4 x 10 mm2 / L= 9 meter.</t>
  </si>
  <si>
    <t>Aansluitstekker voor Aansluit-Kast-(On)bemand.
Kabel: 4 x 10 mm2 / L= 12 meter.</t>
  </si>
  <si>
    <t>Aansluitstekker voor Aansluit-Kast-(On)bemand.
Kabel: 4 x 10 mm2 / L= 15 meter.</t>
  </si>
  <si>
    <t xml:space="preserve">Aansluitstekker voor Aansluit-Kast-(On)bemand.
Kabel: 4 x 10 mm2 / L= 18 meter.
</t>
  </si>
  <si>
    <t>Aansluitstekker voor Aansluit-Kast-(On)bemand.
Kabel: 4 x 10 mm2 / L= 6 meter.</t>
  </si>
  <si>
    <t>20050957</t>
  </si>
  <si>
    <t>ABB CFVC SF6 vrij.
Veldvolgorde C=Cable, V=Vermogensschakelaarveld, F=Fuse,
Transformatorveld=beveiliging met patronen.
WIC W4 toepassing reguliere MSR.</t>
  </si>
  <si>
    <t>20050958</t>
  </si>
  <si>
    <t>ABB VCVV-DA DR SF6 vrij (Air).
Veldvolgorde V=vermogensschakelaarveld, C=Cable.
WIC W4 toepassing DR-ruimte.</t>
  </si>
  <si>
    <t>20050959</t>
  </si>
  <si>
    <t>ABB CCCF-DA SF6 vrij (Air).
Veldvolgorde C=Cable, F=Fuse,
Transformatorveld=beveiliging met patronen.
Toepassing i-MSR.</t>
  </si>
  <si>
    <t>20050960</t>
  </si>
  <si>
    <t>ABB CCCF SF6 vrij (Air).
Veldvolgorde C=Cable, F=Fuse,
Transformatorveld=beveiliging met patronen.
Toepassing reguliere MSR.</t>
  </si>
  <si>
    <t>20050961</t>
  </si>
  <si>
    <t>ABB CFVV SF6 vrij (Air).
Veldvolgorde C=Cable, F=Fuse, V=vermogensschakelaarveld,
Transformatorveld=beveiliging met patronen.
WIC W4 toepassing reguliere MSR.</t>
  </si>
  <si>
    <t>20050962</t>
  </si>
  <si>
    <t>+Schakelinst. 24kV ABB CCV W2 SF6-vrij</t>
  </si>
  <si>
    <t>ABB CCV W2 SF6 vrij (Air).
Veldvolgorde C=Cable, V=vermogensschakelaarveld.
WIC W2 toepassing inkoopruimte AC5a+b.</t>
  </si>
  <si>
    <t>20050964</t>
  </si>
  <si>
    <t>ABB CFV SF6 vrij (Air).
Veldvolgorde C=Cable, F=Fuse, V=vermogensschakelaarveld,
Transformatorveld=beveiliging met patronen.
WIC W4 toepassing reguliere MSR.</t>
  </si>
  <si>
    <t>20050965</t>
  </si>
  <si>
    <t>ABB CFV-DA SF6 vrij (Air).
Veldvolgorde C=Cable, F=Fuse V=vermogensschakelaarveld,
Transformatorveld=beveiliging met patronen.
WIC W4 toepassing i-MSR.</t>
  </si>
  <si>
    <t>/Aftakklem geisoleerd 16-150mm2 / 2,5-50</t>
  </si>
  <si>
    <t>Voorraad 18-12-2024 afgeboekt bij Heijmans</t>
  </si>
  <si>
    <t>Phaesmaweg 13, 9291 NB, Kollum</t>
  </si>
  <si>
    <t>Alsema Kollum</t>
  </si>
  <si>
    <t>Verlengstuk Gedore 1990-5 1/2"x125mm</t>
  </si>
  <si>
    <t>Kabelhaspel 25m 3xWCD+aarde spatwaterd!K</t>
  </si>
  <si>
    <t>Zeepautomaat, S1-systeem.
Kleur wit,
Type Tork S-box Fabr.Tork.
Toepassing zeep:
Zie Alliander artikelnummers 20035762 en 20010019.</t>
  </si>
  <si>
    <t>&gt;Groepenkast met 4 maal een Pasco</t>
  </si>
  <si>
    <t>&gt;Blaas  13mm tbv 20034263</t>
  </si>
  <si>
    <t>&gt;Blaas  16mm tbv 20034263</t>
  </si>
  <si>
    <t>&gt;Blaas   9mm tbv 20034263</t>
  </si>
  <si>
    <t>Huisaansluitkast van 1x40A zonder stekkertechniek, uitgevoerd met vaste
kabelverbinding voor laagbouw. De automaat betreft een C karakteristiek.</t>
  </si>
  <si>
    <t xml:space="preserve">Huisaansluitkast van 3x25A zonder stekkertechniek, uitgevoerd met vaste
kabelverbinding voor laagbouw. De automaat betreft een C karakteristiek.
</t>
  </si>
  <si>
    <t>Huisaansluitkast van 3x80A zonder stekkertechniek,
uitgevoerd met vaste kabelverbinding voor laagbouw.
De automaat betreft een C karakteristiek.</t>
  </si>
  <si>
    <t>Huisaansluitkast van 1x40A zonder stekkertechniek,
uitgevoerd met vaste kabelverbinding voor hoogbouw.
 De automaat betreft een C karakteristiek.</t>
  </si>
  <si>
    <t>Huisaansluitkast van 3x25A zonder stekkertechniek, uitgevoerd met vaste
kabelverbinding voor hoogbouw. De automaat betreft een C karakteristiek.</t>
  </si>
  <si>
    <t>BO stop IPCO 1"XS met flex greep t.b.v. het artikel Aanboortoestel
gasmeter opstelling 22/28 mm CU (20041286).</t>
  </si>
  <si>
    <t>&gt;Vloerframe voor 3-velds Xiria</t>
  </si>
  <si>
    <t>Kortsluitring 150                     !K</t>
  </si>
  <si>
    <t xml:space="preserve">Kortsluitring 150 (KSR); Met de kortsluitring kan men, indien nodig, de
aders kortsluiten, dit om terugvoeding te voorkomen.
Technische gegevens; de kortsluitring heeft een bereik van Cu/Alu
sectorvormig 35-70mm2; Alu rond/sectorvormig 25-150mm2
sectorvormig samengeslagen 25-150mm2. 5kA-0,2sec.
Maatvoering 120mmx120mm41mm.
</t>
  </si>
  <si>
    <t>Huisaansluitkast van 3x40A zonder stekkertechniek, uitgevoerd met vaste
kabelverbinding voor laagbouw. De automaat betreft een C karakteristiek.</t>
  </si>
  <si>
    <t>Huisaansluitkast van 3x80A zonder stekkertechniek,
uitgevoerd met vaste kabelverbinding voor laagbouw.
Met mespatroonhouders voor 80A aansluiting.
Mespatronen niet meegeleverd.</t>
  </si>
  <si>
    <t>&gt;Afwasmiddel 500ml (Felicia)</t>
  </si>
  <si>
    <t>Buis PE100 RC or/zw 110x10 SDR11 rol100</t>
  </si>
  <si>
    <t>Kabelbeschermband 250x2,5mm RD Hs 3x500m</t>
  </si>
  <si>
    <t>Cilinder europr 1.8.5 EZ 90/10</t>
  </si>
  <si>
    <t>Cilinder europr 1.8.5. EZ 90/10.
Enkele profielcilinder type S8461 A10. Zonder monosleutels.</t>
  </si>
  <si>
    <t>+Module v binaire interface #BIM641</t>
  </si>
  <si>
    <t>Locamation type codering: 7041.0641.0301
Binaire Interface Module BIM 641;
10 digitale ingangen (38..275 V DC) en 8 relaisuitgangen (max.
schakelspanning 300 V DC of AC)
2 redundant uitgevoerde glasfiber koppelingen met elk 1 * Rx + 1 * Tx
Specificaties moeten voldoen aan BS6850 Versie 1.5. dd. 01.02.2010.
Kaarten BIM 641 worden als losse componenten geleverd
Max. energieverbruik 13,4 W</t>
  </si>
  <si>
    <t>+Module Centrale Control Unit (CCU) #603</t>
  </si>
  <si>
    <t>Locomation type codering: 7337.0060.0002
Centrale Control Unit serie 603 geïntegreerd in 19” rack;
Geïntegreerd in Rittal Staande Vloerbehuizing Type TS8 805.500
Afmetingen behuizing H*W*D:  2000*800*600
CCU omvat: single Board computer; 1 Gbyte Flashdisk; Operating system
Artos;
Geimplementeerde/geteste hardware conform B6850 Versie 1.5. dd.
01.02.2010
Geimplementeerde/geteste software per projecct nader te specificeren.
Geschikt voor integratie: max. 12 glasvezelconnectie kaarten het type
MP601 elk 7 glasvezel poorten.
Geheel geassembleerd in behuizing
Maximaal energieverbruik: 215 Watt</t>
  </si>
  <si>
    <t>+Module Current Interface (CIM) #631</t>
  </si>
  <si>
    <t>Locamation type codering: 7041.0631.0301
Current Interface Module 631; 3 fase stroommeting;
meetbereik 1 mA. 7,2 A; beveiligingsbereik: 100 mA. 300 A;
2 redundant uitgevoerde glasfiber koppelingen met elk 1 * Rx/Tx
gecombineerd
Specificaties moeten voldoen aan BS6850 Versie 1.5. dd. 01.02.2010.
Kaarten CIM 631 worden als losse componenten geleverd
Voeding: 38 V DC. 275 V DC; 88 V AC. 265 V AC; max. energieverbruik 2 W</t>
  </si>
  <si>
    <t>+Module Multi Port (optical fiber)#MP601</t>
  </si>
  <si>
    <t>Locamation type codering: 6062.0601.0301.
Glasvezelconnectiekaart MP 601;
Geschikt voor integratie in 19” rack met CCU 601 (max. 2 * MP 601) of
CCU 603 (max. 7 * MP 601) ;
Maximaal 7 aan te sluiten poorten per glasvezel connectiekaart;
Specificaties moeten voldoen aan BS6850 Versie 1.5. dd. 01.02.2010.
Kaarten MP 601 geheel geassembleerd in (Rittal / 19 “rack) behuizing</t>
  </si>
  <si>
    <t>+Module Versatile Comm Unit (VCU) #106</t>
  </si>
  <si>
    <t>Locamation type codering: 7365.0100.004
Versatile Communication Unit type 106;
Geschikt voor: 6 paar glasvezelaansluitingen (per paar 1 Tx en 1 Rx)
voor verbinding CCU series 600
Geïntegreerd in Rittal Behuizing Wandmontage Type CM5110.500
Afmetingen behuizing H*W*D:  600*800*400
Geïmplementeerde en geteste systeem software conform B6850 Versie 1.5.
dd. 01.02.2010
Geïmplementeerde en geteste applicatiesoftware conform projectspecifiek
overeengekomen specificatie
Geheel geassembleerd in behuizing</t>
  </si>
  <si>
    <t>+Module Voltage Interface (VIM) #622</t>
  </si>
  <si>
    <t>Locamation type codering: 7041.0622.0302
Voltage Interface Module 622; 3 fase spanningsmeting;
meetbereik 0 .. 300 V;
2 redundant uitgevoerde glasfiber koppelingen met elk 1 * Rx/Tx
gecombineerd
Specificaties moeten voldoen aan BS6850 Versie 1.5. dd. 01.02.2010.
Kaarten VIM 622 worden als losse componenten geleverd
Voeding: 38 V DC. 275 V DC; 88 V AC. 265 V AC; max. energieverbruik 2 W</t>
  </si>
  <si>
    <t>Betonboor  8,0x165mm 4-snijder #SDS+</t>
  </si>
  <si>
    <t>Betonboor 10,0x165mm 4-snijder #SDS+</t>
  </si>
  <si>
    <t>MSR gateway 1.0 systeemkast.</t>
  </si>
  <si>
    <t>Envelop C5 Liander met venster ZPB ds500</t>
  </si>
  <si>
    <t>Envelop C5 Liander met venster zonder port betaald
Doos = 500 stuks.</t>
  </si>
  <si>
    <t>Huisaansluitkast van 3x80A in de uitvoering
van stekkertechniek voor laagbouw.
De automaat betreft een C karakteristiek.</t>
  </si>
  <si>
    <t>Stijgleid.combik. 3-fase bev.aut. 40A C</t>
  </si>
  <si>
    <t>Huisaansluitkast van 3x40A zonder stekkertechniek,
uitgevoerd met vaste kabelverbinding voor hoogbouw.
De automaat betreft een C karakteristiek.</t>
  </si>
  <si>
    <t>Huisaansluitkast van 3x63A in de uitvoering van
stekkertechniek voor laagbouw.
De automaat betreft een C karakteristiek.</t>
  </si>
  <si>
    <t>MEM-102 meetunit voor de MSR Gateway 1.0.</t>
  </si>
  <si>
    <t>Montagerail C-profiel 41x21mm L250mm M12</t>
  </si>
  <si>
    <t>Montage rail C-profiel RVS 41 x 21 x 2,5 mm, +/- 250 mm lengte.
Inclusief 2 zwarte eindkapjes en 2 glijmoeren met kwikstrut M12.</t>
  </si>
  <si>
    <t>Montagerail C-profiel 41x21mm L250mm M10</t>
  </si>
  <si>
    <t>Montage rail C-profiel RVS 41x21x2,5 mm, +/- 250 mm lengte.
Inclusief 2 zwarte eindkapjes en 2 glijmoeren met kwikstrut M10.</t>
  </si>
  <si>
    <t>Spanningtester 6-690V AC/DC
Tweepolige spannings-en doorbeltester voorzien van grote, gemakkelijk
te gebruiken toetsen, een heldere achtergrondverlichting en duidelijk
hoor- en voelbare indicatoren.
Voorzien van een hoogwaardige constructie die lang meegaat.
Waaronder een duurzame, speciaal gevormde behuizing, een dikker snoer
met slijtage-indicator, een stevig batterijvak en een goed passende
en sterke beschermkap voor de meetpennen.
Kenmerken:
• 4 Manieren om gelijk-/wisselspanning te detecteren: een duidelijke,
meteen zichtbare LED-balk, een heldere digitale weergave van de
meetwaarde, een hoorbare doorbeltest en trillingen voor voelbare
feedback (trillingsindicator).
• LCD-display.
• Ingebouwde elektrische zaklamp.
• Display Hold.
• Geluid aan/uit voor testen in rustige omgevingen.
• Indicatie bij lage batterijspanning.
• Faserotatie-indicatie voor driefase-systemen.
• RCD-functionaliteit.
• Eénfase-spanning biedt snelle identificatie van geleiders onder
spanning.
• Veiligheidscategorie: CAT IV 600 V, CAT III 690 V.</t>
  </si>
  <si>
    <t>Huisaansluitkast van 3x25A in de uitvoering van stekkertechniek voor
laagbouw.
 De automaat betreft een C karakteristiek.</t>
  </si>
  <si>
    <t>Huisaansluitkast van 3x40A in de uitvoering van
stekkertechniek voor laagbouw.
De automaat betreft een C karakteristiek.</t>
  </si>
  <si>
    <t>Afwasmiddel 1000ml #Dreft</t>
  </si>
  <si>
    <t>Afwasmiddel (Flacon 1000ml) Dreft Original.
Het afwasmiddel dat tot 75% langer meegaat dan
niet geconcentreerde imitaties.
Dankzij de krachtige en geconcentreerde formule van Dreft
volstaat een kleinere hoeveelheid afwasmiddel voor een
schone glanzende vaat.</t>
  </si>
  <si>
    <t>Huisaansluitkast van 3x50A in de uitvoering van
stekkertechniek voor laagbouw.
De automaat betreft een C karakteristiek.</t>
  </si>
  <si>
    <t>Huisaansluitkast 3x50A C-kar kabelaansl.</t>
  </si>
  <si>
    <t>Huisaansluitkast van 3x50A zonder stekkertechniek,
uitgevoerd met vaste kabelverbinding voor laagbouw.
De automaat betreft een C karakteristiek.</t>
  </si>
  <si>
    <t>Huisaansluitkast 3x63A C-kar kabelaansl.</t>
  </si>
  <si>
    <t>Huisaansluitkast van 3x63A zonder stekkertechniek,
uitgevoerd met vaste kabelverbinding voor laagbouw.
De automaat betreft een C karakteristiek.</t>
  </si>
  <si>
    <t>Huisaansluitkast van 3x80A in de uitvoering
van stekkertechniek voor laagbouw.
Met mespatroonhouders voor 80A aansluiting.
Mespatronen niet meegeleverd.</t>
  </si>
  <si>
    <t xml:space="preserve">F; L
(Afblazing naar onder)
Kortsluitverklikkers aanwezig in alle C+V-velden.
</t>
  </si>
  <si>
    <t>&gt;Schakelinstall. 24kV ABB FCVC-DA A</t>
  </si>
  <si>
    <t>&gt;Schakelinst. 10/20kV ABB FCCVV DA O</t>
  </si>
  <si>
    <t xml:space="preserve">Oliegevulde regelbare nettransformator, isolator-uitvoering, 10 kV, 250
kVA, Schakeling: Dyn, klokgetal: 5. Trafo dient uitgevoerd te worden met
4 vlaggen aan de LS-zijde.
Losse Wielen en Thermometerpocket. Voorzien van sticker die het Dyn-type
aangeeft.
Uitgerust met ECOTAP VPD regelschakelaar.
Inclusief:
-Regelkast
-Stroomtrafo’s, 400/5A, 5VA, klasse 1, deelbaar
</t>
  </si>
  <si>
    <t xml:space="preserve">Oliegevulde regelbare nettransformator, isolator-uitvoering, 10 kV, 400
kVA, Schakeling: Dyn, klokgetal: 5. Trafo dient uitgevoerd te worden met
4 vlaggen aan de LS-zijde.
Losse Wielen en Thermometerpocket. Voorzien van sticker die het Dyn-type
aangeeft.
Uitgerust met ECOTAP VPD regelschakelaar.
Inclusief:
-Regelkast
-Stroomtrafo’s, 600/5A,5VA, klasse 1, deelbaar
</t>
  </si>
  <si>
    <t xml:space="preserve">Oliegevulde regelbare nettransformator, isolator-uitvoering, 10 kV, 630
kVA, Schakeling: Dyn, klokgetal: 5. Trafo dient uitgevoerd te worden met
4 vlaggen aan de LS-zijde.
Losse Wielen en Thermometerpocket. Voorzien van sticker die het Dyn-type
aangeeft.
Uitgerust met ECOTAP VPD regelschakelaar.
Inclusief:
-Regelkast
-Stroomtrafo’s, 1000/5A,5VA, klasse 0.5, deelbaar
</t>
  </si>
  <si>
    <t xml:space="preserve">Oliegevulde regelbare nettransformator, isolator-uitvoering, 10 kV, 1000
kVA, Schakeling: Dyn, klokgetal: 5. Trafo dient uitgevoerd te worden met
4 vlaggen aan de LS-zijde.
Losse Wielen en Thermometerpocket. Voorzien van sticker die het Dyn-type
aangeeft.
Uitgerust met ECOTAP VPD regelschakelaar.
Inclusief:
-Regelkast
-Stroomtrafo’s, 2000/5A,5VA, klasse 0.5, deelbaar
</t>
  </si>
  <si>
    <t>Nettrafo 20/10kV+Step-Up 6MVA olie YNyn6</t>
  </si>
  <si>
    <t xml:space="preserve">Hermetisch gesloten oliegevulde nettransformator
20/10kV en 10/20kV step-up, 6000 kVA, Schakeling: YNyn, klokgetal: 6
Uitvoering MS aansluitingen in C-conus type K400AR3
Inclusief 2x Thermometerpocket.
Inclusief dempers onder de trafovoeten
De transformator wordt zonder wielen geleverd.
</t>
  </si>
  <si>
    <t>/Vloerframe voor 4-velds Xiria</t>
  </si>
  <si>
    <t>/Vloerframe voor 5-velds Xiria</t>
  </si>
  <si>
    <t>/Steker hks C 15kV Cu 3x1x95&amp;20kV 3x1x25</t>
  </si>
  <si>
    <t>/Schakelinstall. 24kV ABB CCV W4 A</t>
  </si>
  <si>
    <t>Rens Besseling</t>
  </si>
  <si>
    <t>Uitloop, voorraad weg gereserveerd</t>
  </si>
  <si>
    <t>0641718124 Marco Blankestijn</t>
  </si>
  <si>
    <t>Rolbandveer 13-22mm  RF 1</t>
  </si>
  <si>
    <t>Rolbandveer 17-28mm  RF 2</t>
  </si>
  <si>
    <t>Rolbandveer 33-49mm  RF 4</t>
  </si>
  <si>
    <t>Afsluitplaat grote poort met wartel #ABB</t>
  </si>
  <si>
    <t>Merk: ABB en Connectens
Naam: Blind inzetstuk 160 mm
Type:  2008.030  160-00/10 en CT200047</t>
  </si>
  <si>
    <t>Merk: ABB en Connectens
Naam: Blind inzetstuk 40 mm
Type: 2008.046  40/B en CT200046</t>
  </si>
  <si>
    <t>Inlegklem v 16/50mm Al v HAK #ABB</t>
  </si>
  <si>
    <t>Stijgleidingkast separaat #ABB</t>
  </si>
  <si>
    <t>Kabelinvoer dubbel v HAK #ABB</t>
  </si>
  <si>
    <t>Schutbuis 160mm</t>
  </si>
  <si>
    <t>Klapkast 1/2m3 RVS +frame#Zador</t>
  </si>
  <si>
    <t>Aansluitkast tbv een MLOEA KV-aansl #ABB</t>
  </si>
  <si>
    <t>&gt;Env gom MPB Vernieuwen energiemetera500</t>
  </si>
  <si>
    <t>&gt;Env gom ZPB Datum vernieuwen E-mtr a500</t>
  </si>
  <si>
    <t>Aansluitset voor MLOEA AK250 AC4 #O&amp;K</t>
  </si>
  <si>
    <t>Kopp. steek PE40xCu 35 mm zwart K6385</t>
  </si>
  <si>
    <t>Insteekkoppeling, insteekfitting t.b.v. PE X insteekfitting koper,
nominale aansluiting: 40mm PEx 35mm koper, materiaal POM ,kleur k
oppeling zwart , Kleur O-ring geel, materiaal O-ring NBR, trekring t.b.v. PE.
aanbrengen in koperen leiding, Qa keur, HAWLE K6385</t>
  </si>
  <si>
    <t>Extreem krachtige handreiniger met niet-schurende reinigingsmiddelen en
oppervlakteactieve stoffen voor een doeltreffende reiniging van
hardnekkig en moeilijk te verwijderen vuil en aanslag zoals olie, vet,
teer, inkt, bitumen, diverse kleefstoffen en de meeste verven op
oliebasis. Oplosmiddelvrij. Met sinaasappelgeur. Zorgt voor schone en
frisse handen na gebruik.</t>
  </si>
  <si>
    <t>Eaton iCap set voor Magnefix KKKT
Doos voor 1 configuratie KKKT (9 kappen, CMU + 6 kabels)</t>
  </si>
  <si>
    <t xml:space="preserve">Eaton iCap set voor Magnefix KKT
Doos voor 1 configuratie KKT (6 kappen, CMU + 4 kabels)
</t>
  </si>
  <si>
    <t>Router FlexOVL LTE Merlin</t>
  </si>
  <si>
    <t>Afsluitplaat grote poort met wartel #CT</t>
  </si>
  <si>
    <t>Afsluitplaat grote poort met wartel van Connectens.</t>
  </si>
  <si>
    <t>Kabelinvoer dubbel v HAK #CT</t>
  </si>
  <si>
    <t>Kabelinvoer dubbel voor huisaansluitkast van Connectens.</t>
  </si>
  <si>
    <t>Inlegklem v 16/50mm Al v HAK #CT</t>
  </si>
  <si>
    <t>Inlegklem 16/50MM AL voor een huisaansluitkast van Connectens.</t>
  </si>
  <si>
    <t>Stijgleidingkast separaat #CT</t>
  </si>
  <si>
    <t>Stijgleidingkast separaat van Connectens.
Wordt volledig geleverd met aansluitblok en invoerstuk.</t>
  </si>
  <si>
    <t>Aansluitkast tbv een MLOEA KV aansl. #CT</t>
  </si>
  <si>
    <t>Meerdere Leveranciers Op Een Aansluiting (MLOEA) set van Connectens.</t>
  </si>
  <si>
    <t>Verlengkabel Paddle Antenne, ex. beugel</t>
  </si>
  <si>
    <t>Verlengkabel Paddle Antenne, excl. montagebeugel.
Voorkeursleverancier  The antenna compagny
Fabrikant                     The antenna compangy
Fabriekstype                AC91008</t>
  </si>
  <si>
    <t>Montagebeugel Paddle Antenne</t>
  </si>
  <si>
    <t>Montagebeugel Paddle Antenne excl. verlengkabel.
Voorkeursleverancier  The antenna compagny
Fabrikant                     The antenna compangy
Fabriekstype                AC91008</t>
  </si>
  <si>
    <t>Laadset tbv Gasdetector OLLI #Esders  !K</t>
  </si>
  <si>
    <t>Laadset voor de Gasdetector OLLI (Esders)</t>
  </si>
  <si>
    <t>Huisaansluitkast van 1x40A in de uitvoering van stekkertechniek
voor laagbouw. De automaat betreft een C karakteristiek.</t>
  </si>
  <si>
    <t>Markeerstift v PE-buis ZILVER</t>
  </si>
  <si>
    <t>Markeerstift voor PE-buis Zilver
(leverancierstekst)
Markeerstift Edding 751 1-2mm zilver ronde punt voor PE-laser doos a
10 stuks.
Type: 751
Niet-navulbare aluminium markeerstift geschikt voor het schrijven op
vrijwel ieder oppervlak (glad en poreus). Voorzien van ronde punt en
permanente, reukarme lakachtige dekkende inkt voor een sterk dekkende
markering. De inkt is watervast en sneldrogend en bevat geen toluyeen
of xyleen.
Hittebestendig tot 400 ºC.
Kleur: zilver
Lijnbreedte: 1 - 2 mm.
Verpakkingseenheid: doos a 10 stuks.</t>
  </si>
  <si>
    <t>Aardingsklem klant #CT</t>
  </si>
  <si>
    <t>Aardingsklem voor de huisaansluitkast (HAK) van Connectens.</t>
  </si>
  <si>
    <t>Schroefverbinder blok  4x 1-16 mm2</t>
  </si>
  <si>
    <t>Kunststof blok met 4 ongeïsoleerde schroefverbinder met afbreekbout
geschikt voor kabel 1,5 t/m 16mm2 rm/rs</t>
  </si>
  <si>
    <t xml:space="preserve"> - </t>
  </si>
  <si>
    <t>Verwijderd</t>
  </si>
  <si>
    <t>0628954298 Wahhab Admed</t>
  </si>
  <si>
    <t>Zadelmakerstraat 12, 8601 WH, Sneek</t>
  </si>
  <si>
    <t>Verwijderd door Ron van Nuland, want staan in assortimentslijst GV</t>
  </si>
  <si>
    <t>&gt;Zadel PE blsgt el-las 125x2"-2.1/2" HD8</t>
  </si>
  <si>
    <t>ABB Beveiligingsautomaat - 63A - C karakteristiek - 1P - 10 kA
Type: S201M-C63
EATON Beveiligingsautomaat - 63A - C karakteristiek - 1P - 15 kA
Type: FAZ-C63/1</t>
  </si>
  <si>
    <t>Inschakelmechanisme voor Magnefix MF</t>
  </si>
  <si>
    <t>ABB Beveiligingsautomaat - 10A - C karakteristiek - 1P - 10 kA
Type: S201M-C10
EATON Beveiligingsautomaat - 10A - C karakteristiek - 1P - 15 kA
Type: FAZ-C10/1</t>
  </si>
  <si>
    <t>Persbek staal 3/4” (Viega)            !K</t>
  </si>
  <si>
    <t>Persbek staal 1” (Viega)              !K</t>
  </si>
  <si>
    <t xml:space="preserve">Persbek Viega 1" 638245 (ALL)
Type: 638245 Persbek Afmeting: 1"
Voor persfittingen voor stalen leidingen. GTIN; 4015211638245, model
42999. Persbek is van staal, kleur zwart.
</t>
  </si>
  <si>
    <t>Persbek 15mm Viega Ridgid persmachine !K</t>
  </si>
  <si>
    <t>Persbek 22mm Viega Picco Ridgid RP240 !K</t>
  </si>
  <si>
    <t>Persbek 22mm Viega Ridgid persmachine !K</t>
  </si>
  <si>
    <t>Persbek 35mm Viega Picco Ridgid RP240 !K</t>
  </si>
  <si>
    <t>Persbek 35mm Viega Ridgid persmachine !K</t>
  </si>
  <si>
    <t>Persbek 35mm voor Ridgid RP340b en Viega 4b en 5b. Voor persfittingen
voor metalen perssystemen.</t>
  </si>
  <si>
    <t>Persbek 42mm Viega Ridgid persmachine !K</t>
  </si>
  <si>
    <t>Persbek 42mm voor Ridgid RP340b en Viega 4b en 5b. Voor persfittingen
voor metalen perssystemen.</t>
  </si>
  <si>
    <t>Persbek 54mm Viega Ridgid persmachine !K</t>
  </si>
  <si>
    <t>Persbek 54mm voor Ridgid RP340b en Viega 4b en 5b.
Voor persfittingen voor metalen perssystemen.</t>
  </si>
  <si>
    <t>Persbekken 42&amp;54 Viega Ridgid RP340B  !K</t>
  </si>
  <si>
    <t>Persbekkenaanvulset Ridgid 42-54mm voor koperen persfittingen.
Voor Ridgid RP340B en Viega Pressgun 4B en 5B.</t>
  </si>
  <si>
    <t>Persbek 15mm Viega Picco Ridgid RP240 !K</t>
  </si>
  <si>
    <t xml:space="preserve">Draaistroom 4-leider statische kWh meter,
voor directe aansluiting 0,25-5 (100)A, 230/400V,50Hz, klasse A
Telwerk: Bestaat uit:
1 register voor Leveren
1 register voor terug leveren,
kWh registratie
1 register voor actueel vermogen,
W registratie.
Voorzien van barcodering en QR-code volgens Liander specificaties.
</t>
  </si>
  <si>
    <t>&gt;MSR ALF SML 400kVA RRT 630LS08 RAL6009</t>
  </si>
  <si>
    <t>&gt;MSR ALF SML 630kVA RRT 630LS08 RAL6009</t>
  </si>
  <si>
    <t>MSR ALF SML 630kVA RRT-R 630LS08 RAL6009</t>
  </si>
  <si>
    <t>Gasfles testgas 10ppm Esders Hunter</t>
  </si>
  <si>
    <t>Hybride mof geschikt voor 20kV XLPE 1x400 mm2 Cu
op 20kV XLPE 1x630 mm2 Al.
Inclusief schroefverbinders.</t>
  </si>
  <si>
    <t>Pedaalemmerzak 32x42x0,02mmLDPE Ds=1000</t>
  </si>
  <si>
    <t>&gt;MSR ALF MED 630kVA B-RRT 1000LS14 R6009</t>
  </si>
  <si>
    <t>MSR ALF MED 630kVA BRRRT 1000LS14 RL6009</t>
  </si>
  <si>
    <t>&gt;MSR AKA MED 630kVA B-RRT 1000LS14 R6009</t>
  </si>
  <si>
    <t>Pinpointer XP MI-4 leidingzoeker</t>
  </si>
  <si>
    <t>De pinpointer is handzaam en beschikt over een herlaadbare
Lithium Polymeer accu. Na het opladen gaat je Pinpointer
MI-4 tot wel 90 uur mee.
Tijdens het gebruik hoef je niet bang te zijn dat je hem vergeet,
met de handige anti-verlies kabel bevestig je de MI-4 namelijk
aan je kleding.
Oplaadbare lithiumbatterij (makkelijk te vervangen)
• Waterdicht tot 6 meter
• 2 audiomode (Pitch / Pulse)
• 6 programma's en 3 gevoeligheidsniveaus
• LED, trilling, luidspreker AAN / UIT</t>
  </si>
  <si>
    <t>Persbek 28mm Viega Ridgid persmachine !K</t>
  </si>
  <si>
    <t>+Spanningtester 6-690V AC/DC          !K</t>
  </si>
  <si>
    <t>Batterij iCap 3,6V set=3 st v 1 veld</t>
  </si>
  <si>
    <t>Eaton iCap batterij 3,6V set (3 Stuks) ten behoeve van 1 veld.</t>
  </si>
  <si>
    <t>Buispatroon 20A gG 10x38mm</t>
  </si>
  <si>
    <t>Zekering CHT 20 A Ø 10,3 x 38 mm.
Nominaal spanning 500V, 120kA.
Karakteristiek gG.
Afmeting 10,3x38mm.</t>
  </si>
  <si>
    <t>Buispatroon 16A gG 10x38mm</t>
  </si>
  <si>
    <t>Zekering CHT 16 A Ø 10,3 x 38 mm
Nominaal spanning 500 V, 120 kA.
Karakteristiek gG
Afmeting 10,3 x 38 mm.</t>
  </si>
  <si>
    <t>/Sticker "verrebediend" (pak=10st)</t>
  </si>
  <si>
    <t>Penning 1, 8305 BH, Emmeloord</t>
  </si>
  <si>
    <t>0643447720 Lukas Roskam</t>
  </si>
  <si>
    <t>0612033411 Frank Wouters</t>
  </si>
  <si>
    <t>0610657067 Janine Lenting</t>
  </si>
  <si>
    <t xml:space="preserve">Vet Shell R3 Alvania 300ml koker (ALL)
</t>
  </si>
  <si>
    <t>&gt;Ls-strook koppel 630A rechts m messenJM</t>
  </si>
  <si>
    <t>Tas v handschoenen VDE</t>
  </si>
  <si>
    <t xml:space="preserve">Opbergtas t.b.v. isolerende VDE handschoenen.
</t>
  </si>
  <si>
    <t>ABB Beveiligingsautomaat - 25A - C karakteristiek - 1P - 10 kA
Type: S201M-C25
EATON Beveiligingsautomaat - 25A - C karakteristiek - 1P - 15 kA
Type: FAZ-C25/1</t>
  </si>
  <si>
    <t>ABB Beveiligingsautomaat - 40A - C karakteristiek - 1P - 10 kA
Type: S201M-C40
EATON Beveiligingsautomaat - 40A - C karakteristiek - 1P - 15 kA
Type: FAZ-C40/1</t>
  </si>
  <si>
    <t>ABB Beveiligingsautomaat - 50A - C karakteristiek - 1P - 10 kA
Type: S201M-C50
EATON Beveiligingsautomaat - 50A - C karakteristiek - 1P - 15 kA
Type: FAZ-C50/1</t>
  </si>
  <si>
    <t>SIEMENS Beveiligingsautomaat - 80A - C karakteristiek - 1P - 10 kA
Type: 5SP4180-7
EATON Beveiligingsautomaat 80A - C karakteristiek - 1P - 20 kA
Type: AZ-C80</t>
  </si>
  <si>
    <t>&gt;Nieten kabelnieter v kabels 6mm(1000st)</t>
  </si>
  <si>
    <t>Lamp Bosch GLI 18V zonder accu/lader  !K</t>
  </si>
  <si>
    <t xml:space="preserve">Lamp Bosch GLI14,4/18V-Li zonder accu
Nieuwe professionele werklamp van Bosch  GLI VariLed Professional Sterke
verlichting, lange levensduur.
Wordt geleverd zonder accu!
Zeer veelzijdig LED verlichting :
intensief licht die op verschillende manier gehanteerd kan worden  Accu
uitwisselbaar
</t>
  </si>
  <si>
    <t>Zaklamp 220 lumen#TAB24112 3W PowerLED!K</t>
  </si>
  <si>
    <t>Kabelselectie Ontvanger #S20          !C</t>
  </si>
  <si>
    <t>Kabelselectiezender sp.loze aders#S21 !C</t>
  </si>
  <si>
    <t>Kabelselectiezender v onder spann G300!C</t>
  </si>
  <si>
    <t>Stofzuiger (GAS 35 M AFC)             !K</t>
  </si>
  <si>
    <t>Bouwlamp LED accuvoed. zonder accu 18V!K</t>
  </si>
  <si>
    <t>Decoupeerzaag GST 18V (z. accu)       !K</t>
  </si>
  <si>
    <t>LED-Tube, lengte 150cm, vermogen 16.7 Watt,
kleur 840 (natuurlijk wit), lichtsterkte 3100 Lumen.
Geschikt voor LED-TL armatuur met artikel nr. 20039090</t>
  </si>
  <si>
    <t>Stofzuiger accu GAS 18V-10L           !K</t>
  </si>
  <si>
    <t>Perstang (accu) 6 t/m 300mm           !K</t>
  </si>
  <si>
    <t>Moeraanzetter 18V 330Nm z.accu z.lader!K</t>
  </si>
  <si>
    <t xml:space="preserve">Moeraanzetter 18V 330 Nm z. accu +lader:  De compacte en lichte
accuslagmoeraanzetter GDS 18V-330 HC Professional maakt het werk gem
akkelijker. De twee standaardmodi in de gebruikersinterface, metalen bout/moer
gecontroleerde toepassing om gebroken schroefkoppen en het verlies van
metalen bouten of moeren te voorkomen door de slagmoeraanzetter
langzamer te laten draaien of uit te schakelen. Een aanhaalmoment van
330 Nm en een losbreekmoment van 560 Nm leveren topprestaties. Meer
flexibiliteit en controle worden geleverd dankzij de drie verschillende
toerental-/draaimomentstanden.
TECHNISCHE GEGEVENS
Aantal slagen stand 1/ 2/ 3:  0-1.200/ 1.900/ 2.800 min-1
Luchtstroom: M8 - M18
Draaimoment-instelbereik, stand 1/ 2/ 3: 0 - 200/ 260/ 330 Nm
Draaimoment, max.: 330 Nm
Gereedschapopname: 1/2" vierkant frictiering en doorvoergat
Losbreekmoment, max.: 560 Nm
Wordt geleverd in: kartonnen doos zonder accu’s en zonder lader.
</t>
  </si>
  <si>
    <t>&gt;Meetkast LS</t>
  </si>
  <si>
    <t>LS-meetkast.
De LS-Meetkast heeft een kunststof behuizing, is voorzien van een
montageplaat en een transparante deksel.
De LS-Meetkast bevat de volgende componenten
24 Vdc voeding,
telecomrouter,
 RTU,
beveiligingsautomaten
en is voorzien van connectoren t.b.v.
het aansluiten van voedingskabels, een datakabel en een telecom antenne.</t>
  </si>
  <si>
    <t>Stekker+kabel 4x 6mm2 L= 3m</t>
  </si>
  <si>
    <t>Stekker+kabel 4x 6mm2 L= 6m</t>
  </si>
  <si>
    <t>Stekker+kabel 4x 6mm2 L= 9m</t>
  </si>
  <si>
    <t>Stekker+kabel 4x 6mm2 L= 12m</t>
  </si>
  <si>
    <t>Stekker+kabel 4x16mm2 L= 3m</t>
  </si>
  <si>
    <t>Stekker+kabel 4x16mm2 L= 6m</t>
  </si>
  <si>
    <t>Stekker+kabel 4x16mm2 L= 9m</t>
  </si>
  <si>
    <t>Stekker+kabel 4x16mm2 L=12m</t>
  </si>
  <si>
    <t>Stekker+kabel 4x16mm2 L=15m</t>
  </si>
  <si>
    <t>Stekker+kabel 3x2,5mm2 L= 3m</t>
  </si>
  <si>
    <t>Stekker+kabel 3x2,5mm2 L= 6m</t>
  </si>
  <si>
    <t>Stekker+kabel 3x2,5mm2 L= 9m</t>
  </si>
  <si>
    <t>Stekker+kabel 3x2,5mm2 L= 12m</t>
  </si>
  <si>
    <t>Stekker+kabel 3x2,5mm2 L= 15m</t>
  </si>
  <si>
    <t>Boormachine GSR 18V-150C (z. accu)    !K</t>
  </si>
  <si>
    <t>Kabel bevestigingssetje voor 4 enkel-en meeraderige
laag-middenspanningskabels.
Voor kabels met een nominale buitendiameter van 25 t/m 38,5 mm.
Incl.
2 draadeinden M12x150,
4 ringen M12 en
6 moeren M12.
Gebruik voor het verkleinen van het bereik de meegeleverde neoprene
pads.</t>
  </si>
  <si>
    <t>Bedieningshendel Siemens 8DJH BlueGis</t>
  </si>
  <si>
    <t>ABB CCF SF6 vrij
 C=Cable , F=Fuse
Transformatorveld= beveilinging met patronen.
Toepassing reguliere MSR</t>
  </si>
  <si>
    <t xml:space="preserve">ABB CFVV-DA SF6 vrij (Air).
Veldvolgorde C=Cable, F=Fuse
V=Vermogensschakelaarveld WIC W4
Transformatorveld=beveiliging met patronen.
WIC W4 toepassing i-MSR.
</t>
  </si>
  <si>
    <t>Systeemkast MSR gateway 1.0</t>
  </si>
  <si>
    <t>Meetunit LS #MEM-102</t>
  </si>
  <si>
    <t>FlexOV device 20039993
Router FlexOVL LTE Merlin  20050955
Schakelinst 10/20kV Siemens RRT-R 26000500
Nettrafo 10kV  630kVA  DYN5 isol 26001150
Behuizing MSR medium 32000002
Afwerking metalen dl RAL6009 MSR medium  32000017
Montage van het rek 1000 kVA 32000025
OV-paneel voor LS-rek 1000 kVA 32000031
Montage OV-paneel voor LS-rek 1000 kVA 32000032
Zekeringen transformatorveld (910A)  32000040
Afwerking beton RAL 6009 MSR medium  32000079
LS-rek 1000 | 14 strk | 0 DIN00  32000097
Montage FlexOV dev. en router 32000100
LS Meten materialen
Montage LS Meten/MSR Gateway 0.6 GBUBR 32000313
Aansluitschema 1_1021</t>
  </si>
  <si>
    <t>FlexOV device 20039993
Router FlexOVL LTE Merlin  20050955
Schakelinstall. 24kV ABB FCVV-DA O  26000736
Nettrafo 10kV  630kVA  DYN5 isol 26001150
Behuizing MSR medium 32000002
Afwerking metalen dl RAL6009 MSR medium 32000017
Montage van het rek 1000 kVA 32000025
OV-paneel voor LS-rek 1000 kVA 32000031
Montage OV-paneel voor LS-rek 1000 kVA 32000032
Zekeringen transformatorveld (910A) 32000040
Afwerking beton RAL 6009 MSR medium 32000079
LS-rek 1000 | 14 strk | 0 DIN00 32000097
Montage FlexOV dev. en router  32000100
Verhogingsplint 29cm 4-veld ABB install 20041843
Montage ABB plint onder RMU 32000300
Montage DA-kast type c bev.kast 2 relais  32000035
LS Meten Materiaal
Montage LS Meten/MSR Gateway 0.6 GBUBR  32000313
Aansluitschema 1_1021</t>
  </si>
  <si>
    <t>CMU behuizing set t.b.v. iCap</t>
  </si>
  <si>
    <t>CMU-behuizing set (zonder CMU)
Artikelnummer Modderkolk: 179.291</t>
  </si>
  <si>
    <t>Werktafel opklapbaar</t>
  </si>
  <si>
    <t>KETER opklapbaar Werktafel
De afmeting uitgeklapt is (h x b x d): 75 x 85 x 55 cm,
ingeklapt 11 x 85 x 55 cm.
Met het geïntegreerde handvat draag je hem gemakkelijk.
De tafel is één beweging op te zetten.</t>
  </si>
  <si>
    <t>Klemmenblok distributie</t>
  </si>
  <si>
    <t>Klemmenblok distributie Schneider Electric - 13575</t>
  </si>
  <si>
    <t>FlexOV device 20039993
Router FlexOVL LTE Merlin 20050955
Schakelinstall. 24kV ABB FCVVV-DA O 26000744
Nettrafo 10kV  630kVA  DYN5 isol 26001150
Behuizing MSR medium 32000002
Afwerking metalen dl RAL6009 MSR medium 32000017
Montage van het rek 1000 kVA 32000025
OV-paneel voor LS-rek 1000 kVA 32000031
Montage OV-paneel voor LS-rek 1000 kVA 32000032
Zekeringen transformatorveld (910A) 32000040
Afwerking beton RAL 6009 MSR medium 32000079
LS-rek 1000 | 14 strk | 0 DIN00 32000097
Montage FlexOV dev. en router 32000100
Verhogingsplint 29cm 5-veld ABB install 20041844
Montage ABB plint onder RMU 32000300
Montage DA-kast type c bev.kast 3 relais 32000036
LS Meten materialen
Montage LS Meten/MSR Gateway 0.6 GBUBR 32000313
Aansluitschema 1_1021</t>
  </si>
  <si>
    <t>Verpakkingsdoos Bunzl groot 32 x 25 x 30 cm</t>
  </si>
  <si>
    <t>Gatzaag 73 mm</t>
  </si>
  <si>
    <t>Gatzaag voorzien van een hoogwaardige vertanding.
Wordt geleverd exclusief houder
Vertanding: 4-6 T.P.I</t>
  </si>
  <si>
    <t>Bodemplaat v vloerframe 5-velds ABB</t>
  </si>
  <si>
    <t>Bodemplaat voor vloerframe
5-Velds ABB SafePlus t.b.v. achterafblaas</t>
  </si>
  <si>
    <t>MSR ALF MED 630kVA RRT-R 1000LS14 RL6009</t>
  </si>
  <si>
    <t>Verpakkingsdoos Bunzl klein 11,5 x 11,5 x 27 cm</t>
  </si>
  <si>
    <t>Kabelniet Rapid 28 4.5x10mm ds a 5000st</t>
  </si>
  <si>
    <t>Kabelniet Rapid 28 4.5 x 10 mm verzinkt a 5000.
Type: Nr.28
Ronde kabelnieten vervaardigd uit verzinkt staal, geschikt voor
kabeltacker R28.
Geschikt voor de bevestiging van platte laagspanningskabels
tot 4,5 mm doorsnee.
Verpakkingseenheid: doos á 5000 stuks.
Pootlengte: 9,0 mm.</t>
  </si>
  <si>
    <t>Batterijkast MSR gateway Type B</t>
  </si>
  <si>
    <t>Batterijkast Type B voor gebruik in combinatie met MSR-gateway.
Modderkolk artikel: 178.461</t>
  </si>
  <si>
    <t>Bodemplaat v vloerframe 3-velds ABB</t>
  </si>
  <si>
    <t>Bodemplaat voor vloerframe 3-Velds ABB
 SafePlus ten behoeve van achterafblaas.</t>
  </si>
  <si>
    <t>MSR ALF SML 250kVA B-RRT 630LS08 RAL6009</t>
  </si>
  <si>
    <t>FlexOV device 20039993
Router FlexOVL LTE Merlin  20050955
Schakelinst. 10/20KV Siemens RRT 8DJH  20050313
Nettrafo 10kV  250kVA  DYN5 isol 26001090
Behuizing MSR small  32000000
Afwerking metalen dl RAL6009 MSR small  32000016
Montage van het rek  630 kVA  32000024
OV-paneel voor LS-rek 630 kVA  32000029
Montage OV-paneel voor LS-rek 630 kVA  32000030
Zekeringen transformatorveld (910A)  32000040
Afwerking beton RAL 6009 MSR small  32000075
LS-rek  630 | 8 strk | 0 DIN00 32000092
Montage FlexOV dev. en router 32000100
LS Meten materialen
Montage LS Meten/MSR Gateway 0.6 PKPSR 32000312
Aansluitschema  1_1021</t>
  </si>
  <si>
    <t>Kabeltacker Rapid R28 T&amp;F West nieten:28</t>
  </si>
  <si>
    <t>Kabeltacker Rapid R28 T&lt;(&gt;&amp;&lt;)&gt;F West nieten:28
Afmeting nieten 8-11mm
Unieke, superieure kabeltacker voor uiteenlopende, veeleisende
professionele klussen.
De R28 is voorzien van gepatenteerde 3-staps instelbare slagkracht.
Bespaar tot 40% kracht op klussen waar een korte pootlengte nodig is
en verhoog de kracht met de instelbare slagkracht indien nodig.
Ideaal voor frequent, professioneel gebruik bij het bevestigen van
laagspanningskabels zoals speaker-, telefoon-, antenne- of computer-
kabels.</t>
  </si>
  <si>
    <t>Bit T15 VDE</t>
  </si>
  <si>
    <t>Inbusbit Wiha T15 slimvario VDE Bit met torx 15
voor momentschroevendraaier VDE.
Type: 2831-15</t>
  </si>
  <si>
    <t>Kaart onderbr. Gas 2 opties (pak=50vel)</t>
  </si>
  <si>
    <t>Kaart gas wordt tijdelijk onderbroken. De klant krijgt de optie om zelf
de kraan af te sluiten of dit te laten doen door Liander.
1 pak = blok 50 vel.</t>
  </si>
  <si>
    <t>Kaart onderbr. Gas ontluchten blok=50vel</t>
  </si>
  <si>
    <t>Kaart gas toevoer is onderbroken geweest, klant kan zelf ontluchten.
1 pak = blok 50 vel.</t>
  </si>
  <si>
    <t>Bodemplaat v vloerframe 4-velds ABB</t>
  </si>
  <si>
    <t>Bodemplaat 4-Velds ABB SafePlus
t.b.v. achterafblaas</t>
  </si>
  <si>
    <t>&gt;Schakelinstall. 24kV ABB FCVC W4 A SVK</t>
  </si>
  <si>
    <t>F; L
(betreedbaar
Afblazing naar achter
incl. arc-shields)
Kortsluitverklikkers aanwezig in alle C+V-velden.</t>
  </si>
  <si>
    <t>Kabel storingsring 3x240Alrm+35 20kV 15m</t>
  </si>
  <si>
    <t>/Schakelinstallatie 10kV Xiria ALL-Max4</t>
  </si>
  <si>
    <t>/Schakelinst. 10/20kV ABB FCCVV DA A</t>
  </si>
  <si>
    <t>Systeemkast MSR gateway 0.8</t>
  </si>
  <si>
    <t>Wanraaij 15, 6673 DM, Andelst</t>
  </si>
  <si>
    <t>0681938545 Denys Gaal</t>
  </si>
  <si>
    <t>Euroweg 20, 3825 HD, Amersfoort</t>
  </si>
  <si>
    <t>0651977539 Gerard Kers</t>
  </si>
  <si>
    <t>Pur reiniger 500ml
Een actief middel voor het verwijderen van vers polyurethaanschuim (PUR)
en het schoonmaken van doseerpistolen na gebruik. Reinigen van resten
purschuim op gereedschappen en oppervlakken. Reinigen van
doseerpistolen. Verwijderen van vet, olie en diverse lijmen op PU basis.
Inhoud: 500 ml.</t>
  </si>
  <si>
    <t>'s-strook  630A 1-p schakelbaar    Weber</t>
  </si>
  <si>
    <t>Montagerail C-profiel 41 x 41 mm, lengte 6 meter</t>
  </si>
  <si>
    <t>&gt;Ls-rek 1000A v 8 groepen            O&amp;K</t>
  </si>
  <si>
    <t>Strooizout v stoep en straat (zak=25kg)</t>
  </si>
  <si>
    <t>Huisaansluitkast 1x40A C-kar kabelaansl.</t>
  </si>
  <si>
    <t>Huisaansluitkast 3x25A C-kar kabelaansl.</t>
  </si>
  <si>
    <t>Huisaansluitkast 3x80A C-kar kabelaansl.</t>
  </si>
  <si>
    <t>Pakkingring 29,5x22,5x3,0 KK-ISO DN20 OR</t>
  </si>
  <si>
    <t>Afdichtring / pakkingring / dichtring 29,5 x 22,5 x 3 mm, 80 shore,
Kleur oranje, Materiaal eigenschappen prestatie volgens NEN7205,
Algemene tolerantie ±0,2mm voor geïsoleerde gasmeterflex, DN20.</t>
  </si>
  <si>
    <t>Het robuuste ontwerp en de krachtige borstelloze motor van de GST
18V-125 S Professional (met staafgreep) zorgen voor een langere le
vensduur en uitstekende looptijd van de machine. De accudecoupeerzaagmachine is een betrouwbare probleemoplosser voor alle
toepassingen met een optimale prijs-prestatieverhouding in zijn segment.
De GST 18V-125 S Professional houdt het eenvoudig met de focus op de
belangrijkste functies zoals SDS-zaagbladhouder, LED, pendelmechanisme
met 4 standen, stofblazer en toerentalinstelling.
Deze accudecoupeerzaagmachine is ideaal voor het zagen van bochten en
recht zagen in massief hout, spaanplaat en samengestelde houtmaterialen
evenals voor dikkere of hardere materialen. De machine kan worden
gebruikt met geleiderails via een adapter. De machine is compatibel met
externe stofafzuiging en met alle Bosch Professional 18V-accu's en
opladers (Professional 18V System).
Wordt geleverd in doos zonder accu's en lader met 1x decoupzeerzaagblad
T144D, stofafzuigset en antisplinterstrip</t>
  </si>
  <si>
    <t>Huisaansluitkast 3x40A C-kar kabelaansl.</t>
  </si>
  <si>
    <t>Gassignaleringsmeter Dräger PBM !C</t>
  </si>
  <si>
    <t>Gassignaleringsmeter voor Ex/O2/CO/HCN/H2S
Dräger/ Drager
Type XAM-5000.</t>
  </si>
  <si>
    <t xml:space="preserve">Gasmeteraansluiting, flexibel,
met geisoleerde koppeling,
diameter: 3/4",
aansluitingen: KraanKoppeling / buitendraad,
Lengte: 300.
Flex voor kraankoppel G1"
G1"wm x R3/4"
Kraankoppeling volgens NEN2542
Schroefdraad volgens ISO7-1
Isolatiestuk volgens NEN7205.
Uiteinden RVS303 , buitendraad is voorzien van karteling, Inclusief QA
keur of conform de Qa keur geproduceerd.
</t>
  </si>
  <si>
    <t xml:space="preserve">Gasmeteraansluiting, flexibel, met geisoleerde koppeling, diameter 3/4",
MeterKoppeling / KraanKoppeling
Lengte 300mm.
Flex voor gasmeter G4/G6; GM3/4" wm x G1" wm
Meterkoppeling volgens NEN3084; Kraankoppeling volgens NEN2542
Isolatiestuk volgens NEN7205.
Uiteinden RVS303 , buitendraad is voorzien van karteling, Inclusief QA
keur of conform de Qa keur geproduceerd.
</t>
  </si>
  <si>
    <t>Huisaansluitkast 3x80A mesp. gG kabel.</t>
  </si>
  <si>
    <t>ATZ 52 SC krabberblad voor oscillerende multitools.
- Effectief verwijderen van harde resten.
- Starlock aansluiting voor optimale krachtoverdracht en een
gemakkelijke zaagbladwissel binnen drie seconden.</t>
  </si>
  <si>
    <t>Schakelinst. 24kV ABB CCV W4 SF6-vrij</t>
  </si>
  <si>
    <t>Schakelinst. 24kVABB CFVC-DA W4 SF6vrij</t>
  </si>
  <si>
    <t>Schakelinst. 24kVABB VVVV-DA DR SF6vrij</t>
  </si>
  <si>
    <t>Schakelinst. 24kV ABB CFVC W4 SF6-vrij</t>
  </si>
  <si>
    <t>Schakelinst. 24kVABB VCVV-DA DR SF6vrij</t>
  </si>
  <si>
    <t>Schakelinst. 24kV ABB CCCF-DA SF6-vrij</t>
  </si>
  <si>
    <t>Schakelinst. 24kV ABB CCCF SF6-vrij</t>
  </si>
  <si>
    <t>Schakelinst. 24kVABB CFVV-2xW4 SF6-vrij</t>
  </si>
  <si>
    <t>Schakelinst. 24kV ABB CFVV-DA SF6-vrij</t>
  </si>
  <si>
    <t>Schakelinst. 24kV ABB CFV-W4 SF6-vrij</t>
  </si>
  <si>
    <t>Schakelinst. 24kV ABB CFV-DA SF6-vrij</t>
  </si>
  <si>
    <t>Spaanplaatschroef ck t15 3,5x16  ds200</t>
  </si>
  <si>
    <t>Spaanplaatschroef cilinderkop Torx T15 3,5 x 16 doos 200 stuks
Spaanplaatschroef uitvoering: verzinkt cilinderkop
Aandraaivoorziening: Torx T15
Afmetingen: diameter 3.5 mm / lengte 16 mm
Verpakkingseenheid: doos 200 stuks</t>
  </si>
  <si>
    <t>Reinigingsdoeken v blazen #Kleiss (90st)</t>
  </si>
  <si>
    <t>MDS Reinigingsdoekjes voor blazen en blazenzetapparatuur
Met de MDS reinigingsdoekjes kunnen de blazen en de blazenzet-
apparatuur gereinigd worden wat het gebruik en de levensduur
van het gereedschap ten goede zal komen.
MDS reinigingsdoekjes zijn sterke reinigingsdoeken, geïmpregneerd
met een krachtige industriële reiniger met F-Active Technologie
voor het snel en gemakkelijk schoonmaken van gereedschappen,
werkplekken, onderdelen, machines en vele andere oppervlakken.
Verwijdert moeiteloos veelvoorkomend vuil zoals vet, olie, drukinkt,
teer, toner, verf, remstof, roet, viltstift, lijm, grafiet, hars,
grasafzettingen
en nog veel meer.
Ideaal voor gebruik bij onderhoudswerkzaamheden op locatie.
• Verpakt per 90 stuks in een hersluitbare container;
• Grote, sterke doeken met krachtige werking;
• Blijft lang vochtig voor meervoudig gebruik;
• Gemakkelijk en voordelig in gebruik;
• Zeer groot vuilabsorptievermogen;
• Ruikt aangenaam;
• Bevat Aloë Vera;
• Pluist niet</t>
  </si>
  <si>
    <t>&gt;Vergrendelkap GVMB G4/G6 uni. 3/4"</t>
  </si>
  <si>
    <t>&gt;Vergrendelkap kogelkranen #KZ-GV-1</t>
  </si>
  <si>
    <t>&gt;Vergrendelkap mtrbeug G25 #KZ&gt;4/2010</t>
  </si>
  <si>
    <t>0628856194 Buhari Hassan</t>
  </si>
  <si>
    <t>&gt;Fohn 220V 2000W haaks                !K</t>
  </si>
  <si>
    <t>Zak 90 x 125 zwart #Econorm
dikte 25 mu
t.b.v. klein chemisch afval</t>
  </si>
  <si>
    <t>Kist gasl.blazenz t/m DN200 excl      !K</t>
  </si>
  <si>
    <t>Kist van slagvaste kunststof met interieur.
Bestemd voor van leidingen met een diameter tot en met
DN200 Polsafe / Wavin GLW gasloos aanboren (Kleiss P3-systeem)
t.b.v. T-stuk situatie in combinatie met aanboorgereedschap.
Kist is exclusief frezen en MDS balafsluiter.
De set bevat de volgende materialen:
-----------------------------------------------------------
Kist 1 = Opbergkist zwart kunststof slagvast m wielen lang
Manometerunit P-meting ...... 3 stuks
Blazenlans RVS .............. 3 stuks
Gasstroommeter .............. 1 stuks
Siliconespray 400ml ......... 1 bus
Manometer 0-160 mBar ........ 3 stuks
-----------------------------------------------------------
Kist 2 =  Opbergkist zwart kunststof slagvast m wielen kort
Zakpijp nr. 0 : 1.1/2" ... 3 stuks
Zakpijp nr. 1 : 1.1/2" ... 3 stuks
Zakpijp nr. 2 : 2" ....... 3 stuks
Los
Blazenpomp compleet; bestaande uit:
- pomp voorzien van twee stukjes slang met
snelkoppelingen en wormschroefklemmen
- slang met snelkoppelingen ..... 1 set</t>
  </si>
  <si>
    <t>Acculader 14.4-18V vBosch insteekaccu !K</t>
  </si>
  <si>
    <t>Acculader Bosch 14,4V – 18V Li-ion</t>
  </si>
  <si>
    <t>Bedieningshendel Magnefix MD4 (gebruikt).</t>
  </si>
  <si>
    <t>&gt;MSR AKA M 630kVA FCVV-DA 1000LS14RL6009</t>
  </si>
  <si>
    <t>&gt;MSR ALF M 630kVA FCVV-DA 1000LS14RL6009</t>
  </si>
  <si>
    <t>FlexOV device 20039993
Router FlexOVL LTE Merlin  20050955
Schakelinstall. 24kV ABB FCVV-DA O  26000736
Nettrafo 10kV  630kVA  DYN5 isol  26001150
Behuizing MSR medium 32000002
Afwerking metalen dl RAL6009 MSR medium 32000017
Montage van het rek 1000 kVA  32000025
OV-paneel voor LS-rek 1000 kVA  32000031
Montage OV-paneel voor LS-rek 1000 kVA 32000032
Zekeringen transformatorveld (910A)  32000040
Afwerking beton RAL 6009 MSR medium  32000079
LS-rek 1000 | 14 strk | 0 DIN00  32000097
Montage FlexOV dev. en router  32000100
Verhogingsplint 29cm 4-veld ABB install 20041843
Montage ABB plint onder RMU  32000300
Montage DA-kast type c bev.kast 2 relais 32000035
LS Meten Materiaal
Montage LS Meten/MSR Gateway 0.6 Pacto 32000311
Aansluitschema 1_1001</t>
  </si>
  <si>
    <t>&gt;MSR AKA M 630kVA FCVVV-DA 1000LS14R6009</t>
  </si>
  <si>
    <t>Vouwdoos 320x250x300mm</t>
  </si>
  <si>
    <t>FlexOV device 20039993
Router FlexOVL LTE Merlin  20050955
Schakelinst 10/20kV Siemens RRT-R  26000500
Nettrafo 10kV  630kVA  DYN5 isol 26001150
Behuizing MSR medium 32000002
Afwerking metalen dl RAL6009 MSR medium 32000017
Montage van het rek 1000 kVA  32000025
OV-paneel voor LS-rek 1000 kVA 32000031
Montage OV-paneel voor LS-rek 1000 kVA  32000032
Zekeringen transformatorveld (910A)  32000040
Afwerking beton RAL 6009 MSR medium  32000079
LS-rek 1000 | 14 strk | 0 DIN00  32000097
Montage FlexOV dev. en router  32000100
LS Meten materialen
Montage LS Meten/MSR Gateway 0.6 Pacto30  32000311
Aansluitschema 1_1001</t>
  </si>
  <si>
    <t>Vouwdoos 115x115x270mm</t>
  </si>
  <si>
    <t>FlexOV device 20039993
Router FlexOVL LTE Merlin 20050955
Schakelinst. 10/20KV Siemens RRT 8DJH 20050313
Nettrafo 10kV  250kVA  DYN5 isol 26001090
Behuizing MSR small 32000000
Afwerking metalen dl RAL6009 MSR small 32000016
Montage van het rek  630 kVA 32000024
OV-paneel voor LS-rek 630 kVA 32000029
Montage OV-paneel voor LS-rek 630 kVA 32000030
Zekeringen transformatorveld (910A) 32000040
Afwerking beton RAL 6009 MSR small 32000075
LS-rek  630 | 8 strk | 0 DIN00 32000092
Montage FlexOV dev. en router 32000100
LS Meten materialen
Montage LS Meten/MSR Gateway 0.6 Pacto25 32000310
Aansluitschema 1_1001</t>
  </si>
  <si>
    <t>Heteluchtpistool Bosch GHG18V-50      !K</t>
  </si>
  <si>
    <t>Heteluchtpistool Bosch GHG18V-50</t>
  </si>
  <si>
    <t>Persmachine Ridgid 350B Viega 4B/5B   !K</t>
  </si>
  <si>
    <t>Persmachine Ridgid RP 350-B + 18V 2.5A Advanced Lithium Batterij
 + 230V Advanced Lithium oplader + koffer + V 15-22-28mm bekken.
Bekken. Viega bekken (4b en 5b machine) zijn toepasbaar in
deze machine.</t>
  </si>
  <si>
    <t>&gt;Schakelinst. 10/20kV ABB CCV W2 O SVK</t>
  </si>
  <si>
    <t>MS installatie voor aansluiting AC5a en AC5b (2 last scheiders 1
vermogensschakelaar). Met SVK in beide kabelvelden, WIC 1-1 PE beve
iligingsrelais en W2 stroomtransformator op vermogensschakelaar. Voorzien van</t>
  </si>
  <si>
    <t>&gt;Schakelinst. 10/20kV ABB FCCVV A SVK</t>
  </si>
  <si>
    <t xml:space="preserve">F; L
(betreedbaar afblazing naar achter incl. arc-shields)
Kortsluitverklikkers aanwezig in alle C+V-velden.
</t>
  </si>
  <si>
    <t>&gt;Schakelinstall. 24kV ABB FCVC W4 O SVK</t>
  </si>
  <si>
    <t>F; L
(Afblazing naar onder)
Kortsluitverklikkers aanwezig in alle C+V-velden.</t>
  </si>
  <si>
    <t>26000642 26000666</t>
  </si>
  <si>
    <t>Onterecht opgevoerd voor Circet</t>
  </si>
  <si>
    <t>Delta: magazijn 3116 (Circet)</t>
  </si>
  <si>
    <t>0653978471 Collin Hakkaart</t>
  </si>
  <si>
    <t>0640700540 Tobesh Haideri</t>
  </si>
  <si>
    <t>0624553975 Rachid Kada</t>
  </si>
  <si>
    <t>0628101642 Nick Brouwer</t>
  </si>
  <si>
    <t>0623137171 Toby Brinkman</t>
  </si>
  <si>
    <t>0683201947 Alexander Aalders</t>
  </si>
  <si>
    <t>0657901195 Keith Kanis</t>
  </si>
  <si>
    <t>? Abdel</t>
  </si>
  <si>
    <t>? ?</t>
  </si>
  <si>
    <t>RvN: Kolom E toegevoegd met ASP relatie en oude laten vervallen adhv e-mail (13-2-2026) Mark Meilink</t>
  </si>
  <si>
    <t>RvN: op verzoek van Mark Meilink, e-mail 13-2-2026</t>
  </si>
  <si>
    <t>0651393865 Rudy van Beusekom</t>
  </si>
  <si>
    <t>Wolkammersstraat 3B, 8601 VB, Sneek</t>
  </si>
  <si>
    <t>Kanaal Zuid 114, 7332 BD Apeldoorn</t>
  </si>
  <si>
    <t>0618961945 Fouad el Jazouli</t>
  </si>
  <si>
    <t>P&amp;P</t>
  </si>
  <si>
    <t>Debiteurnummer</t>
  </si>
  <si>
    <t>Aan</t>
  </si>
  <si>
    <t>CC</t>
  </si>
  <si>
    <t>6-11-2025 Nooit antwoord gehad
13-02-2026: Update verkregen</t>
  </si>
  <si>
    <t>Dmissi Amsterdam</t>
  </si>
  <si>
    <t>Siers NuMeren</t>
  </si>
  <si>
    <t>Van Gelder</t>
  </si>
  <si>
    <t>Van Gelder Sneek</t>
  </si>
  <si>
    <t>Apeldoorn</t>
  </si>
  <si>
    <t>&gt;Bitsen set voor boormachine 10-dlg</t>
  </si>
  <si>
    <t>&gt;Aardklem geisol v strip 10mm aftak 25mm</t>
  </si>
  <si>
    <t>&gt;Lamp TL 36W 1500mm kleur 830/3000K</t>
  </si>
  <si>
    <t>&gt;Lamp TL 58W 1500mm kleur 840/4000K</t>
  </si>
  <si>
    <t>Flatkast uitbreidingskast 6R</t>
  </si>
  <si>
    <t>Flatkast 6R verticale uitvoering</t>
  </si>
  <si>
    <t>Flatkast 2R standaard uitvoering</t>
  </si>
  <si>
    <t>&gt;Bitsen set 7-dl Torx</t>
  </si>
  <si>
    <t>&gt;Mespatroonhouders (2)incl 6A mespatroon</t>
  </si>
  <si>
    <t>&gt;Lamp TL 36W 1200mm kleur 840/4000K</t>
  </si>
  <si>
    <t>Flatkast 2R slagvaste uitvoering</t>
  </si>
  <si>
    <t>MOLD G40/G65 100mbar DN50/DN80 INP REG</t>
  </si>
  <si>
    <t>MOLD G40/G65 100mbar DN50/DN80 KAST REG</t>
  </si>
  <si>
    <t>MOLD G40/G65 100mbar DN50/DN80 INP</t>
  </si>
  <si>
    <t>MOLD G40/G65 30/100mbar DN50/DN80 KAST</t>
  </si>
  <si>
    <t>MOLD G100 100mbar DN80/DN80 INP</t>
  </si>
  <si>
    <t>MOLD G100 100mbar DN80/DN80 KAST</t>
  </si>
  <si>
    <t>MOLD G100 100mbar DN80/DN80 INP REG</t>
  </si>
  <si>
    <t>MOLD G100 100mbar DN80/DN80 KAST REG</t>
  </si>
  <si>
    <t xml:space="preserve">Acculader 12V v accu schroef-/boormachine.
</t>
  </si>
  <si>
    <t>Flatkast 5R compacte uitvoering</t>
  </si>
  <si>
    <t>Flatkast 6R boven/onder invoer</t>
  </si>
  <si>
    <t>MSR gateway 0.8 systeemkast.</t>
  </si>
  <si>
    <t>Kabel koppelstuk v saneringsset GH</t>
  </si>
  <si>
    <t>Kabel koppelstuk voor saneringsset GH</t>
  </si>
  <si>
    <t>+Stekker+kabel 4x10mm2 L= 3m</t>
  </si>
  <si>
    <t>+Stekker+kabel 4x10mm2 L= 9m</t>
  </si>
  <si>
    <t>+Stekker+kabel 4x10mm2 L=12m</t>
  </si>
  <si>
    <t>+Stekker+kabel 4x10mm2 L=15m</t>
  </si>
  <si>
    <t>+Stekker+kabel 4x10mm2 L=18m</t>
  </si>
  <si>
    <t>+Stekker+kabel 4x10mm2 L= 6m</t>
  </si>
  <si>
    <t>+Huisaansluitkast 3x80A C-kar stekker</t>
  </si>
  <si>
    <t>+Huisaansluitkast 3x63A C-kar stekker</t>
  </si>
  <si>
    <t>+Huisaansluitkast 3x25A C-kar stekker</t>
  </si>
  <si>
    <t>+Huisaansluitkast 3x40A C-kar stekker</t>
  </si>
  <si>
    <t>+Huisaansluitkast 3x50A C-kar stekker</t>
  </si>
  <si>
    <t>+Huisaansluitkast 1x40A C-kar stekker</t>
  </si>
  <si>
    <t>+Huisaansluitkast 3x80A mesp. gG stekker</t>
  </si>
  <si>
    <t>Beugel v muurbevestiging staal</t>
  </si>
  <si>
    <t>Muurbeugel DEHN FRH 11-12 mm tot
betrekking van aardrail.</t>
  </si>
  <si>
    <t>Meterbord 220x350x50mm #CT</t>
  </si>
  <si>
    <t>Uitschuifbaar meterbord van Connectens.</t>
  </si>
  <si>
    <t>Voedingskabel 50cm FlexOV Merlin router</t>
  </si>
  <si>
    <t>FlexOV Powercable 50cm voor de Westermo Merlin router</t>
  </si>
  <si>
    <t>MSR GRÄPER GBU630S KKT 630kVA RL6009</t>
  </si>
  <si>
    <t>MSR GRÄPER GBU630S KKT 630kVA RL6009
FlexOV device 20039993
Router FlexOVL LTE Merlin 20050955
Magnefix MF KKT 26000140
Nettrafo 10kV  630kVA  DYN5 isol 26001150
Behuizing MSR small (GBU630s)
Afwerking metalen dl RAL6009 MSR small incl.
Montage van het rek  630 kVA 32000024
OV-paneel voor LS-rek 630 kVA 32000029
Montage OV-paneel voor LS-rek 630 kVA 32000030
Zekeringen transformatorveld (577A)  32000039
Afwerking beton RAL 6009 MSR small  incl.
LS-rek  630 | 8 strk | 0 DIN00 32000092
Montage FlexOV dev. en router 32000100
Materialen inkoop Alliander LS Meten (retrofit)
Montage LS Meten/MSR Gateway (retrofit, incl. deursensor en PT1000)
Aansluitschema 1_1021</t>
  </si>
  <si>
    <t>Verhogingsplint 29cm 3-veld ABB SF6-vrij</t>
  </si>
  <si>
    <t>20051074</t>
  </si>
  <si>
    <t>+Schakelinst. 24kV ABB CFCF SF6-vrij</t>
  </si>
  <si>
    <t>"ABB CFCF SF6 vrij
veldvolgorde C=Cable, F=Fuse,
Transformatorveld= beveilinging met patronen.
"</t>
  </si>
  <si>
    <t>Bitset impact 1/4” 40-dlg Torx + kruisk</t>
  </si>
  <si>
    <t>Bitset impact 1/4 inch 40-delig
voor Torx-, kruiskop-, Pozidriv- en zeskantschroeven.
40 stuks: 34 Impact bits
+ 1 slanke slagvaste magnetische bithouder met snelsluiting
+ 4 Impact Torsion Hex Head Magnetic Nut Drivers
+ 1 Impact Torsion Hex Drive Socket Adaptors
- Alle bits zijn gekleurd.
- TORX® bits zijn extra gekleurd om de grootte van de punt gemakkelijk
te herkennen.
- Torsion zone die draaimomentpieken absorbeert, waardoor vroegtijdige
slijtage wordt voorkomen en de levensduur wordt verlengd.
- Een zachtere bit is beter bestand tegen plotselinge slagen
(in harde materialen), waardoor de punt niet voortijdig breekt.
- Hoogwaardig gelegeerd staal
- Mangaanfosfaatafwerking
- 1/4" zeskantaandrijving DIN 3126 en ISO 1173, stijl C 6.3.
- 75 mm magnetische snelspanboorhouder met lock-in type systeem
(stijl E 6.).
- Bestendige kunststof behuizing, sterk en duurzaam voor een goede
bescherming van de bits.
- 180º vergrendelingsfunctie van de behuizing: deksel blijft op zijn
plaats, zelfs als het wordt gedraaid (GEPATENTEERD).
- Recessen aan de bovenkant en voetjes aan de behuizing maken
het mogelijk de set op te stapelen.
- Draaibare bithouders zorgen voor ruimteoptimalisatie en gemakkelijke
toegang tot de bits.
- Sticker meegeleverd in de set voor identificatie door de gebruiker.</t>
  </si>
  <si>
    <t>+Verhogingsplint 29cm 4-veld ABB SF6vrij</t>
  </si>
  <si>
    <t>ABB Safeplus-Air verhogingsplint voor 4-velden.</t>
  </si>
  <si>
    <t>20051083</t>
  </si>
  <si>
    <t>+Schakelinst 24kV ABB CCF-DA SF6-vrij</t>
  </si>
  <si>
    <t>ABB CCF-DA SF6 vrij
veldvolgorde C=Cable, F=Fuse,
Transformatorveld= beveilinging met patronen.</t>
  </si>
  <si>
    <t>Aftakklem Fe v aardstrip 30x2,5mm</t>
  </si>
  <si>
    <t>Railkoppelklem 30mm
Fabrikant : DEHN Nederland
Typenummer / modelnummer : FAK32x32</t>
  </si>
  <si>
    <t>Kaart “Storingsinformatie” (blok 50 vel)</t>
  </si>
  <si>
    <t>CA-0050 01.14 kaart storingsinformatie 01-14.indd 1
1 blok = 50 vel</t>
  </si>
  <si>
    <t>Kabelset v batterijkast Type B</t>
  </si>
  <si>
    <t>Kabelset voor batterijkast Type B</t>
  </si>
  <si>
    <t>20039090 20041319</t>
  </si>
  <si>
    <t>/Schakelinst. 10/20kV ABB FCCVV  O SVK</t>
  </si>
  <si>
    <t>Aanvraag ASP - P&amp;P Aanvulling April 2026</t>
  </si>
  <si>
    <t>Aanvraag ASP - P&amp;P Verbruik April 2026</t>
  </si>
  <si>
    <t>Vlinderklep EVFS DN50 PN16, geflensde uitvoering, handbediend.
Doorlaat: 50 mm
Huis: GGG
Zitting: NBR
Coating: EP-1 zwart
Bediening: handsteel
Drukklasse: PN16 (16 bar)</t>
  </si>
  <si>
    <t>&gt;Ls-rek v 1voed en 6 afg gr incl ov-klem</t>
  </si>
  <si>
    <t>+Zadel PE blsgt el-las 110x1.1/2"POLSAFE</t>
  </si>
  <si>
    <t>&gt;kWh-mtr 3L ADAM DT LDN-ODN Impuitg+klok</t>
  </si>
  <si>
    <t>Draaistroom 3-leider statische kWh-meter,
voor directe aansluiting,
3x230V,
50Hz,
10(80) A.
Telwerk: Bestaat uit:
2 registers voor LDN LT/HT
2 registers voor ODN LT/HT,
kWh registratie.
Volgens de algemene eisen NEN-EN-IEC 62053-21.
Volgens Gegevensuitwisseling voor meteraflezing,
NEN-EN-IEC 62056-21.
VOORZIEN VAN BARCODERING VOLGENS NUON SPECIFICATIES,
(“Apparaat identificatie en barcodebeleid,
Nuon_Monitoring” én “Aanvullende logistieke eisen,
m.b.t. document Apparaat identificatie,
en barcodebeleid Nuon_Monitoring”),
INCLUSIEF EXTRA AFNEEMBARE STICKER.
Af te leveren met gebruikers-instructiekaart,
voor de meteruitlezing. Voorzien van barcodering,
volgens Nuon specificaties,
inclusief extra afneembare sticker.</t>
  </si>
  <si>
    <t>&gt;kWh-AMR 1f 5(80)A CDMA DLMS SMR5.0 L+G</t>
  </si>
  <si>
    <t>&gt;kWh-AMR 3f 5(100)A CDMA DLMS SMR5.0 L+G</t>
  </si>
  <si>
    <t>&gt;G-Mtr AMR G25 SMR 5.0 Mbus RF Flonidan</t>
  </si>
  <si>
    <t>&gt;G-Mtr AMR G10 SMR 5.0 Mbus RF GWi</t>
  </si>
  <si>
    <t>&gt;G-Mtr AMR G16 SMR 5.0 Mbus RF GWi</t>
  </si>
  <si>
    <t>&gt;G-Mtr AMR G25 SMR 5.0 Mbus RF GWi</t>
  </si>
  <si>
    <t>&gt;G-mtr AMR G6 SMR5 Mbus RF Flonidan MKII</t>
  </si>
  <si>
    <t>&gt;G-mtr AMR G10 SMR5 Mbus RF FlonidanMKII</t>
  </si>
  <si>
    <t>&gt;G-mtr AMR G16 SMR5 Mbus RF FlonidanMKII</t>
  </si>
  <si>
    <t>&gt;kWh-AMR 1f 5(80)A LTE-M DLMS SMR 5.0</t>
  </si>
  <si>
    <t>&gt;kWh-AMR 3f 5(100)A LTE-M DLMS SMR 5.0</t>
  </si>
  <si>
    <t>&gt;G-Mtr AMR G25 SMR 5.0 Mbus RF Uniflo</t>
  </si>
  <si>
    <t>&gt;Connect (Slimme Meter Telecom Converter</t>
  </si>
  <si>
    <t>&gt;kWh-AMR 1f 5(80)A LTE-M DLMS SMR 5.0R</t>
  </si>
  <si>
    <t>&gt;kWh-AMR 3f 5(100)A LTE-M DLMS SMR 5.0R</t>
  </si>
  <si>
    <t>&gt;G-Mtr AMR SMR5Nxt wMbus Flonidan G4</t>
  </si>
  <si>
    <t>&gt;G-Mtr AMR SMR5Nxt wMbus Flonidan G6</t>
  </si>
  <si>
    <t>&gt;kWh-trad 3f 100A 400V LDN/ODN 1tarief</t>
  </si>
  <si>
    <t>Buis PE100 RC or/zw  75x6,8 SDR11rol100</t>
  </si>
  <si>
    <t>MSR GRA SML 630kVA RRT-R 630LS08 RAL6009</t>
  </si>
  <si>
    <t>MSR GRA MED 630kVA FCVC 1000LS14 RAL6009</t>
  </si>
  <si>
    <t>&gt;Kniptang HDPE t/m 64mm (geïsoleerd)</t>
  </si>
  <si>
    <t>MSR KEN TB1 630kVA KKT 1000LS07 RAL6009</t>
  </si>
  <si>
    <t>MSR KEN D10N 400kVA KKT 1000LS07 RAL6009</t>
  </si>
  <si>
    <t>MSR KEN TB1 400kVA KKT 1000LS07 RAL6009</t>
  </si>
  <si>
    <t>MSR KEN TB1 250kVA KKT 1000LS07 RAL6009</t>
  </si>
  <si>
    <t>MSR KEN GR2 630kVA KKT 1000LS07 RAL6009</t>
  </si>
  <si>
    <t>MSR KEN GR2 400kVA KKT 1000LS07 RAL6009</t>
  </si>
  <si>
    <t>MSR KEN GR2 250kVA KKT 1000LS07 RAL6009</t>
  </si>
  <si>
    <t>MSR KEN D10N 630kVA KKT 1000LS07 RAL7044</t>
  </si>
  <si>
    <t>MSR KEN D10N 630kVA KKT 1000LS07 RAL6009</t>
  </si>
  <si>
    <t>MSR KEN D10N 400kVA KKT 1000LS07 RAL7044</t>
  </si>
  <si>
    <t>MSR KEN D10N 250kVA KKT 1000LS07 RAL7044</t>
  </si>
  <si>
    <t>MSR KEN D10R 400kVA KKT 1000LS07 RAL7044</t>
  </si>
  <si>
    <t>MSR KEN D10R 630kVA KKT 1000LS07 RAL6009</t>
  </si>
  <si>
    <t>MSR GRA SML 400kVA B-RRT 630LS08 RAL6009</t>
  </si>
  <si>
    <t>MSR GRA SML 630kVA B-RRT 630LS08 RAL6009</t>
  </si>
  <si>
    <t>MSR GRA MED 630kVA BRRRT 1000LS14 RL6009</t>
  </si>
  <si>
    <t>+Schakelinst. 24kV ABB CCF SF6-vrij</t>
  </si>
  <si>
    <t>MSR GRA MED 630kVA RRT-R 1000LS14 RL6009</t>
  </si>
  <si>
    <t>MSR GRA SML 250kVA B-RRT 630LS08 RAL6009</t>
  </si>
  <si>
    <t>Steker hks isolatiestop 16-240 TE 3ST</t>
  </si>
  <si>
    <t>Set van 3 isolatiestoppen, geschikt voor haakse stekers voor 16 t/m
240 mm²</t>
  </si>
  <si>
    <t>Vloerframe voor 3-velds ABB Safeplus Air</t>
  </si>
  <si>
    <t>Vloerframe t.b.v. Nieuwe ABB Safeplus Air  SF6 vrij installatie.</t>
  </si>
  <si>
    <t>Kniptang CTPE t/m 63mm (geïsoleerd)</t>
  </si>
  <si>
    <t>Kniptang t/m 63mm (geïsoleerd) Franse schaar CTPE3</t>
  </si>
  <si>
    <t>Buispatroon 20/10kV patroon 45A le=442mm</t>
  </si>
  <si>
    <t xml:space="preserve">Buispatroon 45 A geschikt voor 10 en 20kV lengte 442 mm.
CooperBussman "F" range Current limiting Full Range
Artikelnummer 24FFMSJ45
Typenummer / modelnummer 24FFMSJ45 45A 24kV
</t>
  </si>
  <si>
    <t>Router FlexOVL LTE-M Merlin</t>
  </si>
  <si>
    <t>De router wordt door Westermo afgeleverd inclusief gemonteerde beugel,
voedingsconnector en simkaart (deze zit al in de router). Dit is samen 1
artikelnummer. De simkaart, voedingsconnector en beugel hoeft Logistiek
niet apart te registreren. De router wordt geleverd excl. antenne en
voedingsbekabeling.</t>
  </si>
  <si>
    <t>Kaart A5 Afspraak maken Liander (50vel)</t>
  </si>
  <si>
    <t>Kaart A5 Afspraak maken Liander (blok a 50 vel).</t>
  </si>
  <si>
    <t>Buispatroon 20/10kV 50A le=442mm Back-up</t>
  </si>
  <si>
    <t xml:space="preserve">Buispatroon 50 A geschikt voor 10 en 20kV lengte 442 mm.
SIBA HDD-Back-up
Artikelnummer 3001413.50
Artikel van Egmond 382979
</t>
  </si>
  <si>
    <t>Zadel PE el-las 110x1.1/2" POLSAFE GF</t>
  </si>
  <si>
    <t>Aanboorzadel elektrolas toepasbaar als blaasgatzadel 110mm x 1½" polsafe
materiaal: PE100 SDR11, toepassing voor PE. Geschikt voor blazen zetten
(LD). Compleet met onderhuis.</t>
  </si>
  <si>
    <t>Buispatroon 20/10kV 50A le=442mm FR</t>
  </si>
  <si>
    <t>Buispatroon 50 A geschikt voor 10 en 20kV lengte 442 mm.
SIBA HHD-FR Full Range
Artikelnummer 3001403.50
Artikel van Egmond 3391269</t>
  </si>
  <si>
    <t>Steker hks isolatiestop 400-800 TE 3ST</t>
  </si>
  <si>
    <t>Set van 3 isolatiestoppen, geschikt voor haakse stekers voor 400 t/m
800 mm²</t>
  </si>
  <si>
    <t>Krijtverf / krijtspray</t>
  </si>
  <si>
    <t>Zeer opvallende markeringsverf (oranje) op basis van kalk
Milieuvriendelijk, uiterst geschikt voor golfbanen, asfalt, beton,
tuin-/ landbouw en evenementen (beurs, wedstrijd, kermis, calamiteit,
etc.)
Incl. veiligheidskap.
Levensduur is enkele dagen tot weken, hangt af van laagdikte, weer,
belasting en ondergrond.
Voor metaal, beton, asfalt, steen, hout, metselwerk, gras, etc.
Eenvoudig te verwijderen met water en zeep.</t>
  </si>
  <si>
    <t>Kniptang CTPE2 t/m 42mm (geïsoleerd)</t>
  </si>
  <si>
    <t>Kniptang t/m 42mm (geïsoleerd) Franse schaar CTPE2</t>
  </si>
  <si>
    <t>Bodemplaat 3-velds v ABB Safeplus Air</t>
  </si>
  <si>
    <t>Bodemplaat ABB SafePlus-Air 3-velds</t>
  </si>
  <si>
    <t>Hoekstrip v vloerframe ABB Safeplus Air</t>
  </si>
  <si>
    <t>Hoekstrip set van 2x (links + rechts)  t.b.v. vloerframe ABB Safeplus
Air.</t>
  </si>
  <si>
    <t xml:space="preserve">MS installatie zowel toepasbaar in 10kV als 20kV netten.
(1 patroon/lastscheider, 2 lastscheider, 2 vermogensschakelaars).
Met WIC 1-1 PE beveiligingsrelais en W4 stroomtransformator op
vermogensschakelaars.
Voorzien van C-conus op alle velden.
Afblaas naar onder. Kortsluitverklikkers aanwezig in alle C+V-velden.
</t>
  </si>
  <si>
    <t>&gt;Schakelinst. 24kV ABB FCVV 2xW4 A SVK</t>
  </si>
  <si>
    <t>&gt;Schakelinst. 24kV ABB FCVV 2xW4 O SVK</t>
  </si>
  <si>
    <t>&gt;Schakelinst. 24kV ABB FCVVF 2xW4 A SVK</t>
  </si>
  <si>
    <t>&gt;Schakelinst. 24kV ABB FCVVF 2xW4 O SVK</t>
  </si>
  <si>
    <t>&gt;Schakelinst. 24kV ABB FCVVV 3xW4 A SVK</t>
  </si>
  <si>
    <t>&gt;Schakelinst. 24kV ABB FCVVV 3xW4 O SVK</t>
  </si>
  <si>
    <t>&gt;Schakelinst. 24kV ABB FVCCC W4 A SVK</t>
  </si>
  <si>
    <t xml:space="preserve">F; C
(betreedbaar afblazing naar achter incl. arc-shields)
Kortsluitverklikkers aanwezig in alle C+V-velden.
</t>
  </si>
  <si>
    <t>&gt;Schakelinst. 24kV ABB FVCCC W4 O SVK</t>
  </si>
  <si>
    <t xml:space="preserve">F; C
(Afblazing naar onder)
Kortsluitverklikkers aanwezig in alle C+V-velden.
</t>
  </si>
  <si>
    <t>&gt;Schakelinstall. 24kV ABB CCCFF A SVK</t>
  </si>
  <si>
    <t>&gt;Schakelinstall. 24kV ABB CCCFF O SVK</t>
  </si>
  <si>
    <t>&gt;Schakelinstall. 24kV ABB CCV W4 A SVK</t>
  </si>
  <si>
    <t xml:space="preserve">L; L
(betreedbaar afblazing naar achter incl. arc-shields)
Kortsluitverklikkers aanwezig in alle C+V-velden.
</t>
  </si>
  <si>
    <t>&gt;Schakelinstall. 24kV ABB CCV W4 O SVK</t>
  </si>
  <si>
    <t xml:space="preserve">L; L
(Afblazing naar onder)
Kortsluitverklikkers aanwezig in alle C+V-velden.
</t>
  </si>
  <si>
    <t>&gt;Schakelinstall. 24kV ABB CVF A SVK</t>
  </si>
  <si>
    <t>&gt;Schakelinstall. 24kV ABB CVF O SVK</t>
  </si>
  <si>
    <t>&gt;Schakelinstall. 24kV ABB FCC A SVK</t>
  </si>
  <si>
    <t>&gt;Schakelinstall. 24kV ABB FCCC A SVK</t>
  </si>
  <si>
    <t>F; L
(betreedbaar
Afblazing naar achter incl. arc-shields)
Kortsluitverklikkers aanwezig in alle C+V-velden.</t>
  </si>
  <si>
    <t>&gt;Schakelinstall. 24kV ABB FCCC O SVK</t>
  </si>
  <si>
    <t>&gt;Schakelinstall. 24kV ABB FCCF A SVK</t>
  </si>
  <si>
    <t>&gt;Schakelinstall. 24kV ABB FCCF O SVK</t>
  </si>
  <si>
    <t>&gt;Schakelinstall. 24kV ABB FCV W4 A SVK</t>
  </si>
  <si>
    <t>&gt;Schakelinstall. 24kV ABB FCV W4 O SVK</t>
  </si>
  <si>
    <t>&gt;Schakelinstall. 24kV ABB FVCC W4 A SVK</t>
  </si>
  <si>
    <t>F; C
(betreedbaar
Afblazing naar achter
incl. arc-shields)
Kortsluitverklikkers aanwezig in alle C+V-velden.</t>
  </si>
  <si>
    <t>&gt;Schakelinstall. 24kV ABB FVCC W4 O SVK</t>
  </si>
  <si>
    <t>F; C
(Afblazing naar onder)
Kortsluitverklikkers aanwezig in alle C+V-velden.</t>
  </si>
  <si>
    <t>&gt;Schakelinstall. 24kV ABB VVF A SVK</t>
  </si>
  <si>
    <t>C; C
(betreedbaar
Afblazing naar achter
incl. arc-shields)
Kortsluitverklikkers aanwezig in alle C+V-velden.</t>
  </si>
  <si>
    <t>&gt;Schakelinstall. 24kV ABB VVF O SVK</t>
  </si>
  <si>
    <t>C; C
(Afblazing naar onder)
Kortsluitverklikkers aanwezig in alle C+V-velden.</t>
  </si>
  <si>
    <t>&gt;Schakelinst 10kV ABB CCVm-DA ZOL 135/5O</t>
  </si>
  <si>
    <t xml:space="preserve">L; L
 630A IAC-AFL 16kA
(Afblazing naar onder)
</t>
  </si>
  <si>
    <t>&gt;Schakelinstall. 24kV ABB FCCC-DA O</t>
  </si>
  <si>
    <t>&gt;Schakelinstall. 24kV ABB FCCC-DA A</t>
  </si>
  <si>
    <t>&gt;Schakelinstall. 24kV ABB FCC-DA O</t>
  </si>
  <si>
    <t>&gt;Schakelinstall. 24kV ABB FCC-DA A</t>
  </si>
  <si>
    <t>&gt;Schakelinstall. 24kV ABB FCV-DA O</t>
  </si>
  <si>
    <t>&gt;Schakelinstall. 24kV ABB FCV-DA A</t>
  </si>
  <si>
    <t>&gt;Schakelinstall. 24kV ABB FCVV-DA O</t>
  </si>
  <si>
    <t>&gt;Schakelinstall. 24kV ABB FCVV-DA A</t>
  </si>
  <si>
    <t>&gt;Schakelinstall. 24kV ABB FCVVF-DA O</t>
  </si>
  <si>
    <t xml:space="preserve">F; L
(Afblazing naar onder)
</t>
  </si>
  <si>
    <t>&gt;Schakelinstall. 24kV ABB FCVVF-DA A</t>
  </si>
  <si>
    <t xml:space="preserve">F; L
(betreedbaar
Afblazing naar achter
incl. arc-shields)
</t>
  </si>
  <si>
    <t>&gt;Schakelinstall. 24kV ABB FCVVV-DA O</t>
  </si>
  <si>
    <t>&gt;Schakelinstall. 24kV ABB FCVVV-DA A</t>
  </si>
  <si>
    <t>&gt;Schakelinstall. 24kV ABB VCVVV-DA O</t>
  </si>
  <si>
    <t>&gt;Schakelinstall. 24kV ABB VCVVV-DA A</t>
  </si>
  <si>
    <t>&gt;Schakelinstall. 24kV ABB VVVV-DA A</t>
  </si>
  <si>
    <t>N.T.B.5VELDS VOLGT</t>
  </si>
  <si>
    <t>Van Den Heuvel</t>
  </si>
  <si>
    <t>Pol infratechniek BV i.o.v Dmissi</t>
  </si>
  <si>
    <t>Alsema Hallum</t>
  </si>
  <si>
    <t>DE/MB Nu Rijnland</t>
  </si>
  <si>
    <t>ASP VDH NuMeren</t>
  </si>
  <si>
    <t>Alsema Quatrebras</t>
  </si>
  <si>
    <t>Circet Amersfoort</t>
  </si>
  <si>
    <t>Overzicht magazijngegevens SAP 3--- magazijnen - 250326</t>
  </si>
  <si>
    <t>Overzicht magazijngegevens SAP 3--- magazijnen - 250327</t>
  </si>
  <si>
    <t>Overzicht magazijngegevens SAP 3--- magazijnen - 250328</t>
  </si>
  <si>
    <t>0628954298 Wahhad Ahmed</t>
  </si>
  <si>
    <t xml:space="preserve">0643447720 Lukas Roskam </t>
  </si>
  <si>
    <t xml:space="preserve">0657707962 Tonnie Bonder </t>
  </si>
  <si>
    <t xml:space="preserve">0610908356 Emre Aydin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</si>
</sst>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dd/mm/yyyy"/>
  </numFmts>
  <fonts count="22" x14ac:knownFonts="1">
    <font>
      <sz val="11"/>
      <color theme="1"/>
      <name val="Calibri"/>
      <family val="2"/>
      <scheme val="minor"/>
    </font>
    <font>
      <b/>
      <sz val="11"/>
      <color theme="1"/>
      <name val="Calibri"/>
      <family val="2"/>
      <scheme val="minor"/>
    </font>
    <font>
      <b/>
      <sz val="14"/>
      <color theme="1"/>
      <name val="Calibri"/>
      <family val="2"/>
      <scheme val="minor"/>
    </font>
    <font>
      <i/>
      <sz val="11"/>
      <color theme="1"/>
      <name val="Calibri"/>
      <family val="2"/>
      <scheme val="minor"/>
    </font>
    <font>
      <sz val="10"/>
      <name val="Arial"/>
      <family val="2"/>
    </font>
    <font>
      <b/>
      <sz val="11"/>
      <color rgb="FF000000"/>
      <name val="Calibri"/>
      <family val="2"/>
      <scheme val="minor"/>
    </font>
    <font>
      <sz val="11"/>
      <color rgb="FF000000"/>
      <name val="Calibri"/>
      <family val="2"/>
      <scheme val="minor"/>
    </font>
    <font>
      <sz val="10"/>
      <color theme="1"/>
      <name val="Tahoma"/>
      <family val="2"/>
    </font>
    <font>
      <b/>
      <sz val="10"/>
      <color theme="1"/>
      <name val="Calibri"/>
      <family val="2"/>
      <scheme val="minor"/>
    </font>
    <font>
      <sz val="11"/>
      <color rgb="FFFF0000"/>
      <name val="Calibri"/>
      <family val="2"/>
      <scheme val="minor"/>
    </font>
    <font>
      <b/>
      <sz val="11"/>
      <color rgb="FFFF0000"/>
      <name val="Calibri"/>
      <family val="2"/>
      <scheme val="minor"/>
    </font>
    <font>
      <sz val="10"/>
      <name val="Arial"/>
      <family val="2"/>
    </font>
    <font>
      <sz val="11"/>
      <name val="Calibri"/>
      <family val="2"/>
      <scheme val="minor"/>
    </font>
    <font>
      <strike/>
      <sz val="11"/>
      <color theme="1"/>
      <name val="Calibri"/>
      <family val="2"/>
      <scheme val="minor"/>
    </font>
    <font>
      <b/>
      <sz val="11"/>
      <name val="Calibri"/>
      <family val="2"/>
      <scheme val="minor"/>
    </font>
    <font>
      <sz val="8"/>
      <name val="Calibri"/>
      <family val="2"/>
      <scheme val="minor"/>
    </font>
    <font>
      <sz val="11"/>
      <color rgb="FF000000"/>
      <name val="Calibri"/>
      <family val="2"/>
    </font>
    <font>
      <sz val="9"/>
      <color indexed="81"/>
      <name val="Tahoma"/>
      <family val="2"/>
    </font>
    <font>
      <b/>
      <sz val="9"/>
      <color indexed="81"/>
      <name val="Tahoma"/>
      <family val="2"/>
    </font>
    <font>
      <b/>
      <sz val="8"/>
      <color rgb="FFFFFFFF"/>
      <name val="Arial"/>
      <family val="2"/>
    </font>
    <font>
      <sz val="8"/>
      <color rgb="FF333333"/>
      <name val="Arial"/>
      <family val="2"/>
    </font>
    <font>
      <sz val="11"/>
      <color rgb="FF242424"/>
      <name val="Segoe UI"/>
      <family val="2"/>
    </font>
  </fonts>
  <fills count="21">
    <fill>
      <patternFill patternType="none"/>
    </fill>
    <fill>
      <patternFill patternType="gray125"/>
    </fill>
    <fill>
      <patternFill patternType="solid">
        <fgColor theme="0" tint="-0.249977111117893"/>
        <bgColor indexed="64"/>
      </patternFill>
    </fill>
    <fill>
      <patternFill patternType="solid">
        <fgColor theme="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FFFFF"/>
        <bgColor rgb="FFFFFFFF"/>
      </patternFill>
    </fill>
    <fill>
      <patternFill patternType="solid">
        <fgColor rgb="FF008CBE"/>
        <bgColor rgb="FFFFFFFF"/>
      </patternFill>
    </fill>
    <fill>
      <patternFill patternType="solid">
        <fgColor rgb="FF92D050"/>
        <bgColor indexed="64"/>
      </patternFill>
    </fill>
    <fill>
      <patternFill patternType="solid">
        <fgColor rgb="FF00B0F0"/>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1"/>
        <bgColor indexed="64"/>
      </patternFill>
    </fill>
    <fill>
      <patternFill patternType="solid">
        <fgColor rgb="FFFFC000"/>
        <bgColor indexed="64"/>
      </patternFill>
    </fill>
    <fill>
      <patternFill patternType="solid">
        <fgColor theme="6"/>
        <bgColor indexed="64"/>
      </patternFill>
    </fill>
  </fills>
  <borders count="2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3877A6"/>
      </left>
      <right style="thin">
        <color rgb="FF3877A6"/>
      </right>
      <top style="thin">
        <color rgb="FF3877A6"/>
      </top>
      <bottom style="thin">
        <color rgb="FFA5A5B1"/>
      </bottom>
      <diagonal/>
    </border>
    <border>
      <left style="thin">
        <color rgb="FFEBEBEB"/>
      </left>
      <right style="thin">
        <color rgb="FFEBEBEB"/>
      </right>
      <top style="thin">
        <color rgb="FFEBEBEB"/>
      </top>
      <bottom style="thin">
        <color rgb="FFEBEBEB"/>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0" borderId="0"/>
    <xf numFmtId="0" fontId="11" fillId="0" borderId="0"/>
  </cellStyleXfs>
  <cellXfs count="109">
    <xf numFmtId="0" fontId="0" fillId="0" borderId="0" xfId="0"/>
    <xf numFmtId="0" fontId="1" fillId="0" borderId="0" xfId="0" applyFont="1"/>
    <xf numFmtId="0" fontId="5" fillId="0" borderId="0" xfId="0" applyFont="1" applyAlignment="1">
      <alignment vertical="center" wrapText="1"/>
    </xf>
    <xf numFmtId="164" fontId="3" fillId="0" borderId="0" xfId="0" applyNumberFormat="1" applyFont="1"/>
    <xf numFmtId="0" fontId="8" fillId="0" borderId="0" xfId="0" applyFont="1"/>
    <xf numFmtId="0" fontId="8" fillId="0" borderId="0" xfId="0" applyFont="1" applyAlignment="1">
      <alignment wrapText="1"/>
    </xf>
    <xf numFmtId="0" fontId="0" fillId="3" borderId="2" xfId="0" applyFill="1" applyBorder="1"/>
    <xf numFmtId="0" fontId="0" fillId="4" borderId="0" xfId="0" applyFill="1"/>
    <xf numFmtId="0" fontId="0" fillId="0" borderId="0" xfId="0" applyAlignment="1">
      <alignment horizontal="right"/>
    </xf>
    <xf numFmtId="0" fontId="0" fillId="5" borderId="1" xfId="0" applyFill="1" applyBorder="1"/>
    <xf numFmtId="0" fontId="0" fillId="5" borderId="2" xfId="0" applyFill="1" applyBorder="1"/>
    <xf numFmtId="0" fontId="0" fillId="5" borderId="3" xfId="0" applyFill="1" applyBorder="1"/>
    <xf numFmtId="0" fontId="0" fillId="0" borderId="0" xfId="0" applyAlignment="1">
      <alignment horizontal="center"/>
    </xf>
    <xf numFmtId="0" fontId="0" fillId="8" borderId="0" xfId="0" applyFill="1"/>
    <xf numFmtId="0" fontId="8" fillId="8" borderId="0" xfId="0" applyFont="1" applyFill="1" applyAlignment="1">
      <alignment wrapText="1"/>
    </xf>
    <xf numFmtId="0" fontId="1" fillId="8" borderId="0" xfId="0" applyFont="1" applyFill="1"/>
    <xf numFmtId="0" fontId="0" fillId="9" borderId="0" xfId="0" applyFill="1"/>
    <xf numFmtId="0" fontId="8" fillId="9" borderId="0" xfId="0" applyFont="1" applyFill="1"/>
    <xf numFmtId="0" fontId="9" fillId="0" borderId="0" xfId="0" applyFont="1"/>
    <xf numFmtId="0" fontId="0" fillId="10" borderId="0" xfId="0" applyFill="1"/>
    <xf numFmtId="0" fontId="0" fillId="11" borderId="0" xfId="0" applyFill="1"/>
    <xf numFmtId="0" fontId="8" fillId="11" borderId="0" xfId="0" applyFont="1" applyFill="1"/>
    <xf numFmtId="0" fontId="8" fillId="11" borderId="0" xfId="0" applyFont="1" applyFill="1" applyAlignment="1">
      <alignment wrapText="1"/>
    </xf>
    <xf numFmtId="0" fontId="1" fillId="11" borderId="0" xfId="0" applyFont="1" applyFill="1"/>
    <xf numFmtId="49" fontId="8" fillId="11" borderId="0" xfId="0" applyNumberFormat="1" applyFont="1" applyFill="1"/>
    <xf numFmtId="49" fontId="0" fillId="4" borderId="0" xfId="0" applyNumberFormat="1" applyFill="1"/>
    <xf numFmtId="0" fontId="0" fillId="4" borderId="0" xfId="0" applyFill="1" applyAlignment="1">
      <alignment horizontal="center"/>
    </xf>
    <xf numFmtId="0" fontId="0" fillId="0" borderId="0" xfId="0" applyAlignment="1">
      <alignment horizontal="left"/>
    </xf>
    <xf numFmtId="0" fontId="8" fillId="9" borderId="0" xfId="0" applyFont="1" applyFill="1" applyAlignment="1">
      <alignment wrapText="1"/>
    </xf>
    <xf numFmtId="0" fontId="10" fillId="0" borderId="0" xfId="0" applyFont="1" applyAlignment="1">
      <alignment vertical="center" wrapText="1"/>
    </xf>
    <xf numFmtId="14" fontId="0" fillId="0" borderId="0" xfId="0" applyNumberFormat="1"/>
    <xf numFmtId="0" fontId="0" fillId="13" borderId="0" xfId="0" applyFill="1"/>
    <xf numFmtId="0" fontId="13" fillId="0" borderId="0" xfId="0" applyFont="1"/>
    <xf numFmtId="0" fontId="0" fillId="10" borderId="23" xfId="0" applyFill="1" applyBorder="1"/>
    <xf numFmtId="0" fontId="12" fillId="0" borderId="0" xfId="0" applyFont="1"/>
    <xf numFmtId="0" fontId="14" fillId="0" borderId="0" xfId="0" applyFont="1"/>
    <xf numFmtId="0" fontId="0" fillId="17" borderId="15" xfId="0" applyFill="1" applyBorder="1"/>
    <xf numFmtId="0" fontId="0" fillId="17" borderId="16" xfId="0" applyFill="1" applyBorder="1"/>
    <xf numFmtId="0" fontId="0" fillId="17" borderId="17" xfId="0" applyFill="1" applyBorder="1"/>
    <xf numFmtId="0" fontId="0" fillId="17" borderId="18" xfId="0" applyFill="1" applyBorder="1"/>
    <xf numFmtId="0" fontId="0" fillId="17" borderId="0" xfId="0" applyFill="1"/>
    <xf numFmtId="0" fontId="0" fillId="17" borderId="19" xfId="0" applyFill="1" applyBorder="1"/>
    <xf numFmtId="0" fontId="9" fillId="17" borderId="20" xfId="0" applyFont="1" applyFill="1" applyBorder="1"/>
    <xf numFmtId="0" fontId="9" fillId="17" borderId="21" xfId="0" applyFont="1" applyFill="1" applyBorder="1"/>
    <xf numFmtId="0" fontId="9" fillId="17" borderId="22" xfId="0" applyFont="1" applyFill="1" applyBorder="1"/>
    <xf numFmtId="0" fontId="0" fillId="17" borderId="18" xfId="0" quotePrefix="1" applyFill="1" applyBorder="1"/>
    <xf numFmtId="0" fontId="0" fillId="5" borderId="4" xfId="0" applyFill="1" applyBorder="1" applyAlignment="1">
      <alignment horizontal="center"/>
    </xf>
    <xf numFmtId="0" fontId="0" fillId="18" borderId="0" xfId="0" applyFill="1"/>
    <xf numFmtId="14" fontId="0" fillId="19" borderId="0" xfId="0" applyNumberFormat="1" applyFill="1"/>
    <xf numFmtId="0" fontId="0" fillId="19" borderId="0" xfId="0" applyFill="1"/>
    <xf numFmtId="0" fontId="0" fillId="2" borderId="0" xfId="0" applyFill="1"/>
    <xf numFmtId="49" fontId="0" fillId="10" borderId="0" xfId="0" applyNumberFormat="1" applyFill="1" applyAlignment="1">
      <alignment horizontal="center"/>
    </xf>
    <xf numFmtId="14" fontId="0" fillId="10" borderId="23" xfId="0" applyNumberFormat="1" applyFill="1" applyBorder="1"/>
    <xf numFmtId="14" fontId="12" fillId="0" borderId="0" xfId="0" applyNumberFormat="1" applyFont="1"/>
    <xf numFmtId="0" fontId="0" fillId="19" borderId="0" xfId="0" applyFill="1" applyAlignment="1">
      <alignment horizontal="left"/>
    </xf>
    <xf numFmtId="14" fontId="0" fillId="10" borderId="0" xfId="0" applyNumberFormat="1" applyFill="1"/>
    <xf numFmtId="0" fontId="0" fillId="0" borderId="0" xfId="0" applyAlignment="1">
      <alignment vertical="top"/>
    </xf>
    <xf numFmtId="0" fontId="0" fillId="15" borderId="0" xfId="0" applyFill="1" applyAlignment="1">
      <alignment vertical="top"/>
    </xf>
    <xf numFmtId="0" fontId="0" fillId="20" borderId="0" xfId="0" applyFill="1" applyAlignment="1">
      <alignment vertical="top"/>
    </xf>
    <xf numFmtId="0" fontId="0" fillId="12" borderId="0" xfId="0" applyFill="1" applyAlignment="1">
      <alignment vertical="top"/>
    </xf>
    <xf numFmtId="0" fontId="0" fillId="13" borderId="0" xfId="0" applyFill="1" applyAlignment="1">
      <alignment vertical="top"/>
    </xf>
    <xf numFmtId="165" fontId="0" fillId="0" borderId="0" xfId="0" applyNumberFormat="1" applyAlignment="1">
      <alignment horizontal="left" vertical="top"/>
    </xf>
    <xf numFmtId="0" fontId="0" fillId="0" borderId="0" xfId="0" applyAlignment="1">
      <alignment vertical="top" wrapText="1"/>
    </xf>
    <xf numFmtId="0" fontId="0" fillId="16" borderId="0" xfId="0" applyFill="1" applyAlignment="1">
      <alignment vertical="top"/>
    </xf>
    <xf numFmtId="0" fontId="6" fillId="12" borderId="0" xfId="0" applyFont="1" applyFill="1" applyAlignment="1">
      <alignment vertical="top" wrapText="1"/>
    </xf>
    <xf numFmtId="0" fontId="6" fillId="12" borderId="0" xfId="0" applyFont="1" applyFill="1" applyAlignment="1">
      <alignment vertical="top"/>
    </xf>
    <xf numFmtId="0" fontId="0" fillId="12" borderId="0" xfId="0" applyFill="1" applyAlignment="1">
      <alignment vertical="top" wrapText="1"/>
    </xf>
    <xf numFmtId="0" fontId="0" fillId="10" borderId="23" xfId="0" applyFill="1" applyBorder="1" applyAlignment="1">
      <alignment horizontal="center"/>
    </xf>
    <xf numFmtId="49" fontId="0" fillId="4" borderId="0" xfId="0" quotePrefix="1" applyNumberFormat="1" applyFill="1"/>
    <xf numFmtId="0" fontId="0" fillId="0" borderId="0" xfId="0" applyAlignment="1">
      <alignment horizontal="right" vertical="top"/>
    </xf>
    <xf numFmtId="0" fontId="0" fillId="13" borderId="0" xfId="0" applyFill="1" applyAlignment="1">
      <alignment horizontal="right" vertical="top"/>
    </xf>
    <xf numFmtId="165" fontId="1" fillId="0" borderId="0" xfId="0" applyNumberFormat="1" applyFont="1" applyAlignment="1">
      <alignment horizontal="left" vertical="top"/>
    </xf>
    <xf numFmtId="0" fontId="1" fillId="5" borderId="0" xfId="0" applyFont="1" applyFill="1" applyAlignment="1">
      <alignment vertical="top"/>
    </xf>
    <xf numFmtId="0" fontId="1" fillId="0" borderId="0" xfId="0" applyFont="1" applyAlignment="1">
      <alignment vertical="top"/>
    </xf>
    <xf numFmtId="0" fontId="1" fillId="14" borderId="0" xfId="0" applyFont="1" applyFill="1" applyAlignment="1">
      <alignment vertical="top"/>
    </xf>
    <xf numFmtId="0" fontId="1" fillId="15" borderId="0" xfId="0" applyFont="1" applyFill="1" applyAlignment="1">
      <alignment vertical="top"/>
    </xf>
    <xf numFmtId="0" fontId="1" fillId="20" borderId="0" xfId="0" applyFont="1" applyFill="1" applyAlignment="1">
      <alignment vertical="top"/>
    </xf>
    <xf numFmtId="0" fontId="1" fillId="0" borderId="0" xfId="0" applyFont="1" applyAlignment="1">
      <alignment vertical="top" wrapText="1"/>
    </xf>
    <xf numFmtId="49" fontId="19" fillId="7" borderId="13" xfId="0" applyNumberFormat="1" applyFont="1" applyFill="1" applyBorder="1" applyAlignment="1">
      <alignment horizontal="left"/>
    </xf>
    <xf numFmtId="0" fontId="20" fillId="6" borderId="0" xfId="0" applyFont="1" applyFill="1" applyAlignment="1">
      <alignment horizontal="left"/>
    </xf>
    <xf numFmtId="49" fontId="20" fillId="6" borderId="14" xfId="0" applyNumberFormat="1" applyFont="1" applyFill="1" applyBorder="1" applyAlignment="1">
      <alignment horizontal="left"/>
    </xf>
    <xf numFmtId="0" fontId="20" fillId="6" borderId="14" xfId="0" applyFont="1" applyFill="1" applyBorder="1" applyAlignment="1">
      <alignment horizontal="left"/>
    </xf>
    <xf numFmtId="0" fontId="20" fillId="6" borderId="14" xfId="0" applyFont="1" applyFill="1" applyBorder="1" applyAlignment="1">
      <alignment horizontal="left" wrapText="1"/>
    </xf>
    <xf numFmtId="0" fontId="4" fillId="0" borderId="0" xfId="2" applyFont="1" applyAlignment="1">
      <alignment horizontal="center" vertical="top"/>
    </xf>
    <xf numFmtId="0" fontId="4" fillId="0" borderId="0" xfId="1" applyAlignment="1">
      <alignment horizontal="center"/>
    </xf>
    <xf numFmtId="0" fontId="11" fillId="0" borderId="0" xfId="2" applyAlignment="1">
      <alignment horizontal="center" vertical="top"/>
    </xf>
    <xf numFmtId="0" fontId="4" fillId="19" borderId="0" xfId="1" applyFill="1" applyAlignment="1">
      <alignment horizontal="center" vertical="top"/>
    </xf>
    <xf numFmtId="0" fontId="11" fillId="0" borderId="0" xfId="2" applyAlignment="1">
      <alignment horizontal="center"/>
    </xf>
    <xf numFmtId="0" fontId="4" fillId="0" borderId="0" xfId="1" applyAlignment="1">
      <alignment horizontal="center" vertical="top"/>
    </xf>
    <xf numFmtId="0" fontId="12" fillId="0" borderId="0" xfId="0" applyFont="1" applyAlignment="1">
      <alignment horizontal="center"/>
    </xf>
    <xf numFmtId="0" fontId="12" fillId="0" borderId="0" xfId="0" applyFont="1" applyAlignment="1">
      <alignment horizontal="center" vertical="center"/>
    </xf>
    <xf numFmtId="0" fontId="16" fillId="0" borderId="0" xfId="0" applyFont="1" applyAlignment="1">
      <alignment horizontal="center" vertical="center"/>
    </xf>
    <xf numFmtId="0" fontId="0" fillId="0" borderId="0" xfId="0" quotePrefix="1" applyAlignment="1">
      <alignment horizontal="center"/>
    </xf>
    <xf numFmtId="0" fontId="0" fillId="0" borderId="0" xfId="0" applyAlignment="1">
      <alignment horizontal="center" vertical="top"/>
    </xf>
    <xf numFmtId="0" fontId="21" fillId="0" borderId="0" xfId="0" applyFont="1"/>
    <xf numFmtId="0" fontId="0" fillId="4" borderId="5" xfId="0" applyFill="1" applyBorder="1" applyAlignment="1">
      <alignment horizontal="left" vertical="top" wrapText="1"/>
    </xf>
    <xf numFmtId="0" fontId="0" fillId="4" borderId="6" xfId="0" applyFill="1" applyBorder="1" applyAlignment="1">
      <alignment horizontal="left" vertical="top" wrapText="1"/>
    </xf>
    <xf numFmtId="0" fontId="0" fillId="4" borderId="7" xfId="0" applyFill="1" applyBorder="1" applyAlignment="1">
      <alignment horizontal="left" vertical="top" wrapText="1"/>
    </xf>
    <xf numFmtId="0" fontId="0" fillId="4" borderId="8" xfId="0" applyFill="1" applyBorder="1" applyAlignment="1">
      <alignment horizontal="left" vertical="top" wrapText="1"/>
    </xf>
    <xf numFmtId="0" fontId="0" fillId="4" borderId="0" xfId="0" applyFill="1" applyAlignment="1">
      <alignment horizontal="left" vertical="top" wrapText="1"/>
    </xf>
    <xf numFmtId="0" fontId="0" fillId="4" borderId="9" xfId="0" applyFill="1" applyBorder="1" applyAlignment="1">
      <alignment horizontal="left" vertical="top" wrapText="1"/>
    </xf>
    <xf numFmtId="0" fontId="0" fillId="4" borderId="10" xfId="0" applyFill="1" applyBorder="1" applyAlignment="1">
      <alignment horizontal="left" vertical="top" wrapText="1"/>
    </xf>
    <xf numFmtId="0" fontId="0" fillId="4" borderId="11" xfId="0" applyFill="1" applyBorder="1" applyAlignment="1">
      <alignment horizontal="left" vertical="top" wrapText="1"/>
    </xf>
    <xf numFmtId="0" fontId="0" fillId="4" borderId="12" xfId="0" applyFill="1" applyBorder="1" applyAlignment="1">
      <alignment horizontal="left" vertical="top" wrapText="1"/>
    </xf>
    <xf numFmtId="0" fontId="2" fillId="2" borderId="0" xfId="0" applyFont="1" applyFill="1" applyAlignment="1">
      <alignment horizontal="center"/>
    </xf>
    <xf numFmtId="165" fontId="1" fillId="0" borderId="0" xfId="0" applyNumberFormat="1" applyFont="1" applyAlignment="1">
      <alignment horizontal="left" vertical="top"/>
    </xf>
    <xf numFmtId="49" fontId="20" fillId="6" borderId="14" xfId="0" applyNumberFormat="1" applyFont="1" applyFill="1" applyBorder="1" applyAlignment="1">
      <alignment horizontal="left"/>
    </xf>
    <xf numFmtId="0" fontId="20" fillId="6" borderId="14" xfId="0" applyFont="1" applyFill="1" applyBorder="1" applyAlignment="1">
      <alignment horizontal="left"/>
    </xf>
    <xf numFmtId="0" fontId="20" fillId="6" borderId="14" xfId="0" applyFont="1" applyFill="1" applyBorder="1" applyAlignment="1">
      <alignment horizontal="left" wrapText="1"/>
    </xf>
  </cellXfs>
  <cellStyles count="3">
    <cellStyle name="Standaard" xfId="0" builtinId="0"/>
    <cellStyle name="Standaard 2" xfId="1" xr:uid="{00000000-0005-0000-0000-000001000000}"/>
    <cellStyle name="Standaard 4" xfId="2" xr:uid="{00000000-0005-0000-0000-000002000000}"/>
  </cellStyles>
  <dxfs count="1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ill>
        <patternFill>
          <bgColor theme="7" tint="0.59996337778862885"/>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tabColor rgb="FF92D050"/>
  </sheetPr>
  <dimension ref="A1:P837"/>
  <sheetViews>
    <sheetView zoomScale="90" zoomScaleNormal="90" workbookViewId="0">
      <selection sqref="A1:K1"/>
    </sheetView>
  </sheetViews>
  <sheetFormatPr defaultColWidth="8.5703125" defaultRowHeight="15" x14ac:dyDescent="0.25"/>
  <cols>
    <col min="1" max="1" width="16.42578125" customWidth="1"/>
    <col min="2" max="2" width="15.5703125" bestFit="1" customWidth="1"/>
    <col min="3" max="3" width="15.5703125" customWidth="1"/>
    <col min="4" max="4" width="47.42578125" bestFit="1" customWidth="1"/>
    <col min="5" max="5" width="26.42578125" bestFit="1" customWidth="1"/>
    <col min="6" max="6" width="13.42578125" bestFit="1" customWidth="1"/>
    <col min="7" max="7" width="19.42578125" bestFit="1" customWidth="1"/>
    <col min="8" max="8" width="21" bestFit="1" customWidth="1"/>
    <col min="9" max="9" width="17.42578125" customWidth="1"/>
    <col min="10" max="10" width="20.42578125" bestFit="1" customWidth="1"/>
    <col min="11" max="11" width="48.42578125" bestFit="1" customWidth="1"/>
    <col min="12" max="12" width="1.5703125" customWidth="1"/>
    <col min="13" max="13" width="10" customWidth="1"/>
  </cols>
  <sheetData>
    <row r="1" spans="1:16" ht="19.5" thickBot="1" x14ac:dyDescent="0.35">
      <c r="A1" s="104" t="s">
        <v>11662</v>
      </c>
      <c r="B1" s="104"/>
      <c r="C1" s="104"/>
      <c r="D1" s="104"/>
      <c r="E1" s="104"/>
      <c r="F1" s="104"/>
      <c r="G1" s="104"/>
      <c r="H1" s="104"/>
      <c r="I1" s="104"/>
      <c r="J1" s="104"/>
      <c r="K1" s="104"/>
    </row>
    <row r="2" spans="1:16" ht="15.75" thickBot="1" x14ac:dyDescent="0.3">
      <c r="C2" s="1" t="s">
        <v>0</v>
      </c>
      <c r="D2" s="9"/>
      <c r="E2" s="3" t="s">
        <v>1</v>
      </c>
      <c r="J2" s="3"/>
    </row>
    <row r="3" spans="1:16" ht="15.75" thickBot="1" x14ac:dyDescent="0.3">
      <c r="C3" s="1" t="s">
        <v>2</v>
      </c>
      <c r="D3" s="10" t="s">
        <v>10917</v>
      </c>
      <c r="E3" s="3" t="s">
        <v>3</v>
      </c>
      <c r="J3" s="8" t="s">
        <v>4</v>
      </c>
      <c r="K3" s="46"/>
    </row>
    <row r="4" spans="1:16" x14ac:dyDescent="0.25">
      <c r="C4" s="1" t="s">
        <v>5</v>
      </c>
      <c r="D4" s="10" t="s">
        <v>10917</v>
      </c>
      <c r="E4" s="3" t="s">
        <v>6</v>
      </c>
      <c r="J4" s="3"/>
    </row>
    <row r="5" spans="1:16" x14ac:dyDescent="0.25">
      <c r="C5" s="1" t="s">
        <v>7</v>
      </c>
      <c r="D5" s="10" t="s">
        <v>10917</v>
      </c>
      <c r="E5" s="3" t="s">
        <v>8</v>
      </c>
      <c r="H5" s="95" t="str">
        <f>IF(ISBLANK(K3),"Geen artikelnummer in zoekveld ingevuld",IF(ISERROR(VLOOKUP(K3,'Omschrijving Besteltekst'!A:C,3,FALSE)),"Geen additionele tekst(en)",VLOOKUP(K3,'Omschrijving Besteltekst'!A:C,3,FALSE)))</f>
        <v>Geen artikelnummer in zoekveld ingevuld</v>
      </c>
      <c r="I5" s="96"/>
      <c r="J5" s="96"/>
      <c r="K5" s="97"/>
    </row>
    <row r="6" spans="1:16" x14ac:dyDescent="0.25">
      <c r="C6" s="1" t="s">
        <v>9</v>
      </c>
      <c r="D6" s="6" t="s">
        <v>10917</v>
      </c>
      <c r="E6" s="3" t="s">
        <v>10</v>
      </c>
      <c r="H6" s="98"/>
      <c r="I6" s="99"/>
      <c r="J6" s="99"/>
      <c r="K6" s="100"/>
    </row>
    <row r="7" spans="1:16" x14ac:dyDescent="0.25">
      <c r="C7" s="1" t="s">
        <v>11</v>
      </c>
      <c r="D7" s="10"/>
      <c r="E7" s="3" t="s">
        <v>12</v>
      </c>
      <c r="H7" s="98"/>
      <c r="I7" s="99"/>
      <c r="J7" s="99"/>
      <c r="K7" s="100"/>
    </row>
    <row r="8" spans="1:16" x14ac:dyDescent="0.25">
      <c r="C8" s="1" t="s">
        <v>13</v>
      </c>
      <c r="D8" s="10"/>
      <c r="E8" s="3" t="s">
        <v>14</v>
      </c>
      <c r="H8" s="98"/>
      <c r="I8" s="99"/>
      <c r="J8" s="99"/>
      <c r="K8" s="100"/>
    </row>
    <row r="9" spans="1:16" ht="15.75" thickBot="1" x14ac:dyDescent="0.3">
      <c r="C9" s="2" t="s">
        <v>15</v>
      </c>
      <c r="D9" s="11"/>
      <c r="E9" s="3" t="s">
        <v>16</v>
      </c>
      <c r="H9" s="101"/>
      <c r="I9" s="102"/>
      <c r="J9" s="102"/>
      <c r="K9" s="103"/>
    </row>
    <row r="10" spans="1:16" s="18" customFormat="1" x14ac:dyDescent="0.25">
      <c r="I10" s="29"/>
      <c r="J10" s="29"/>
      <c r="K10" s="29"/>
    </row>
    <row r="11" spans="1:16" x14ac:dyDescent="0.25">
      <c r="A11" s="18"/>
      <c r="B11" s="18"/>
      <c r="C11" s="29"/>
      <c r="D11" s="29"/>
      <c r="E11" s="29"/>
      <c r="F11" s="29"/>
      <c r="G11" s="29"/>
      <c r="H11" s="29"/>
      <c r="I11" s="29"/>
      <c r="J11" s="29"/>
      <c r="K11" s="29"/>
    </row>
    <row r="12" spans="1:16" s="1" customFormat="1" x14ac:dyDescent="0.25">
      <c r="A12" s="13" t="s">
        <v>17</v>
      </c>
      <c r="B12" s="13" t="s">
        <v>18</v>
      </c>
      <c r="C12" s="20"/>
      <c r="D12" s="20"/>
      <c r="E12" s="20"/>
      <c r="F12" s="20"/>
      <c r="G12" s="20"/>
      <c r="H12" s="16" t="s">
        <v>19</v>
      </c>
      <c r="I12" s="16" t="s">
        <v>19</v>
      </c>
      <c r="J12" s="20"/>
      <c r="K12" s="20"/>
      <c r="O12" s="4"/>
      <c r="P12" s="5"/>
    </row>
    <row r="13" spans="1:16" ht="26.25" x14ac:dyDescent="0.25">
      <c r="A13" s="14" t="s">
        <v>20</v>
      </c>
      <c r="B13" s="15" t="s">
        <v>21</v>
      </c>
      <c r="C13" s="24" t="s">
        <v>22</v>
      </c>
      <c r="D13" s="21" t="s">
        <v>23</v>
      </c>
      <c r="E13" s="22" t="s">
        <v>24</v>
      </c>
      <c r="F13" s="22" t="s">
        <v>25</v>
      </c>
      <c r="G13" s="22" t="s">
        <v>26</v>
      </c>
      <c r="H13" s="17" t="s">
        <v>20</v>
      </c>
      <c r="I13" s="28" t="s">
        <v>27</v>
      </c>
      <c r="J13" s="23" t="s">
        <v>28</v>
      </c>
      <c r="K13" s="23" t="s">
        <v>29</v>
      </c>
      <c r="L13" s="1"/>
    </row>
    <row r="14" spans="1:16" x14ac:dyDescent="0.25">
      <c r="A14" s="12"/>
      <c r="B14" s="7" t="s">
        <v>222</v>
      </c>
      <c r="C14" s="25">
        <v>20000266</v>
      </c>
      <c r="D14" s="7" t="s">
        <v>312</v>
      </c>
      <c r="E14" s="26">
        <v>1</v>
      </c>
      <c r="F14" s="7" t="s">
        <v>225</v>
      </c>
      <c r="G14" s="7" t="s">
        <v>219</v>
      </c>
      <c r="H14" s="19" t="str">
        <f>IF(A14="", "", A14*E14)</f>
        <v/>
      </c>
      <c r="I14" s="19" t="s">
        <v>221</v>
      </c>
      <c r="J14" s="7" t="s">
        <v>309</v>
      </c>
      <c r="K14" s="25" t="s">
        <v>225</v>
      </c>
      <c r="L14" s="1"/>
    </row>
    <row r="15" spans="1:16" x14ac:dyDescent="0.25">
      <c r="A15" s="12"/>
      <c r="B15" s="7" t="s">
        <v>222</v>
      </c>
      <c r="C15" s="25">
        <v>20000283</v>
      </c>
      <c r="D15" s="7" t="s">
        <v>314</v>
      </c>
      <c r="E15" s="26">
        <v>1</v>
      </c>
      <c r="F15" s="7" t="s">
        <v>225</v>
      </c>
      <c r="G15" s="7" t="s">
        <v>219</v>
      </c>
      <c r="H15" s="19" t="str">
        <f t="shared" ref="H15:H78" si="0">IF(A15="", "", A15*E15)</f>
        <v/>
      </c>
      <c r="I15" s="19" t="s">
        <v>221</v>
      </c>
      <c r="J15" s="7" t="s">
        <v>315</v>
      </c>
      <c r="K15" s="25" t="s">
        <v>225</v>
      </c>
      <c r="L15" s="1"/>
    </row>
    <row r="16" spans="1:16" x14ac:dyDescent="0.25">
      <c r="A16" s="12"/>
      <c r="B16" s="7" t="s">
        <v>223</v>
      </c>
      <c r="C16" s="25">
        <v>20000294</v>
      </c>
      <c r="D16" s="7" t="s">
        <v>317</v>
      </c>
      <c r="E16" s="26">
        <v>10</v>
      </c>
      <c r="F16" s="7" t="s">
        <v>225</v>
      </c>
      <c r="G16" s="7" t="s">
        <v>219</v>
      </c>
      <c r="H16" s="19" t="str">
        <f t="shared" si="0"/>
        <v/>
      </c>
      <c r="I16" s="19" t="s">
        <v>221</v>
      </c>
      <c r="J16" s="7" t="s">
        <v>315</v>
      </c>
      <c r="K16" s="25" t="s">
        <v>225</v>
      </c>
      <c r="L16" s="1"/>
    </row>
    <row r="17" spans="1:12" x14ac:dyDescent="0.25">
      <c r="A17" s="12"/>
      <c r="B17" s="7" t="s">
        <v>223</v>
      </c>
      <c r="C17" s="25">
        <v>20000374</v>
      </c>
      <c r="D17" s="7" t="s">
        <v>331</v>
      </c>
      <c r="E17" s="26">
        <v>3</v>
      </c>
      <c r="F17" s="7" t="s">
        <v>225</v>
      </c>
      <c r="G17" s="7" t="s">
        <v>219</v>
      </c>
      <c r="H17" s="19" t="str">
        <f t="shared" si="0"/>
        <v/>
      </c>
      <c r="I17" s="19" t="s">
        <v>221</v>
      </c>
      <c r="J17" s="7" t="s">
        <v>315</v>
      </c>
      <c r="K17" s="25" t="s">
        <v>225</v>
      </c>
      <c r="L17" s="1"/>
    </row>
    <row r="18" spans="1:12" x14ac:dyDescent="0.25">
      <c r="A18" s="12"/>
      <c r="B18" s="7" t="s">
        <v>223</v>
      </c>
      <c r="C18" s="25">
        <v>20000375</v>
      </c>
      <c r="D18" s="7" t="s">
        <v>332</v>
      </c>
      <c r="E18" s="26">
        <v>3</v>
      </c>
      <c r="F18" s="7" t="s">
        <v>225</v>
      </c>
      <c r="G18" s="7" t="s">
        <v>219</v>
      </c>
      <c r="H18" s="19" t="str">
        <f t="shared" si="0"/>
        <v/>
      </c>
      <c r="I18" s="19" t="s">
        <v>221</v>
      </c>
      <c r="J18" s="7" t="s">
        <v>315</v>
      </c>
      <c r="K18" s="25" t="s">
        <v>225</v>
      </c>
      <c r="L18" s="1"/>
    </row>
    <row r="19" spans="1:12" x14ac:dyDescent="0.25">
      <c r="A19" s="12"/>
      <c r="B19" s="7" t="s">
        <v>222</v>
      </c>
      <c r="C19" s="25">
        <v>20000495</v>
      </c>
      <c r="D19" s="7" t="s">
        <v>344</v>
      </c>
      <c r="E19" s="26">
        <v>1</v>
      </c>
      <c r="F19" s="7" t="s">
        <v>225</v>
      </c>
      <c r="G19" s="7" t="s">
        <v>219</v>
      </c>
      <c r="H19" s="19" t="str">
        <f t="shared" si="0"/>
        <v/>
      </c>
      <c r="I19" s="19" t="s">
        <v>221</v>
      </c>
      <c r="J19" s="7" t="s">
        <v>345</v>
      </c>
      <c r="K19" s="25" t="s">
        <v>225</v>
      </c>
      <c r="L19" s="1"/>
    </row>
    <row r="20" spans="1:12" x14ac:dyDescent="0.25">
      <c r="A20" s="12"/>
      <c r="B20" s="7" t="s">
        <v>223</v>
      </c>
      <c r="C20" s="25">
        <v>20000496</v>
      </c>
      <c r="D20" s="7" t="s">
        <v>346</v>
      </c>
      <c r="E20" s="26">
        <v>100</v>
      </c>
      <c r="F20" s="7" t="s">
        <v>225</v>
      </c>
      <c r="G20" s="7" t="s">
        <v>219</v>
      </c>
      <c r="H20" s="19" t="str">
        <f t="shared" si="0"/>
        <v/>
      </c>
      <c r="I20" s="19" t="s">
        <v>221</v>
      </c>
      <c r="J20" s="7" t="s">
        <v>347</v>
      </c>
      <c r="K20" s="25" t="s">
        <v>225</v>
      </c>
      <c r="L20" s="1"/>
    </row>
    <row r="21" spans="1:12" x14ac:dyDescent="0.25">
      <c r="A21" s="12"/>
      <c r="B21" s="7" t="s">
        <v>222</v>
      </c>
      <c r="C21" s="25">
        <v>20000669</v>
      </c>
      <c r="D21" s="7" t="s">
        <v>367</v>
      </c>
      <c r="E21" s="26">
        <v>1</v>
      </c>
      <c r="F21" s="7" t="s">
        <v>225</v>
      </c>
      <c r="G21" s="7" t="s">
        <v>219</v>
      </c>
      <c r="H21" s="19" t="str">
        <f t="shared" si="0"/>
        <v/>
      </c>
      <c r="I21" s="19" t="s">
        <v>221</v>
      </c>
      <c r="J21" s="7" t="s">
        <v>327</v>
      </c>
      <c r="K21" s="25" t="s">
        <v>225</v>
      </c>
      <c r="L21" s="1"/>
    </row>
    <row r="22" spans="1:12" x14ac:dyDescent="0.25">
      <c r="A22" s="12"/>
      <c r="B22" s="7" t="s">
        <v>4785</v>
      </c>
      <c r="C22" s="25">
        <v>20000817</v>
      </c>
      <c r="D22" s="7" t="s">
        <v>378</v>
      </c>
      <c r="E22" s="26">
        <v>1</v>
      </c>
      <c r="F22" s="7" t="s">
        <v>225</v>
      </c>
      <c r="G22" s="7" t="s">
        <v>219</v>
      </c>
      <c r="H22" s="19" t="str">
        <f t="shared" si="0"/>
        <v/>
      </c>
      <c r="I22" s="19" t="s">
        <v>321</v>
      </c>
      <c r="J22" s="7" t="s">
        <v>246</v>
      </c>
      <c r="K22" s="25" t="s">
        <v>225</v>
      </c>
      <c r="L22" s="1"/>
    </row>
    <row r="23" spans="1:12" x14ac:dyDescent="0.25">
      <c r="A23" s="12"/>
      <c r="B23" s="7" t="s">
        <v>222</v>
      </c>
      <c r="C23" s="25">
        <v>20000944</v>
      </c>
      <c r="D23" s="7" t="s">
        <v>396</v>
      </c>
      <c r="E23" s="26">
        <v>1</v>
      </c>
      <c r="F23" s="7" t="s">
        <v>225</v>
      </c>
      <c r="G23" s="7" t="s">
        <v>219</v>
      </c>
      <c r="H23" s="19" t="str">
        <f t="shared" si="0"/>
        <v/>
      </c>
      <c r="I23" s="19" t="s">
        <v>221</v>
      </c>
      <c r="J23" s="7" t="s">
        <v>397</v>
      </c>
      <c r="K23" s="25" t="s">
        <v>225</v>
      </c>
      <c r="L23" s="1"/>
    </row>
    <row r="24" spans="1:12" x14ac:dyDescent="0.25">
      <c r="A24" s="12"/>
      <c r="B24" s="7" t="s">
        <v>223</v>
      </c>
      <c r="C24" s="25">
        <v>20000955</v>
      </c>
      <c r="D24" s="7" t="s">
        <v>401</v>
      </c>
      <c r="E24" s="26">
        <v>100</v>
      </c>
      <c r="F24" s="7" t="s">
        <v>225</v>
      </c>
      <c r="G24" s="7" t="s">
        <v>219</v>
      </c>
      <c r="H24" s="19" t="str">
        <f t="shared" si="0"/>
        <v/>
      </c>
      <c r="I24" s="19" t="s">
        <v>37</v>
      </c>
      <c r="J24" s="7" t="s">
        <v>345</v>
      </c>
      <c r="K24" s="25" t="s">
        <v>225</v>
      </c>
      <c r="L24" s="1"/>
    </row>
    <row r="25" spans="1:12" x14ac:dyDescent="0.25">
      <c r="A25" s="12"/>
      <c r="B25" s="7" t="s">
        <v>222</v>
      </c>
      <c r="C25" s="25">
        <v>20000973</v>
      </c>
      <c r="D25" s="7" t="s">
        <v>404</v>
      </c>
      <c r="E25" s="26">
        <v>1</v>
      </c>
      <c r="F25" s="7" t="s">
        <v>225</v>
      </c>
      <c r="G25" s="7" t="s">
        <v>219</v>
      </c>
      <c r="H25" s="19" t="str">
        <f t="shared" si="0"/>
        <v/>
      </c>
      <c r="I25" s="19" t="s">
        <v>221</v>
      </c>
      <c r="J25" s="7" t="s">
        <v>309</v>
      </c>
      <c r="K25" s="25" t="s">
        <v>225</v>
      </c>
      <c r="L25" s="1"/>
    </row>
    <row r="26" spans="1:12" x14ac:dyDescent="0.25">
      <c r="A26" s="12"/>
      <c r="B26" s="7" t="s">
        <v>222</v>
      </c>
      <c r="C26" s="25">
        <v>20000978</v>
      </c>
      <c r="D26" s="7" t="s">
        <v>405</v>
      </c>
      <c r="E26" s="26">
        <v>1</v>
      </c>
      <c r="F26" s="7" t="s">
        <v>225</v>
      </c>
      <c r="G26" s="7" t="s">
        <v>219</v>
      </c>
      <c r="H26" s="19" t="str">
        <f t="shared" si="0"/>
        <v/>
      </c>
      <c r="I26" s="19" t="s">
        <v>221</v>
      </c>
      <c r="J26" s="7" t="s">
        <v>309</v>
      </c>
      <c r="K26" s="25" t="s">
        <v>225</v>
      </c>
      <c r="L26" s="1"/>
    </row>
    <row r="27" spans="1:12" x14ac:dyDescent="0.25">
      <c r="A27" s="12"/>
      <c r="B27" s="7" t="s">
        <v>222</v>
      </c>
      <c r="C27" s="25">
        <v>20000982</v>
      </c>
      <c r="D27" s="7" t="s">
        <v>407</v>
      </c>
      <c r="E27" s="26">
        <v>1</v>
      </c>
      <c r="F27" s="7" t="s">
        <v>225</v>
      </c>
      <c r="G27" s="7" t="s">
        <v>219</v>
      </c>
      <c r="H27" s="19" t="str">
        <f t="shared" si="0"/>
        <v/>
      </c>
      <c r="I27" s="19" t="s">
        <v>221</v>
      </c>
      <c r="J27" s="7" t="s">
        <v>309</v>
      </c>
      <c r="K27" s="25" t="s">
        <v>225</v>
      </c>
      <c r="L27" s="1"/>
    </row>
    <row r="28" spans="1:12" x14ac:dyDescent="0.25">
      <c r="A28" s="12"/>
      <c r="B28" s="7" t="s">
        <v>222</v>
      </c>
      <c r="C28" s="25">
        <v>20000983</v>
      </c>
      <c r="D28" s="7" t="s">
        <v>408</v>
      </c>
      <c r="E28" s="26">
        <v>1</v>
      </c>
      <c r="F28" s="7" t="s">
        <v>225</v>
      </c>
      <c r="G28" s="7" t="s">
        <v>219</v>
      </c>
      <c r="H28" s="19" t="str">
        <f t="shared" si="0"/>
        <v/>
      </c>
      <c r="I28" s="19" t="s">
        <v>221</v>
      </c>
      <c r="J28" s="7" t="s">
        <v>309</v>
      </c>
      <c r="K28" s="25" t="s">
        <v>225</v>
      </c>
      <c r="L28" s="1"/>
    </row>
    <row r="29" spans="1:12" x14ac:dyDescent="0.25">
      <c r="A29" s="12"/>
      <c r="B29" s="7" t="s">
        <v>222</v>
      </c>
      <c r="C29" s="25">
        <v>20000984</v>
      </c>
      <c r="D29" s="7" t="s">
        <v>409</v>
      </c>
      <c r="E29" s="26">
        <v>1</v>
      </c>
      <c r="F29" s="7" t="s">
        <v>225</v>
      </c>
      <c r="G29" s="7" t="s">
        <v>219</v>
      </c>
      <c r="H29" s="19" t="str">
        <f t="shared" si="0"/>
        <v/>
      </c>
      <c r="I29" s="19" t="s">
        <v>221</v>
      </c>
      <c r="J29" s="7" t="s">
        <v>309</v>
      </c>
      <c r="K29" s="25" t="s">
        <v>225</v>
      </c>
      <c r="L29" s="1"/>
    </row>
    <row r="30" spans="1:12" x14ac:dyDescent="0.25">
      <c r="A30" s="12"/>
      <c r="B30" s="7" t="s">
        <v>222</v>
      </c>
      <c r="C30" s="25">
        <v>20000986</v>
      </c>
      <c r="D30" s="7" t="s">
        <v>410</v>
      </c>
      <c r="E30" s="26">
        <v>1</v>
      </c>
      <c r="F30" s="7" t="s">
        <v>225</v>
      </c>
      <c r="G30" s="7" t="s">
        <v>219</v>
      </c>
      <c r="H30" s="19" t="str">
        <f t="shared" si="0"/>
        <v/>
      </c>
      <c r="I30" s="19" t="s">
        <v>221</v>
      </c>
      <c r="J30" s="7" t="s">
        <v>309</v>
      </c>
      <c r="K30" s="25" t="s">
        <v>225</v>
      </c>
      <c r="L30" s="1"/>
    </row>
    <row r="31" spans="1:12" x14ac:dyDescent="0.25">
      <c r="A31" s="12"/>
      <c r="B31" s="7" t="s">
        <v>222</v>
      </c>
      <c r="C31" s="25">
        <v>20000996</v>
      </c>
      <c r="D31" s="7" t="s">
        <v>411</v>
      </c>
      <c r="E31" s="26">
        <v>1</v>
      </c>
      <c r="F31" s="7" t="s">
        <v>225</v>
      </c>
      <c r="G31" s="7" t="s">
        <v>219</v>
      </c>
      <c r="H31" s="19" t="str">
        <f t="shared" si="0"/>
        <v/>
      </c>
      <c r="I31" s="19" t="s">
        <v>221</v>
      </c>
      <c r="J31" s="7" t="s">
        <v>313</v>
      </c>
      <c r="K31" s="25" t="s">
        <v>225</v>
      </c>
      <c r="L31" s="1"/>
    </row>
    <row r="32" spans="1:12" x14ac:dyDescent="0.25">
      <c r="A32" s="12"/>
      <c r="B32" s="7" t="s">
        <v>233</v>
      </c>
      <c r="C32" s="25">
        <v>20001006</v>
      </c>
      <c r="D32" s="7" t="s">
        <v>412</v>
      </c>
      <c r="E32" s="26">
        <v>100</v>
      </c>
      <c r="F32" s="7" t="s">
        <v>225</v>
      </c>
      <c r="G32" s="7" t="s">
        <v>219</v>
      </c>
      <c r="H32" s="19" t="str">
        <f t="shared" si="0"/>
        <v/>
      </c>
      <c r="I32" s="19" t="s">
        <v>221</v>
      </c>
      <c r="J32" s="7" t="s">
        <v>313</v>
      </c>
      <c r="K32" s="25" t="s">
        <v>225</v>
      </c>
      <c r="L32" s="1"/>
    </row>
    <row r="33" spans="1:12" x14ac:dyDescent="0.25">
      <c r="A33" s="12"/>
      <c r="B33" s="7" t="s">
        <v>222</v>
      </c>
      <c r="C33" s="25">
        <v>20001010</v>
      </c>
      <c r="D33" s="7" t="s">
        <v>11323</v>
      </c>
      <c r="E33" s="26">
        <v>1</v>
      </c>
      <c r="F33" s="7" t="s">
        <v>225</v>
      </c>
      <c r="G33" s="7" t="s">
        <v>219</v>
      </c>
      <c r="H33" s="19" t="str">
        <f t="shared" si="0"/>
        <v/>
      </c>
      <c r="I33" s="19" t="s">
        <v>221</v>
      </c>
      <c r="J33" s="7" t="s">
        <v>313</v>
      </c>
      <c r="K33" s="25" t="s">
        <v>225</v>
      </c>
      <c r="L33" s="1"/>
    </row>
    <row r="34" spans="1:12" x14ac:dyDescent="0.25">
      <c r="A34" s="12"/>
      <c r="B34" s="7" t="s">
        <v>233</v>
      </c>
      <c r="C34" s="25">
        <v>20001011</v>
      </c>
      <c r="D34" s="7" t="s">
        <v>11324</v>
      </c>
      <c r="E34" s="26">
        <v>100</v>
      </c>
      <c r="F34" s="7" t="s">
        <v>225</v>
      </c>
      <c r="G34" s="7" t="s">
        <v>219</v>
      </c>
      <c r="H34" s="19" t="str">
        <f t="shared" si="0"/>
        <v/>
      </c>
      <c r="I34" s="19" t="s">
        <v>221</v>
      </c>
      <c r="J34" s="7" t="s">
        <v>313</v>
      </c>
      <c r="K34" s="25" t="s">
        <v>225</v>
      </c>
      <c r="L34" s="1"/>
    </row>
    <row r="35" spans="1:12" x14ac:dyDescent="0.25">
      <c r="A35" s="12"/>
      <c r="B35" s="7" t="s">
        <v>233</v>
      </c>
      <c r="C35" s="25">
        <v>20001012</v>
      </c>
      <c r="D35" s="7" t="s">
        <v>11325</v>
      </c>
      <c r="E35" s="26">
        <v>100</v>
      </c>
      <c r="F35" s="7" t="s">
        <v>225</v>
      </c>
      <c r="G35" s="7" t="s">
        <v>219</v>
      </c>
      <c r="H35" s="19" t="str">
        <f t="shared" si="0"/>
        <v/>
      </c>
      <c r="I35" s="19" t="s">
        <v>221</v>
      </c>
      <c r="J35" s="7" t="s">
        <v>313</v>
      </c>
      <c r="K35" s="25" t="s">
        <v>225</v>
      </c>
      <c r="L35" s="1"/>
    </row>
    <row r="36" spans="1:12" x14ac:dyDescent="0.25">
      <c r="A36" s="12"/>
      <c r="B36" s="7" t="s">
        <v>233</v>
      </c>
      <c r="C36" s="25">
        <v>20001013</v>
      </c>
      <c r="D36" s="7" t="s">
        <v>413</v>
      </c>
      <c r="E36" s="26">
        <v>100</v>
      </c>
      <c r="F36" s="7" t="s">
        <v>225</v>
      </c>
      <c r="G36" s="7" t="s">
        <v>219</v>
      </c>
      <c r="H36" s="19" t="str">
        <f t="shared" si="0"/>
        <v/>
      </c>
      <c r="I36" s="19" t="s">
        <v>221</v>
      </c>
      <c r="J36" s="7" t="s">
        <v>313</v>
      </c>
      <c r="K36" s="25" t="s">
        <v>225</v>
      </c>
      <c r="L36" s="1"/>
    </row>
    <row r="37" spans="1:12" x14ac:dyDescent="0.25">
      <c r="A37" s="12"/>
      <c r="B37" s="7" t="s">
        <v>223</v>
      </c>
      <c r="C37" s="25">
        <v>20001028</v>
      </c>
      <c r="D37" s="7" t="s">
        <v>415</v>
      </c>
      <c r="E37" s="26">
        <v>50</v>
      </c>
      <c r="F37" s="7" t="s">
        <v>225</v>
      </c>
      <c r="G37" s="7" t="s">
        <v>219</v>
      </c>
      <c r="H37" s="19" t="str">
        <f t="shared" si="0"/>
        <v/>
      </c>
      <c r="I37" s="19" t="s">
        <v>221</v>
      </c>
      <c r="J37" s="7" t="s">
        <v>345</v>
      </c>
      <c r="K37" s="25" t="s">
        <v>225</v>
      </c>
      <c r="L37" s="1"/>
    </row>
    <row r="38" spans="1:12" x14ac:dyDescent="0.25">
      <c r="A38" s="12"/>
      <c r="B38" s="7" t="s">
        <v>223</v>
      </c>
      <c r="C38" s="25">
        <v>20001036</v>
      </c>
      <c r="D38" s="7" t="s">
        <v>420</v>
      </c>
      <c r="E38" s="26">
        <v>3</v>
      </c>
      <c r="F38" s="7" t="s">
        <v>225</v>
      </c>
      <c r="G38" s="7" t="s">
        <v>219</v>
      </c>
      <c r="H38" s="19" t="str">
        <f t="shared" si="0"/>
        <v/>
      </c>
      <c r="I38" s="19" t="s">
        <v>221</v>
      </c>
      <c r="J38" s="7" t="s">
        <v>315</v>
      </c>
      <c r="K38" s="25" t="s">
        <v>225</v>
      </c>
      <c r="L38" s="1"/>
    </row>
    <row r="39" spans="1:12" x14ac:dyDescent="0.25">
      <c r="A39" s="12"/>
      <c r="B39" s="7" t="s">
        <v>223</v>
      </c>
      <c r="C39" s="25">
        <v>20001038</v>
      </c>
      <c r="D39" s="7" t="s">
        <v>421</v>
      </c>
      <c r="E39" s="26">
        <v>3</v>
      </c>
      <c r="F39" s="7" t="s">
        <v>225</v>
      </c>
      <c r="G39" s="7" t="s">
        <v>219</v>
      </c>
      <c r="H39" s="19" t="str">
        <f t="shared" si="0"/>
        <v/>
      </c>
      <c r="I39" s="19" t="s">
        <v>221</v>
      </c>
      <c r="J39" s="7" t="s">
        <v>315</v>
      </c>
      <c r="K39" s="25" t="s">
        <v>225</v>
      </c>
      <c r="L39" s="1"/>
    </row>
    <row r="40" spans="1:12" x14ac:dyDescent="0.25">
      <c r="A40" s="12"/>
      <c r="B40" s="7" t="s">
        <v>223</v>
      </c>
      <c r="C40" s="25">
        <v>20001039</v>
      </c>
      <c r="D40" s="7" t="s">
        <v>422</v>
      </c>
      <c r="E40" s="26">
        <v>3</v>
      </c>
      <c r="F40" s="7" t="s">
        <v>225</v>
      </c>
      <c r="G40" s="7" t="s">
        <v>219</v>
      </c>
      <c r="H40" s="19" t="str">
        <f t="shared" si="0"/>
        <v/>
      </c>
      <c r="I40" s="19" t="s">
        <v>221</v>
      </c>
      <c r="J40" s="7" t="s">
        <v>315</v>
      </c>
      <c r="K40" s="25" t="s">
        <v>225</v>
      </c>
      <c r="L40" s="1"/>
    </row>
    <row r="41" spans="1:12" x14ac:dyDescent="0.25">
      <c r="A41" s="12"/>
      <c r="B41" s="7" t="s">
        <v>223</v>
      </c>
      <c r="C41" s="25">
        <v>20001040</v>
      </c>
      <c r="D41" s="7" t="s">
        <v>423</v>
      </c>
      <c r="E41" s="26">
        <v>3</v>
      </c>
      <c r="F41" s="7" t="s">
        <v>225</v>
      </c>
      <c r="G41" s="7" t="s">
        <v>219</v>
      </c>
      <c r="H41" s="19" t="str">
        <f t="shared" si="0"/>
        <v/>
      </c>
      <c r="I41" s="19" t="s">
        <v>221</v>
      </c>
      <c r="J41" s="7" t="s">
        <v>315</v>
      </c>
      <c r="K41" s="25" t="s">
        <v>225</v>
      </c>
      <c r="L41" s="1"/>
    </row>
    <row r="42" spans="1:12" x14ac:dyDescent="0.25">
      <c r="A42" s="12"/>
      <c r="B42" s="7" t="s">
        <v>223</v>
      </c>
      <c r="C42" s="25">
        <v>20001041</v>
      </c>
      <c r="D42" s="7" t="s">
        <v>424</v>
      </c>
      <c r="E42" s="26">
        <v>3</v>
      </c>
      <c r="F42" s="7" t="s">
        <v>225</v>
      </c>
      <c r="G42" s="7" t="s">
        <v>219</v>
      </c>
      <c r="H42" s="19" t="str">
        <f t="shared" si="0"/>
        <v/>
      </c>
      <c r="I42" s="19" t="s">
        <v>221</v>
      </c>
      <c r="J42" s="7" t="s">
        <v>315</v>
      </c>
      <c r="K42" s="25" t="s">
        <v>225</v>
      </c>
      <c r="L42" s="1"/>
    </row>
    <row r="43" spans="1:12" x14ac:dyDescent="0.25">
      <c r="A43" s="12"/>
      <c r="B43" s="7" t="s">
        <v>223</v>
      </c>
      <c r="C43" s="25">
        <v>20001042</v>
      </c>
      <c r="D43" s="7" t="s">
        <v>425</v>
      </c>
      <c r="E43" s="26">
        <v>3</v>
      </c>
      <c r="F43" s="7" t="s">
        <v>225</v>
      </c>
      <c r="G43" s="7" t="s">
        <v>219</v>
      </c>
      <c r="H43" s="19" t="str">
        <f t="shared" si="0"/>
        <v/>
      </c>
      <c r="I43" s="19" t="s">
        <v>221</v>
      </c>
      <c r="J43" s="7" t="s">
        <v>315</v>
      </c>
      <c r="K43" s="25" t="s">
        <v>225</v>
      </c>
      <c r="L43" s="1"/>
    </row>
    <row r="44" spans="1:12" x14ac:dyDescent="0.25">
      <c r="A44" s="12"/>
      <c r="B44" s="7" t="s">
        <v>223</v>
      </c>
      <c r="C44" s="25">
        <v>20001047</v>
      </c>
      <c r="D44" s="7" t="s">
        <v>430</v>
      </c>
      <c r="E44" s="26">
        <v>3</v>
      </c>
      <c r="F44" s="7" t="s">
        <v>225</v>
      </c>
      <c r="G44" s="7" t="s">
        <v>219</v>
      </c>
      <c r="H44" s="19" t="str">
        <f t="shared" si="0"/>
        <v/>
      </c>
      <c r="I44" s="19" t="s">
        <v>221</v>
      </c>
      <c r="J44" s="7" t="s">
        <v>315</v>
      </c>
      <c r="K44" s="25" t="s">
        <v>225</v>
      </c>
      <c r="L44" s="1"/>
    </row>
    <row r="45" spans="1:12" x14ac:dyDescent="0.25">
      <c r="A45" s="12"/>
      <c r="B45" s="7" t="s">
        <v>222</v>
      </c>
      <c r="C45" s="25">
        <v>20001049</v>
      </c>
      <c r="D45" s="7" t="s">
        <v>431</v>
      </c>
      <c r="E45" s="26">
        <v>1</v>
      </c>
      <c r="F45" s="7" t="s">
        <v>225</v>
      </c>
      <c r="G45" s="7" t="s">
        <v>219</v>
      </c>
      <c r="H45" s="19" t="str">
        <f t="shared" si="0"/>
        <v/>
      </c>
      <c r="I45" s="19" t="s">
        <v>221</v>
      </c>
      <c r="J45" s="7" t="s">
        <v>315</v>
      </c>
      <c r="K45" s="25" t="s">
        <v>225</v>
      </c>
      <c r="L45" s="1"/>
    </row>
    <row r="46" spans="1:12" x14ac:dyDescent="0.25">
      <c r="A46" s="12"/>
      <c r="B46" s="7" t="s">
        <v>223</v>
      </c>
      <c r="C46" s="25">
        <v>20001050</v>
      </c>
      <c r="D46" s="7" t="s">
        <v>432</v>
      </c>
      <c r="E46" s="26">
        <v>3</v>
      </c>
      <c r="F46" s="7" t="s">
        <v>225</v>
      </c>
      <c r="G46" s="7" t="s">
        <v>219</v>
      </c>
      <c r="H46" s="19" t="str">
        <f t="shared" si="0"/>
        <v/>
      </c>
      <c r="I46" s="19" t="s">
        <v>221</v>
      </c>
      <c r="J46" s="7" t="s">
        <v>315</v>
      </c>
      <c r="K46" s="25" t="s">
        <v>225</v>
      </c>
      <c r="L46" s="1"/>
    </row>
    <row r="47" spans="1:12" x14ac:dyDescent="0.25">
      <c r="A47" s="12"/>
      <c r="B47" s="7" t="s">
        <v>223</v>
      </c>
      <c r="C47" s="25">
        <v>20001055</v>
      </c>
      <c r="D47" s="7" t="s">
        <v>434</v>
      </c>
      <c r="E47" s="26">
        <v>3</v>
      </c>
      <c r="F47" s="7" t="s">
        <v>225</v>
      </c>
      <c r="G47" s="7" t="s">
        <v>219</v>
      </c>
      <c r="H47" s="19" t="str">
        <f t="shared" si="0"/>
        <v/>
      </c>
      <c r="I47" s="19" t="s">
        <v>221</v>
      </c>
      <c r="J47" s="7" t="s">
        <v>315</v>
      </c>
      <c r="K47" s="25" t="s">
        <v>225</v>
      </c>
      <c r="L47" s="1"/>
    </row>
    <row r="48" spans="1:12" x14ac:dyDescent="0.25">
      <c r="A48" s="12"/>
      <c r="B48" s="7" t="s">
        <v>222</v>
      </c>
      <c r="C48" s="25">
        <v>20001069</v>
      </c>
      <c r="D48" s="7" t="s">
        <v>438</v>
      </c>
      <c r="E48" s="26">
        <v>1</v>
      </c>
      <c r="F48" s="7" t="s">
        <v>225</v>
      </c>
      <c r="G48" s="7" t="s">
        <v>219</v>
      </c>
      <c r="H48" s="19" t="str">
        <f t="shared" si="0"/>
        <v/>
      </c>
      <c r="I48" s="19" t="s">
        <v>221</v>
      </c>
      <c r="J48" s="7" t="s">
        <v>309</v>
      </c>
      <c r="K48" s="25" t="s">
        <v>225</v>
      </c>
      <c r="L48" s="1"/>
    </row>
    <row r="49" spans="1:12" x14ac:dyDescent="0.25">
      <c r="A49" s="12"/>
      <c r="B49" s="7" t="s">
        <v>222</v>
      </c>
      <c r="C49" s="25">
        <v>20001092</v>
      </c>
      <c r="D49" s="7" t="s">
        <v>443</v>
      </c>
      <c r="E49" s="26">
        <v>1</v>
      </c>
      <c r="F49" s="7" t="s">
        <v>225</v>
      </c>
      <c r="G49" s="7" t="s">
        <v>219</v>
      </c>
      <c r="H49" s="19" t="str">
        <f t="shared" si="0"/>
        <v/>
      </c>
      <c r="I49" s="19" t="s">
        <v>221</v>
      </c>
      <c r="J49" s="7" t="s">
        <v>345</v>
      </c>
      <c r="K49" s="25" t="s">
        <v>225</v>
      </c>
      <c r="L49" s="1"/>
    </row>
    <row r="50" spans="1:12" x14ac:dyDescent="0.25">
      <c r="A50" s="12"/>
      <c r="B50" s="7" t="s">
        <v>222</v>
      </c>
      <c r="C50" s="25">
        <v>20001097</v>
      </c>
      <c r="D50" s="7" t="s">
        <v>445</v>
      </c>
      <c r="E50" s="26">
        <v>1</v>
      </c>
      <c r="F50" s="7" t="s">
        <v>225</v>
      </c>
      <c r="G50" s="7" t="s">
        <v>219</v>
      </c>
      <c r="H50" s="19" t="str">
        <f t="shared" si="0"/>
        <v/>
      </c>
      <c r="I50" s="19" t="s">
        <v>221</v>
      </c>
      <c r="J50" s="7" t="s">
        <v>315</v>
      </c>
      <c r="K50" s="25" t="s">
        <v>225</v>
      </c>
      <c r="L50" s="1"/>
    </row>
    <row r="51" spans="1:12" x14ac:dyDescent="0.25">
      <c r="A51" s="12"/>
      <c r="B51" s="7" t="s">
        <v>223</v>
      </c>
      <c r="C51" s="25">
        <v>20001099</v>
      </c>
      <c r="D51" s="7" t="s">
        <v>446</v>
      </c>
      <c r="E51" s="26">
        <v>3</v>
      </c>
      <c r="F51" s="7" t="s">
        <v>225</v>
      </c>
      <c r="G51" s="7" t="s">
        <v>219</v>
      </c>
      <c r="H51" s="19" t="str">
        <f t="shared" si="0"/>
        <v/>
      </c>
      <c r="I51" s="19" t="s">
        <v>221</v>
      </c>
      <c r="J51" s="7" t="s">
        <v>315</v>
      </c>
      <c r="K51" s="25" t="s">
        <v>225</v>
      </c>
      <c r="L51" s="1"/>
    </row>
    <row r="52" spans="1:12" x14ac:dyDescent="0.25">
      <c r="A52" s="12"/>
      <c r="B52" s="7" t="s">
        <v>223</v>
      </c>
      <c r="C52" s="25">
        <v>20001101</v>
      </c>
      <c r="D52" s="7" t="s">
        <v>447</v>
      </c>
      <c r="E52" s="26">
        <v>18</v>
      </c>
      <c r="F52" s="7" t="s">
        <v>225</v>
      </c>
      <c r="G52" s="7" t="s">
        <v>219</v>
      </c>
      <c r="H52" s="19" t="str">
        <f t="shared" si="0"/>
        <v/>
      </c>
      <c r="I52" s="19" t="s">
        <v>221</v>
      </c>
      <c r="J52" s="7" t="s">
        <v>315</v>
      </c>
      <c r="K52" s="25" t="s">
        <v>225</v>
      </c>
      <c r="L52" s="1"/>
    </row>
    <row r="53" spans="1:12" x14ac:dyDescent="0.25">
      <c r="A53" s="12"/>
      <c r="B53" s="7" t="s">
        <v>222</v>
      </c>
      <c r="C53" s="25">
        <v>20001103</v>
      </c>
      <c r="D53" s="7" t="s">
        <v>448</v>
      </c>
      <c r="E53" s="26">
        <v>1</v>
      </c>
      <c r="F53" s="7" t="s">
        <v>225</v>
      </c>
      <c r="G53" s="7" t="s">
        <v>219</v>
      </c>
      <c r="H53" s="19" t="str">
        <f t="shared" si="0"/>
        <v/>
      </c>
      <c r="I53" s="19" t="s">
        <v>221</v>
      </c>
      <c r="J53" s="7" t="s">
        <v>315</v>
      </c>
      <c r="K53" s="25" t="s">
        <v>225</v>
      </c>
      <c r="L53" s="1"/>
    </row>
    <row r="54" spans="1:12" x14ac:dyDescent="0.25">
      <c r="A54" s="12"/>
      <c r="B54" s="7" t="s">
        <v>223</v>
      </c>
      <c r="C54" s="25">
        <v>20001104</v>
      </c>
      <c r="D54" s="7" t="s">
        <v>449</v>
      </c>
      <c r="E54" s="26">
        <v>500</v>
      </c>
      <c r="F54" s="7" t="s">
        <v>225</v>
      </c>
      <c r="G54" s="7" t="s">
        <v>219</v>
      </c>
      <c r="H54" s="19" t="str">
        <f t="shared" si="0"/>
        <v/>
      </c>
      <c r="I54" s="19" t="s">
        <v>221</v>
      </c>
      <c r="J54" s="7" t="s">
        <v>315</v>
      </c>
      <c r="K54" s="25" t="s">
        <v>225</v>
      </c>
      <c r="L54" s="1"/>
    </row>
    <row r="55" spans="1:12" x14ac:dyDescent="0.25">
      <c r="A55" s="12"/>
      <c r="B55" s="7" t="s">
        <v>223</v>
      </c>
      <c r="C55" s="25">
        <v>20001106</v>
      </c>
      <c r="D55" s="7" t="s">
        <v>451</v>
      </c>
      <c r="E55" s="26">
        <v>250</v>
      </c>
      <c r="F55" s="7" t="s">
        <v>225</v>
      </c>
      <c r="G55" s="7" t="s">
        <v>219</v>
      </c>
      <c r="H55" s="19" t="str">
        <f t="shared" si="0"/>
        <v/>
      </c>
      <c r="I55" s="19" t="s">
        <v>221</v>
      </c>
      <c r="J55" s="7" t="s">
        <v>315</v>
      </c>
      <c r="K55" s="25" t="s">
        <v>225</v>
      </c>
      <c r="L55" s="1"/>
    </row>
    <row r="56" spans="1:12" x14ac:dyDescent="0.25">
      <c r="A56" s="12"/>
      <c r="B56" s="7" t="s">
        <v>222</v>
      </c>
      <c r="C56" s="25">
        <v>20001107</v>
      </c>
      <c r="D56" s="7" t="s">
        <v>452</v>
      </c>
      <c r="E56" s="26">
        <v>1</v>
      </c>
      <c r="F56" s="7" t="s">
        <v>225</v>
      </c>
      <c r="G56" s="7" t="s">
        <v>219</v>
      </c>
      <c r="H56" s="19" t="str">
        <f t="shared" si="0"/>
        <v/>
      </c>
      <c r="I56" s="19" t="s">
        <v>221</v>
      </c>
      <c r="J56" s="7" t="s">
        <v>315</v>
      </c>
      <c r="K56" s="25" t="s">
        <v>225</v>
      </c>
      <c r="L56" s="1"/>
    </row>
    <row r="57" spans="1:12" x14ac:dyDescent="0.25">
      <c r="A57" s="12"/>
      <c r="B57" s="7" t="s">
        <v>222</v>
      </c>
      <c r="C57" s="25">
        <v>20001108</v>
      </c>
      <c r="D57" s="7" t="s">
        <v>453</v>
      </c>
      <c r="E57" s="26">
        <v>1</v>
      </c>
      <c r="F57" s="7" t="s">
        <v>225</v>
      </c>
      <c r="G57" s="7" t="s">
        <v>219</v>
      </c>
      <c r="H57" s="19" t="str">
        <f t="shared" si="0"/>
        <v/>
      </c>
      <c r="I57" s="19" t="s">
        <v>221</v>
      </c>
      <c r="J57" s="7" t="s">
        <v>315</v>
      </c>
      <c r="K57" s="25" t="s">
        <v>225</v>
      </c>
      <c r="L57" s="1"/>
    </row>
    <row r="58" spans="1:12" x14ac:dyDescent="0.25">
      <c r="A58" s="12"/>
      <c r="B58" s="7" t="s">
        <v>223</v>
      </c>
      <c r="C58" s="25">
        <v>20001113</v>
      </c>
      <c r="D58" s="7" t="s">
        <v>456</v>
      </c>
      <c r="E58" s="26">
        <v>50</v>
      </c>
      <c r="F58" s="7" t="s">
        <v>225</v>
      </c>
      <c r="G58" s="7" t="s">
        <v>219</v>
      </c>
      <c r="H58" s="19" t="str">
        <f t="shared" si="0"/>
        <v/>
      </c>
      <c r="I58" s="19" t="s">
        <v>221</v>
      </c>
      <c r="J58" s="7" t="s">
        <v>315</v>
      </c>
      <c r="K58" s="25" t="s">
        <v>225</v>
      </c>
      <c r="L58" s="1"/>
    </row>
    <row r="59" spans="1:12" x14ac:dyDescent="0.25">
      <c r="A59" s="12"/>
      <c r="B59" s="7" t="s">
        <v>222</v>
      </c>
      <c r="C59" s="25">
        <v>20001116</v>
      </c>
      <c r="D59" s="7" t="s">
        <v>458</v>
      </c>
      <c r="E59" s="26">
        <v>1</v>
      </c>
      <c r="F59" s="7" t="s">
        <v>225</v>
      </c>
      <c r="G59" s="7" t="s">
        <v>219</v>
      </c>
      <c r="H59" s="19" t="str">
        <f t="shared" si="0"/>
        <v/>
      </c>
      <c r="I59" s="19" t="s">
        <v>221</v>
      </c>
      <c r="J59" s="7" t="s">
        <v>315</v>
      </c>
      <c r="K59" s="25" t="s">
        <v>225</v>
      </c>
      <c r="L59" s="1"/>
    </row>
    <row r="60" spans="1:12" x14ac:dyDescent="0.25">
      <c r="A60" s="12"/>
      <c r="B60" s="7" t="s">
        <v>222</v>
      </c>
      <c r="C60" s="25">
        <v>20001117</v>
      </c>
      <c r="D60" s="7" t="s">
        <v>459</v>
      </c>
      <c r="E60" s="26">
        <v>1</v>
      </c>
      <c r="F60" s="7" t="s">
        <v>225</v>
      </c>
      <c r="G60" s="7" t="s">
        <v>219</v>
      </c>
      <c r="H60" s="19" t="str">
        <f t="shared" si="0"/>
        <v/>
      </c>
      <c r="I60" s="19" t="s">
        <v>221</v>
      </c>
      <c r="J60" s="7" t="s">
        <v>315</v>
      </c>
      <c r="K60" s="25" t="s">
        <v>225</v>
      </c>
      <c r="L60" s="1"/>
    </row>
    <row r="61" spans="1:12" x14ac:dyDescent="0.25">
      <c r="A61" s="12"/>
      <c r="B61" s="7" t="s">
        <v>223</v>
      </c>
      <c r="C61" s="25">
        <v>20001118</v>
      </c>
      <c r="D61" s="7" t="s">
        <v>460</v>
      </c>
      <c r="E61" s="26">
        <v>450</v>
      </c>
      <c r="F61" s="7" t="s">
        <v>225</v>
      </c>
      <c r="G61" s="7" t="s">
        <v>219</v>
      </c>
      <c r="H61" s="19" t="str">
        <f t="shared" si="0"/>
        <v/>
      </c>
      <c r="I61" s="19" t="s">
        <v>221</v>
      </c>
      <c r="J61" s="7" t="s">
        <v>315</v>
      </c>
      <c r="K61" s="25" t="s">
        <v>225</v>
      </c>
      <c r="L61" s="1"/>
    </row>
    <row r="62" spans="1:12" x14ac:dyDescent="0.25">
      <c r="A62" s="12"/>
      <c r="B62" s="7" t="s">
        <v>223</v>
      </c>
      <c r="C62" s="25">
        <v>20001119</v>
      </c>
      <c r="D62" s="7" t="s">
        <v>461</v>
      </c>
      <c r="E62" s="26">
        <v>450</v>
      </c>
      <c r="F62" s="7" t="s">
        <v>225</v>
      </c>
      <c r="G62" s="7" t="s">
        <v>219</v>
      </c>
      <c r="H62" s="19" t="str">
        <f t="shared" si="0"/>
        <v/>
      </c>
      <c r="I62" s="19" t="s">
        <v>221</v>
      </c>
      <c r="J62" s="7" t="s">
        <v>315</v>
      </c>
      <c r="K62" s="25" t="s">
        <v>225</v>
      </c>
      <c r="L62" s="1"/>
    </row>
    <row r="63" spans="1:12" x14ac:dyDescent="0.25">
      <c r="A63" s="12"/>
      <c r="B63" s="7" t="s">
        <v>222</v>
      </c>
      <c r="C63" s="25">
        <v>20001120</v>
      </c>
      <c r="D63" s="7" t="s">
        <v>462</v>
      </c>
      <c r="E63" s="26">
        <v>1</v>
      </c>
      <c r="F63" s="7" t="s">
        <v>225</v>
      </c>
      <c r="G63" s="7" t="s">
        <v>219</v>
      </c>
      <c r="H63" s="19" t="str">
        <f t="shared" si="0"/>
        <v/>
      </c>
      <c r="I63" s="19" t="s">
        <v>221</v>
      </c>
      <c r="J63" s="7" t="s">
        <v>315</v>
      </c>
      <c r="K63" s="25" t="s">
        <v>225</v>
      </c>
      <c r="L63" s="1"/>
    </row>
    <row r="64" spans="1:12" x14ac:dyDescent="0.25">
      <c r="A64" s="12"/>
      <c r="B64" s="7" t="s">
        <v>222</v>
      </c>
      <c r="C64" s="25">
        <v>20001121</v>
      </c>
      <c r="D64" s="7" t="s">
        <v>463</v>
      </c>
      <c r="E64" s="26">
        <v>1</v>
      </c>
      <c r="F64" s="7" t="s">
        <v>225</v>
      </c>
      <c r="G64" s="7" t="s">
        <v>219</v>
      </c>
      <c r="H64" s="19" t="str">
        <f t="shared" si="0"/>
        <v/>
      </c>
      <c r="I64" s="19" t="s">
        <v>221</v>
      </c>
      <c r="J64" s="7" t="s">
        <v>315</v>
      </c>
      <c r="K64" s="25" t="s">
        <v>225</v>
      </c>
      <c r="L64" s="1"/>
    </row>
    <row r="65" spans="1:12" x14ac:dyDescent="0.25">
      <c r="A65" s="12"/>
      <c r="B65" s="7" t="s">
        <v>222</v>
      </c>
      <c r="C65" s="25">
        <v>20001124</v>
      </c>
      <c r="D65" s="7" t="s">
        <v>466</v>
      </c>
      <c r="E65" s="26">
        <v>1</v>
      </c>
      <c r="F65" s="7" t="s">
        <v>225</v>
      </c>
      <c r="G65" s="7" t="s">
        <v>219</v>
      </c>
      <c r="H65" s="19" t="str">
        <f t="shared" si="0"/>
        <v/>
      </c>
      <c r="I65" s="19" t="s">
        <v>221</v>
      </c>
      <c r="J65" s="7" t="s">
        <v>347</v>
      </c>
      <c r="K65" s="25" t="s">
        <v>225</v>
      </c>
      <c r="L65" s="1"/>
    </row>
    <row r="66" spans="1:12" x14ac:dyDescent="0.25">
      <c r="A66" s="12"/>
      <c r="B66" s="7" t="s">
        <v>222</v>
      </c>
      <c r="C66" s="25">
        <v>20001125</v>
      </c>
      <c r="D66" s="7" t="s">
        <v>467</v>
      </c>
      <c r="E66" s="26">
        <v>1</v>
      </c>
      <c r="F66" s="7" t="s">
        <v>225</v>
      </c>
      <c r="G66" s="7" t="s">
        <v>219</v>
      </c>
      <c r="H66" s="19" t="str">
        <f t="shared" si="0"/>
        <v/>
      </c>
      <c r="I66" s="19" t="s">
        <v>221</v>
      </c>
      <c r="J66" s="7" t="s">
        <v>347</v>
      </c>
      <c r="K66" s="25" t="s">
        <v>225</v>
      </c>
      <c r="L66" s="1"/>
    </row>
    <row r="67" spans="1:12" x14ac:dyDescent="0.25">
      <c r="A67" s="12"/>
      <c r="B67" s="7" t="s">
        <v>222</v>
      </c>
      <c r="C67" s="25">
        <v>20001511</v>
      </c>
      <c r="D67" s="7" t="s">
        <v>586</v>
      </c>
      <c r="E67" s="26">
        <v>1</v>
      </c>
      <c r="F67" s="7" t="s">
        <v>225</v>
      </c>
      <c r="G67" s="7" t="s">
        <v>219</v>
      </c>
      <c r="H67" s="19" t="str">
        <f t="shared" si="0"/>
        <v/>
      </c>
      <c r="I67" s="19" t="s">
        <v>221</v>
      </c>
      <c r="J67" s="7" t="s">
        <v>348</v>
      </c>
      <c r="K67" s="25" t="s">
        <v>225</v>
      </c>
      <c r="L67" s="1"/>
    </row>
    <row r="68" spans="1:12" x14ac:dyDescent="0.25">
      <c r="A68" s="12"/>
      <c r="B68" s="7" t="s">
        <v>222</v>
      </c>
      <c r="C68" s="25">
        <v>20001721</v>
      </c>
      <c r="D68" s="7" t="s">
        <v>672</v>
      </c>
      <c r="E68" s="26">
        <v>1</v>
      </c>
      <c r="F68" s="7" t="s">
        <v>225</v>
      </c>
      <c r="G68" s="7" t="s">
        <v>219</v>
      </c>
      <c r="H68" s="19" t="str">
        <f t="shared" si="0"/>
        <v/>
      </c>
      <c r="I68" s="19" t="s">
        <v>221</v>
      </c>
      <c r="J68" s="7" t="s">
        <v>309</v>
      </c>
      <c r="K68" s="25" t="s">
        <v>225</v>
      </c>
      <c r="L68" s="1"/>
    </row>
    <row r="69" spans="1:12" x14ac:dyDescent="0.25">
      <c r="A69" s="12"/>
      <c r="B69" s="7" t="s">
        <v>229</v>
      </c>
      <c r="C69" s="25">
        <v>20001847</v>
      </c>
      <c r="D69" s="7" t="s">
        <v>715</v>
      </c>
      <c r="E69" s="26">
        <v>1</v>
      </c>
      <c r="F69" s="7" t="s">
        <v>225</v>
      </c>
      <c r="G69" s="7" t="s">
        <v>219</v>
      </c>
      <c r="H69" s="19" t="str">
        <f t="shared" si="0"/>
        <v/>
      </c>
      <c r="I69" s="19" t="s">
        <v>306</v>
      </c>
      <c r="J69" s="7" t="s">
        <v>313</v>
      </c>
      <c r="K69" s="25" t="s">
        <v>225</v>
      </c>
      <c r="L69" s="1"/>
    </row>
    <row r="70" spans="1:12" x14ac:dyDescent="0.25">
      <c r="A70" s="12"/>
      <c r="B70" s="7" t="s">
        <v>229</v>
      </c>
      <c r="C70" s="25">
        <v>20001848</v>
      </c>
      <c r="D70" s="7" t="s">
        <v>716</v>
      </c>
      <c r="E70" s="26">
        <v>1</v>
      </c>
      <c r="F70" s="7" t="s">
        <v>225</v>
      </c>
      <c r="G70" s="7" t="s">
        <v>219</v>
      </c>
      <c r="H70" s="19" t="str">
        <f t="shared" si="0"/>
        <v/>
      </c>
      <c r="I70" s="19" t="s">
        <v>306</v>
      </c>
      <c r="J70" s="7" t="s">
        <v>313</v>
      </c>
      <c r="K70" s="25" t="s">
        <v>225</v>
      </c>
      <c r="L70" s="1"/>
    </row>
    <row r="71" spans="1:12" x14ac:dyDescent="0.25">
      <c r="A71" s="12"/>
      <c r="B71" s="7" t="s">
        <v>229</v>
      </c>
      <c r="C71" s="25">
        <v>20001849</v>
      </c>
      <c r="D71" s="7" t="s">
        <v>717</v>
      </c>
      <c r="E71" s="26">
        <v>1</v>
      </c>
      <c r="F71" s="7" t="s">
        <v>225</v>
      </c>
      <c r="G71" s="7" t="s">
        <v>219</v>
      </c>
      <c r="H71" s="19" t="str">
        <f t="shared" si="0"/>
        <v/>
      </c>
      <c r="I71" s="19" t="s">
        <v>306</v>
      </c>
      <c r="J71" s="7" t="s">
        <v>313</v>
      </c>
      <c r="K71" s="25" t="s">
        <v>225</v>
      </c>
      <c r="L71" s="1"/>
    </row>
    <row r="72" spans="1:12" x14ac:dyDescent="0.25">
      <c r="A72" s="12"/>
      <c r="B72" s="7" t="s">
        <v>229</v>
      </c>
      <c r="C72" s="25">
        <v>20001850</v>
      </c>
      <c r="D72" s="7" t="s">
        <v>718</v>
      </c>
      <c r="E72" s="26">
        <v>1</v>
      </c>
      <c r="F72" s="7" t="s">
        <v>225</v>
      </c>
      <c r="G72" s="7" t="s">
        <v>219</v>
      </c>
      <c r="H72" s="19" t="str">
        <f t="shared" si="0"/>
        <v/>
      </c>
      <c r="I72" s="19" t="s">
        <v>306</v>
      </c>
      <c r="J72" s="7" t="s">
        <v>313</v>
      </c>
      <c r="K72" s="25" t="s">
        <v>225</v>
      </c>
      <c r="L72" s="1"/>
    </row>
    <row r="73" spans="1:12" x14ac:dyDescent="0.25">
      <c r="A73" s="12"/>
      <c r="B73" s="7" t="s">
        <v>229</v>
      </c>
      <c r="C73" s="25">
        <v>20001851</v>
      </c>
      <c r="D73" s="7" t="s">
        <v>719</v>
      </c>
      <c r="E73" s="26">
        <v>1</v>
      </c>
      <c r="F73" s="7" t="s">
        <v>225</v>
      </c>
      <c r="G73" s="7" t="s">
        <v>219</v>
      </c>
      <c r="H73" s="19" t="str">
        <f t="shared" si="0"/>
        <v/>
      </c>
      <c r="I73" s="19" t="s">
        <v>306</v>
      </c>
      <c r="J73" s="7" t="s">
        <v>313</v>
      </c>
      <c r="K73" s="25" t="s">
        <v>225</v>
      </c>
      <c r="L73" s="1"/>
    </row>
    <row r="74" spans="1:12" x14ac:dyDescent="0.25">
      <c r="A74" s="12"/>
      <c r="B74" s="7" t="s">
        <v>222</v>
      </c>
      <c r="C74" s="25">
        <v>20003531</v>
      </c>
      <c r="D74" s="7" t="s">
        <v>748</v>
      </c>
      <c r="E74" s="26">
        <v>1</v>
      </c>
      <c r="F74" s="7" t="s">
        <v>225</v>
      </c>
      <c r="G74" s="7" t="s">
        <v>219</v>
      </c>
      <c r="H74" s="19" t="str">
        <f t="shared" si="0"/>
        <v/>
      </c>
      <c r="I74" s="19" t="s">
        <v>221</v>
      </c>
      <c r="J74" s="7" t="s">
        <v>242</v>
      </c>
      <c r="K74" s="25" t="s">
        <v>225</v>
      </c>
      <c r="L74" s="1"/>
    </row>
    <row r="75" spans="1:12" x14ac:dyDescent="0.25">
      <c r="A75" s="12"/>
      <c r="B75" s="7" t="s">
        <v>222</v>
      </c>
      <c r="C75" s="25">
        <v>20004043</v>
      </c>
      <c r="D75" s="7" t="s">
        <v>905</v>
      </c>
      <c r="E75" s="26">
        <v>1</v>
      </c>
      <c r="F75" s="7" t="s">
        <v>225</v>
      </c>
      <c r="G75" s="7" t="s">
        <v>219</v>
      </c>
      <c r="H75" s="19" t="str">
        <f t="shared" si="0"/>
        <v/>
      </c>
      <c r="I75" s="19" t="s">
        <v>221</v>
      </c>
      <c r="J75" s="7" t="s">
        <v>311</v>
      </c>
      <c r="K75" s="25" t="s">
        <v>225</v>
      </c>
      <c r="L75" s="1"/>
    </row>
    <row r="76" spans="1:12" x14ac:dyDescent="0.25">
      <c r="A76" s="12"/>
      <c r="B76" s="7" t="s">
        <v>222</v>
      </c>
      <c r="C76" s="25">
        <v>20004044</v>
      </c>
      <c r="D76" s="7" t="s">
        <v>906</v>
      </c>
      <c r="E76" s="26">
        <v>1</v>
      </c>
      <c r="F76" s="7" t="s">
        <v>225</v>
      </c>
      <c r="G76" s="7" t="s">
        <v>219</v>
      </c>
      <c r="H76" s="19" t="str">
        <f t="shared" si="0"/>
        <v/>
      </c>
      <c r="I76" s="19" t="s">
        <v>221</v>
      </c>
      <c r="J76" s="7" t="s">
        <v>311</v>
      </c>
      <c r="K76" s="25" t="s">
        <v>225</v>
      </c>
      <c r="L76" s="1"/>
    </row>
    <row r="77" spans="1:12" x14ac:dyDescent="0.25">
      <c r="A77" s="12"/>
      <c r="B77" s="7" t="s">
        <v>222</v>
      </c>
      <c r="C77" s="25">
        <v>20004045</v>
      </c>
      <c r="D77" s="7" t="s">
        <v>907</v>
      </c>
      <c r="E77" s="26">
        <v>1</v>
      </c>
      <c r="F77" s="7" t="s">
        <v>225</v>
      </c>
      <c r="G77" s="7" t="s">
        <v>219</v>
      </c>
      <c r="H77" s="19" t="str">
        <f t="shared" si="0"/>
        <v/>
      </c>
      <c r="I77" s="19" t="s">
        <v>221</v>
      </c>
      <c r="J77" s="7" t="s">
        <v>311</v>
      </c>
      <c r="K77" s="25" t="s">
        <v>225</v>
      </c>
      <c r="L77" s="1"/>
    </row>
    <row r="78" spans="1:12" x14ac:dyDescent="0.25">
      <c r="A78" s="12"/>
      <c r="B78" s="7" t="s">
        <v>343</v>
      </c>
      <c r="C78" s="25">
        <v>20004132</v>
      </c>
      <c r="D78" s="7" t="s">
        <v>913</v>
      </c>
      <c r="E78" s="26">
        <v>1</v>
      </c>
      <c r="F78" s="7" t="s">
        <v>225</v>
      </c>
      <c r="G78" s="7" t="s">
        <v>219</v>
      </c>
      <c r="H78" s="19" t="str">
        <f t="shared" si="0"/>
        <v/>
      </c>
      <c r="I78" s="19" t="s">
        <v>912</v>
      </c>
      <c r="J78" s="7" t="s">
        <v>309</v>
      </c>
      <c r="K78" s="25" t="s">
        <v>225</v>
      </c>
      <c r="L78" s="1"/>
    </row>
    <row r="79" spans="1:12" x14ac:dyDescent="0.25">
      <c r="A79" s="12"/>
      <c r="B79" s="7" t="s">
        <v>343</v>
      </c>
      <c r="C79" s="25">
        <v>20004134</v>
      </c>
      <c r="D79" s="7" t="s">
        <v>914</v>
      </c>
      <c r="E79" s="26">
        <v>1</v>
      </c>
      <c r="F79" s="7" t="s">
        <v>225</v>
      </c>
      <c r="G79" s="7" t="s">
        <v>219</v>
      </c>
      <c r="H79" s="19" t="str">
        <f t="shared" ref="H79:H142" si="1">IF(A79="", "", A79*E79)</f>
        <v/>
      </c>
      <c r="I79" s="19" t="s">
        <v>912</v>
      </c>
      <c r="J79" s="7" t="s">
        <v>309</v>
      </c>
      <c r="K79" s="25" t="s">
        <v>225</v>
      </c>
      <c r="L79" s="1"/>
    </row>
    <row r="80" spans="1:12" x14ac:dyDescent="0.25">
      <c r="A80" s="12"/>
      <c r="B80" s="7" t="s">
        <v>227</v>
      </c>
      <c r="C80" s="25">
        <v>20004249</v>
      </c>
      <c r="D80" s="7" t="s">
        <v>915</v>
      </c>
      <c r="E80" s="26">
        <v>1</v>
      </c>
      <c r="F80" s="7" t="s">
        <v>225</v>
      </c>
      <c r="G80" s="7" t="s">
        <v>219</v>
      </c>
      <c r="H80" s="19" t="str">
        <f t="shared" si="1"/>
        <v/>
      </c>
      <c r="I80" s="19" t="s">
        <v>37</v>
      </c>
      <c r="J80" s="7" t="s">
        <v>242</v>
      </c>
      <c r="K80" s="25" t="s">
        <v>225</v>
      </c>
      <c r="L80" s="1"/>
    </row>
    <row r="81" spans="1:12" x14ac:dyDescent="0.25">
      <c r="A81" s="12"/>
      <c r="B81" s="7" t="s">
        <v>222</v>
      </c>
      <c r="C81" s="25">
        <v>20004336</v>
      </c>
      <c r="D81" s="7" t="s">
        <v>916</v>
      </c>
      <c r="E81" s="26">
        <v>1</v>
      </c>
      <c r="F81" s="7" t="s">
        <v>225</v>
      </c>
      <c r="G81" s="7" t="s">
        <v>219</v>
      </c>
      <c r="H81" s="19" t="str">
        <f t="shared" si="1"/>
        <v/>
      </c>
      <c r="I81" s="19" t="s">
        <v>221</v>
      </c>
      <c r="J81" s="7" t="s">
        <v>347</v>
      </c>
      <c r="K81" s="25" t="s">
        <v>225</v>
      </c>
      <c r="L81" s="1"/>
    </row>
    <row r="82" spans="1:12" x14ac:dyDescent="0.25">
      <c r="A82" s="12"/>
      <c r="B82" s="7" t="s">
        <v>230</v>
      </c>
      <c r="C82" s="25">
        <v>20004434</v>
      </c>
      <c r="D82" s="7" t="s">
        <v>922</v>
      </c>
      <c r="E82" s="26">
        <v>1</v>
      </c>
      <c r="F82" s="7" t="s">
        <v>225</v>
      </c>
      <c r="G82" s="7" t="s">
        <v>219</v>
      </c>
      <c r="H82" s="19" t="str">
        <f t="shared" si="1"/>
        <v/>
      </c>
      <c r="I82" s="19" t="s">
        <v>910</v>
      </c>
      <c r="J82" s="7" t="s">
        <v>397</v>
      </c>
      <c r="K82" s="25" t="s">
        <v>225</v>
      </c>
      <c r="L82" s="1"/>
    </row>
    <row r="83" spans="1:12" x14ac:dyDescent="0.25">
      <c r="A83" s="12"/>
      <c r="B83" s="7" t="s">
        <v>222</v>
      </c>
      <c r="C83" s="25">
        <v>20004437</v>
      </c>
      <c r="D83" s="7" t="s">
        <v>923</v>
      </c>
      <c r="E83" s="26">
        <v>1</v>
      </c>
      <c r="F83" s="7" t="s">
        <v>225</v>
      </c>
      <c r="G83" s="7" t="s">
        <v>219</v>
      </c>
      <c r="H83" s="19" t="str">
        <f t="shared" si="1"/>
        <v/>
      </c>
      <c r="I83" s="19" t="s">
        <v>221</v>
      </c>
      <c r="J83" s="7" t="s">
        <v>397</v>
      </c>
      <c r="K83" s="25" t="s">
        <v>225</v>
      </c>
      <c r="L83" s="1"/>
    </row>
    <row r="84" spans="1:12" x14ac:dyDescent="0.25">
      <c r="A84" s="12"/>
      <c r="B84" s="7" t="s">
        <v>222</v>
      </c>
      <c r="C84" s="25">
        <v>20004459</v>
      </c>
      <c r="D84" s="7" t="s">
        <v>927</v>
      </c>
      <c r="E84" s="26">
        <v>1</v>
      </c>
      <c r="F84" s="7" t="s">
        <v>225</v>
      </c>
      <c r="G84" s="7" t="s">
        <v>219</v>
      </c>
      <c r="H84" s="19" t="str">
        <f t="shared" si="1"/>
        <v/>
      </c>
      <c r="I84" s="19" t="s">
        <v>221</v>
      </c>
      <c r="J84" s="7" t="s">
        <v>397</v>
      </c>
      <c r="K84" s="25" t="s">
        <v>225</v>
      </c>
      <c r="L84" s="1"/>
    </row>
    <row r="85" spans="1:12" x14ac:dyDescent="0.25">
      <c r="A85" s="12"/>
      <c r="B85" s="7" t="s">
        <v>222</v>
      </c>
      <c r="C85" s="25">
        <v>20004461</v>
      </c>
      <c r="D85" s="7" t="s">
        <v>928</v>
      </c>
      <c r="E85" s="26">
        <v>1</v>
      </c>
      <c r="F85" s="7" t="s">
        <v>225</v>
      </c>
      <c r="G85" s="7" t="s">
        <v>219</v>
      </c>
      <c r="H85" s="19" t="str">
        <f t="shared" si="1"/>
        <v/>
      </c>
      <c r="I85" s="19" t="s">
        <v>221</v>
      </c>
      <c r="J85" s="7" t="s">
        <v>397</v>
      </c>
      <c r="K85" s="25" t="s">
        <v>225</v>
      </c>
      <c r="L85" s="1"/>
    </row>
    <row r="86" spans="1:12" x14ac:dyDescent="0.25">
      <c r="A86" s="12"/>
      <c r="B86" s="7" t="s">
        <v>222</v>
      </c>
      <c r="C86" s="25">
        <v>20004474</v>
      </c>
      <c r="D86" s="7" t="s">
        <v>930</v>
      </c>
      <c r="E86" s="26">
        <v>1</v>
      </c>
      <c r="F86" s="7" t="s">
        <v>225</v>
      </c>
      <c r="G86" s="7" t="s">
        <v>219</v>
      </c>
      <c r="H86" s="19" t="str">
        <f t="shared" si="1"/>
        <v/>
      </c>
      <c r="I86" s="19" t="s">
        <v>221</v>
      </c>
      <c r="J86" s="7" t="s">
        <v>440</v>
      </c>
      <c r="K86" s="25" t="s">
        <v>225</v>
      </c>
      <c r="L86" s="1"/>
    </row>
    <row r="87" spans="1:12" x14ac:dyDescent="0.25">
      <c r="A87" s="12"/>
      <c r="B87" s="7" t="s">
        <v>222</v>
      </c>
      <c r="C87" s="25">
        <v>20004476</v>
      </c>
      <c r="D87" s="7" t="s">
        <v>931</v>
      </c>
      <c r="E87" s="26">
        <v>1</v>
      </c>
      <c r="F87" s="7" t="s">
        <v>225</v>
      </c>
      <c r="G87" s="7" t="s">
        <v>219</v>
      </c>
      <c r="H87" s="19" t="str">
        <f t="shared" si="1"/>
        <v/>
      </c>
      <c r="I87" s="19" t="s">
        <v>221</v>
      </c>
      <c r="J87" s="7" t="s">
        <v>327</v>
      </c>
      <c r="K87" s="25" t="s">
        <v>225</v>
      </c>
      <c r="L87" s="1"/>
    </row>
    <row r="88" spans="1:12" x14ac:dyDescent="0.25">
      <c r="A88" s="12"/>
      <c r="B88" s="7" t="s">
        <v>229</v>
      </c>
      <c r="C88" s="25">
        <v>20004862</v>
      </c>
      <c r="D88" s="7" t="s">
        <v>932</v>
      </c>
      <c r="E88" s="26">
        <v>50</v>
      </c>
      <c r="F88" s="7" t="s">
        <v>225</v>
      </c>
      <c r="G88" s="7" t="s">
        <v>219</v>
      </c>
      <c r="H88" s="19" t="str">
        <f t="shared" si="1"/>
        <v/>
      </c>
      <c r="I88" s="19" t="s">
        <v>310</v>
      </c>
      <c r="J88" s="7" t="s">
        <v>347</v>
      </c>
      <c r="K88" s="25" t="s">
        <v>225</v>
      </c>
      <c r="L88" s="1"/>
    </row>
    <row r="89" spans="1:12" x14ac:dyDescent="0.25">
      <c r="A89" s="12"/>
      <c r="B89" s="7" t="s">
        <v>222</v>
      </c>
      <c r="C89" s="25">
        <v>20004960</v>
      </c>
      <c r="D89" s="7" t="s">
        <v>934</v>
      </c>
      <c r="E89" s="26">
        <v>1</v>
      </c>
      <c r="F89" s="7" t="s">
        <v>225</v>
      </c>
      <c r="G89" s="7" t="s">
        <v>219</v>
      </c>
      <c r="H89" s="19" t="str">
        <f t="shared" si="1"/>
        <v/>
      </c>
      <c r="I89" s="19" t="s">
        <v>221</v>
      </c>
      <c r="J89" s="7" t="s">
        <v>315</v>
      </c>
      <c r="K89" s="25" t="s">
        <v>225</v>
      </c>
      <c r="L89" s="1"/>
    </row>
    <row r="90" spans="1:12" x14ac:dyDescent="0.25">
      <c r="A90" s="12"/>
      <c r="B90" s="7" t="s">
        <v>222</v>
      </c>
      <c r="C90" s="25">
        <v>20005037</v>
      </c>
      <c r="D90" s="7" t="s">
        <v>939</v>
      </c>
      <c r="E90" s="26">
        <v>1</v>
      </c>
      <c r="F90" s="7" t="s">
        <v>225</v>
      </c>
      <c r="G90" s="7" t="s">
        <v>219</v>
      </c>
      <c r="H90" s="19" t="str">
        <f t="shared" si="1"/>
        <v/>
      </c>
      <c r="I90" s="19" t="s">
        <v>221</v>
      </c>
      <c r="J90" s="7" t="s">
        <v>347</v>
      </c>
      <c r="K90" s="25" t="s">
        <v>225</v>
      </c>
      <c r="L90" s="1"/>
    </row>
    <row r="91" spans="1:12" x14ac:dyDescent="0.25">
      <c r="A91" s="12"/>
      <c r="B91" s="7" t="s">
        <v>222</v>
      </c>
      <c r="C91" s="25">
        <v>20005038</v>
      </c>
      <c r="D91" s="7" t="s">
        <v>940</v>
      </c>
      <c r="E91" s="26">
        <v>1</v>
      </c>
      <c r="F91" s="7" t="s">
        <v>225</v>
      </c>
      <c r="G91" s="7" t="s">
        <v>219</v>
      </c>
      <c r="H91" s="19" t="str">
        <f t="shared" si="1"/>
        <v/>
      </c>
      <c r="I91" s="19" t="s">
        <v>221</v>
      </c>
      <c r="J91" s="7" t="s">
        <v>347</v>
      </c>
      <c r="K91" s="25" t="s">
        <v>225</v>
      </c>
      <c r="L91" s="1"/>
    </row>
    <row r="92" spans="1:12" x14ac:dyDescent="0.25">
      <c r="A92" s="12"/>
      <c r="B92" s="7" t="s">
        <v>227</v>
      </c>
      <c r="C92" s="25">
        <v>20005141</v>
      </c>
      <c r="D92" s="7" t="s">
        <v>948</v>
      </c>
      <c r="E92" s="26">
        <v>1</v>
      </c>
      <c r="F92" s="7" t="s">
        <v>225</v>
      </c>
      <c r="G92" s="7" t="s">
        <v>219</v>
      </c>
      <c r="H92" s="19" t="str">
        <f t="shared" si="1"/>
        <v/>
      </c>
      <c r="I92" s="19" t="s">
        <v>37</v>
      </c>
      <c r="J92" s="7" t="s">
        <v>402</v>
      </c>
      <c r="K92" s="25" t="s">
        <v>225</v>
      </c>
      <c r="L92" s="1"/>
    </row>
    <row r="93" spans="1:12" x14ac:dyDescent="0.25">
      <c r="A93" s="12"/>
      <c r="B93" s="7" t="s">
        <v>229</v>
      </c>
      <c r="C93" s="25">
        <v>20005201</v>
      </c>
      <c r="D93" s="7" t="s">
        <v>953</v>
      </c>
      <c r="E93" s="26">
        <v>1</v>
      </c>
      <c r="F93" s="7" t="s">
        <v>225</v>
      </c>
      <c r="G93" s="7" t="s">
        <v>219</v>
      </c>
      <c r="H93" s="19" t="str">
        <f t="shared" si="1"/>
        <v/>
      </c>
      <c r="I93" s="19" t="s">
        <v>306</v>
      </c>
      <c r="J93" s="7" t="s">
        <v>313</v>
      </c>
      <c r="K93" s="25" t="s">
        <v>225</v>
      </c>
      <c r="L93" s="1"/>
    </row>
    <row r="94" spans="1:12" x14ac:dyDescent="0.25">
      <c r="A94" s="12"/>
      <c r="B94" s="7" t="s">
        <v>222</v>
      </c>
      <c r="C94" s="25">
        <v>20005257</v>
      </c>
      <c r="D94" s="7" t="s">
        <v>966</v>
      </c>
      <c r="E94" s="26">
        <v>1</v>
      </c>
      <c r="F94" s="7" t="s">
        <v>225</v>
      </c>
      <c r="G94" s="7" t="s">
        <v>219</v>
      </c>
      <c r="H94" s="19" t="str">
        <f t="shared" si="1"/>
        <v/>
      </c>
      <c r="I94" s="19" t="s">
        <v>221</v>
      </c>
      <c r="J94" s="7" t="s">
        <v>347</v>
      </c>
      <c r="K94" s="25" t="s">
        <v>225</v>
      </c>
      <c r="L94" s="1"/>
    </row>
    <row r="95" spans="1:12" x14ac:dyDescent="0.25">
      <c r="A95" s="12"/>
      <c r="B95" s="7" t="s">
        <v>222</v>
      </c>
      <c r="C95" s="25">
        <v>20005259</v>
      </c>
      <c r="D95" s="7" t="s">
        <v>968</v>
      </c>
      <c r="E95" s="26">
        <v>1</v>
      </c>
      <c r="F95" s="7" t="s">
        <v>225</v>
      </c>
      <c r="G95" s="7" t="s">
        <v>219</v>
      </c>
      <c r="H95" s="19" t="str">
        <f t="shared" si="1"/>
        <v/>
      </c>
      <c r="I95" s="19" t="s">
        <v>221</v>
      </c>
      <c r="J95" s="7" t="s">
        <v>347</v>
      </c>
      <c r="K95" s="25" t="s">
        <v>225</v>
      </c>
      <c r="L95" s="1"/>
    </row>
    <row r="96" spans="1:12" x14ac:dyDescent="0.25">
      <c r="A96" s="12"/>
      <c r="B96" s="7" t="s">
        <v>222</v>
      </c>
      <c r="C96" s="25">
        <v>20005263</v>
      </c>
      <c r="D96" s="7" t="s">
        <v>969</v>
      </c>
      <c r="E96" s="26">
        <v>1</v>
      </c>
      <c r="F96" s="7" t="s">
        <v>225</v>
      </c>
      <c r="G96" s="7" t="s">
        <v>219</v>
      </c>
      <c r="H96" s="19" t="str">
        <f t="shared" si="1"/>
        <v/>
      </c>
      <c r="I96" s="19" t="s">
        <v>221</v>
      </c>
      <c r="J96" s="7" t="s">
        <v>315</v>
      </c>
      <c r="K96" s="25" t="s">
        <v>225</v>
      </c>
      <c r="L96" s="1"/>
    </row>
    <row r="97" spans="1:12" x14ac:dyDescent="0.25">
      <c r="A97" s="12"/>
      <c r="B97" s="7" t="s">
        <v>222</v>
      </c>
      <c r="C97" s="25">
        <v>20005264</v>
      </c>
      <c r="D97" s="7" t="s">
        <v>970</v>
      </c>
      <c r="E97" s="26">
        <v>1</v>
      </c>
      <c r="F97" s="7" t="s">
        <v>225</v>
      </c>
      <c r="G97" s="7" t="s">
        <v>219</v>
      </c>
      <c r="H97" s="19" t="str">
        <f t="shared" si="1"/>
        <v/>
      </c>
      <c r="I97" s="19" t="s">
        <v>221</v>
      </c>
      <c r="J97" s="7" t="s">
        <v>315</v>
      </c>
      <c r="K97" s="25" t="s">
        <v>225</v>
      </c>
      <c r="L97" s="1"/>
    </row>
    <row r="98" spans="1:12" x14ac:dyDescent="0.25">
      <c r="A98" s="12"/>
      <c r="B98" s="7" t="s">
        <v>222</v>
      </c>
      <c r="C98" s="25">
        <v>20005265</v>
      </c>
      <c r="D98" s="7" t="s">
        <v>11508</v>
      </c>
      <c r="E98" s="26">
        <v>1</v>
      </c>
      <c r="F98" s="7" t="s">
        <v>225</v>
      </c>
      <c r="G98" s="7" t="s">
        <v>219</v>
      </c>
      <c r="H98" s="19" t="str">
        <f t="shared" si="1"/>
        <v/>
      </c>
      <c r="I98" s="19" t="s">
        <v>221</v>
      </c>
      <c r="J98" s="7" t="s">
        <v>315</v>
      </c>
      <c r="K98" s="25" t="s">
        <v>225</v>
      </c>
      <c r="L98" s="1"/>
    </row>
    <row r="99" spans="1:12" x14ac:dyDescent="0.25">
      <c r="A99" s="12"/>
      <c r="B99" s="7" t="s">
        <v>222</v>
      </c>
      <c r="C99" s="25">
        <v>20005266</v>
      </c>
      <c r="D99" s="7" t="s">
        <v>971</v>
      </c>
      <c r="E99" s="26">
        <v>1</v>
      </c>
      <c r="F99" s="7" t="s">
        <v>225</v>
      </c>
      <c r="G99" s="7" t="s">
        <v>219</v>
      </c>
      <c r="H99" s="19" t="str">
        <f t="shared" si="1"/>
        <v/>
      </c>
      <c r="I99" s="19" t="s">
        <v>221</v>
      </c>
      <c r="J99" s="7" t="s">
        <v>315</v>
      </c>
      <c r="K99" s="25" t="s">
        <v>225</v>
      </c>
      <c r="L99" s="1"/>
    </row>
    <row r="100" spans="1:12" x14ac:dyDescent="0.25">
      <c r="A100" s="12"/>
      <c r="B100" s="7" t="s">
        <v>222</v>
      </c>
      <c r="C100" s="25">
        <v>20005270</v>
      </c>
      <c r="D100" s="7" t="s">
        <v>973</v>
      </c>
      <c r="E100" s="26">
        <v>1</v>
      </c>
      <c r="F100" s="7" t="s">
        <v>225</v>
      </c>
      <c r="G100" s="7" t="s">
        <v>219</v>
      </c>
      <c r="H100" s="19" t="str">
        <f t="shared" si="1"/>
        <v/>
      </c>
      <c r="I100" s="19" t="s">
        <v>221</v>
      </c>
      <c r="J100" s="7" t="s">
        <v>347</v>
      </c>
      <c r="K100" s="25" t="s">
        <v>225</v>
      </c>
      <c r="L100" s="1"/>
    </row>
    <row r="101" spans="1:12" x14ac:dyDescent="0.25">
      <c r="A101" s="12"/>
      <c r="B101" s="7" t="s">
        <v>222</v>
      </c>
      <c r="C101" s="25">
        <v>20005296</v>
      </c>
      <c r="D101" s="7" t="s">
        <v>975</v>
      </c>
      <c r="E101" s="26">
        <v>1</v>
      </c>
      <c r="F101" s="7" t="s">
        <v>225</v>
      </c>
      <c r="G101" s="7" t="s">
        <v>219</v>
      </c>
      <c r="H101" s="19" t="str">
        <f t="shared" si="1"/>
        <v/>
      </c>
      <c r="I101" s="19" t="s">
        <v>221</v>
      </c>
      <c r="J101" s="7" t="s">
        <v>313</v>
      </c>
      <c r="K101" s="25" t="s">
        <v>225</v>
      </c>
      <c r="L101" s="1"/>
    </row>
    <row r="102" spans="1:12" x14ac:dyDescent="0.25">
      <c r="A102" s="12"/>
      <c r="B102" s="7" t="s">
        <v>343</v>
      </c>
      <c r="C102" s="25">
        <v>20005450</v>
      </c>
      <c r="D102" s="7" t="s">
        <v>984</v>
      </c>
      <c r="E102" s="26">
        <v>1</v>
      </c>
      <c r="F102" s="7" t="s">
        <v>225</v>
      </c>
      <c r="G102" s="7" t="s">
        <v>219</v>
      </c>
      <c r="H102" s="19" t="str">
        <f t="shared" si="1"/>
        <v/>
      </c>
      <c r="I102" s="19" t="s">
        <v>912</v>
      </c>
      <c r="J102" s="7" t="s">
        <v>345</v>
      </c>
      <c r="K102" s="25" t="s">
        <v>225</v>
      </c>
      <c r="L102" s="1"/>
    </row>
    <row r="103" spans="1:12" x14ac:dyDescent="0.25">
      <c r="A103" s="12"/>
      <c r="B103" s="7" t="s">
        <v>343</v>
      </c>
      <c r="C103" s="25">
        <v>20005451</v>
      </c>
      <c r="D103" s="7" t="s">
        <v>985</v>
      </c>
      <c r="E103" s="26">
        <v>1</v>
      </c>
      <c r="F103" s="7" t="s">
        <v>225</v>
      </c>
      <c r="G103" s="7" t="s">
        <v>219</v>
      </c>
      <c r="H103" s="19" t="str">
        <f t="shared" si="1"/>
        <v/>
      </c>
      <c r="I103" s="19" t="s">
        <v>912</v>
      </c>
      <c r="J103" s="7" t="s">
        <v>345</v>
      </c>
      <c r="K103" s="25" t="s">
        <v>225</v>
      </c>
      <c r="L103" s="1"/>
    </row>
    <row r="104" spans="1:12" x14ac:dyDescent="0.25">
      <c r="A104" s="12"/>
      <c r="B104" s="7" t="s">
        <v>222</v>
      </c>
      <c r="C104" s="25">
        <v>20005459</v>
      </c>
      <c r="D104" s="7" t="s">
        <v>986</v>
      </c>
      <c r="E104" s="26">
        <v>1</v>
      </c>
      <c r="F104" s="7" t="s">
        <v>225</v>
      </c>
      <c r="G104" s="7" t="s">
        <v>219</v>
      </c>
      <c r="H104" s="19" t="str">
        <f t="shared" si="1"/>
        <v/>
      </c>
      <c r="I104" s="19" t="s">
        <v>221</v>
      </c>
      <c r="J104" s="7" t="s">
        <v>345</v>
      </c>
      <c r="K104" s="25" t="s">
        <v>225</v>
      </c>
      <c r="L104" s="1"/>
    </row>
    <row r="105" spans="1:12" x14ac:dyDescent="0.25">
      <c r="A105" s="12"/>
      <c r="B105" s="7" t="s">
        <v>222</v>
      </c>
      <c r="C105" s="25">
        <v>20005475</v>
      </c>
      <c r="D105" s="7" t="s">
        <v>988</v>
      </c>
      <c r="E105" s="26">
        <v>1</v>
      </c>
      <c r="F105" s="7" t="s">
        <v>225</v>
      </c>
      <c r="G105" s="7" t="s">
        <v>219</v>
      </c>
      <c r="H105" s="19" t="str">
        <f t="shared" si="1"/>
        <v/>
      </c>
      <c r="I105" s="19" t="s">
        <v>221</v>
      </c>
      <c r="J105" s="7" t="s">
        <v>954</v>
      </c>
      <c r="K105" s="25" t="s">
        <v>225</v>
      </c>
      <c r="L105" s="1"/>
    </row>
    <row r="106" spans="1:12" x14ac:dyDescent="0.25">
      <c r="A106" s="12"/>
      <c r="B106" s="7" t="s">
        <v>222</v>
      </c>
      <c r="C106" s="25">
        <v>20005493</v>
      </c>
      <c r="D106" s="7" t="s">
        <v>992</v>
      </c>
      <c r="E106" s="26">
        <v>1</v>
      </c>
      <c r="F106" s="7" t="s">
        <v>225</v>
      </c>
      <c r="G106" s="7" t="s">
        <v>219</v>
      </c>
      <c r="H106" s="19" t="str">
        <f t="shared" si="1"/>
        <v/>
      </c>
      <c r="I106" s="19" t="s">
        <v>221</v>
      </c>
      <c r="J106" s="7" t="s">
        <v>347</v>
      </c>
      <c r="K106" s="25" t="s">
        <v>225</v>
      </c>
      <c r="L106" s="1"/>
    </row>
    <row r="107" spans="1:12" x14ac:dyDescent="0.25">
      <c r="A107" s="12"/>
      <c r="B107" s="7" t="s">
        <v>222</v>
      </c>
      <c r="C107" s="25">
        <v>20005497</v>
      </c>
      <c r="D107" s="7" t="s">
        <v>993</v>
      </c>
      <c r="E107" s="26">
        <v>1</v>
      </c>
      <c r="F107" s="7" t="s">
        <v>225</v>
      </c>
      <c r="G107" s="7" t="s">
        <v>219</v>
      </c>
      <c r="H107" s="19" t="str">
        <f t="shared" si="1"/>
        <v/>
      </c>
      <c r="I107" s="19" t="s">
        <v>221</v>
      </c>
      <c r="J107" s="7" t="s">
        <v>347</v>
      </c>
      <c r="K107" s="25" t="s">
        <v>225</v>
      </c>
      <c r="L107" s="1"/>
    </row>
    <row r="108" spans="1:12" x14ac:dyDescent="0.25">
      <c r="A108" s="12"/>
      <c r="B108" s="7" t="s">
        <v>222</v>
      </c>
      <c r="C108" s="25">
        <v>20005499</v>
      </c>
      <c r="D108" s="7" t="s">
        <v>994</v>
      </c>
      <c r="E108" s="26">
        <v>1</v>
      </c>
      <c r="F108" s="7" t="s">
        <v>225</v>
      </c>
      <c r="G108" s="7" t="s">
        <v>219</v>
      </c>
      <c r="H108" s="19" t="str">
        <f t="shared" si="1"/>
        <v/>
      </c>
      <c r="I108" s="19" t="s">
        <v>221</v>
      </c>
      <c r="J108" s="7" t="s">
        <v>347</v>
      </c>
      <c r="K108" s="25" t="s">
        <v>225</v>
      </c>
      <c r="L108" s="1"/>
    </row>
    <row r="109" spans="1:12" x14ac:dyDescent="0.25">
      <c r="A109" s="12"/>
      <c r="B109" s="7" t="s">
        <v>223</v>
      </c>
      <c r="C109" s="25">
        <v>20005551</v>
      </c>
      <c r="D109" s="7" t="s">
        <v>997</v>
      </c>
      <c r="E109" s="26">
        <v>50</v>
      </c>
      <c r="F109" s="7" t="s">
        <v>225</v>
      </c>
      <c r="G109" s="7" t="s">
        <v>219</v>
      </c>
      <c r="H109" s="19" t="str">
        <f t="shared" si="1"/>
        <v/>
      </c>
      <c r="I109" s="19" t="s">
        <v>221</v>
      </c>
      <c r="J109" s="7" t="s">
        <v>315</v>
      </c>
      <c r="K109" s="25" t="s">
        <v>225</v>
      </c>
      <c r="L109" s="1"/>
    </row>
    <row r="110" spans="1:12" x14ac:dyDescent="0.25">
      <c r="A110" s="12"/>
      <c r="B110" s="7" t="s">
        <v>223</v>
      </c>
      <c r="C110" s="25">
        <v>20005555</v>
      </c>
      <c r="D110" s="7" t="s">
        <v>998</v>
      </c>
      <c r="E110" s="26">
        <v>500</v>
      </c>
      <c r="F110" s="7" t="s">
        <v>225</v>
      </c>
      <c r="G110" s="7" t="s">
        <v>219</v>
      </c>
      <c r="H110" s="19" t="str">
        <f t="shared" si="1"/>
        <v/>
      </c>
      <c r="I110" s="19" t="s">
        <v>221</v>
      </c>
      <c r="J110" s="7" t="s">
        <v>315</v>
      </c>
      <c r="K110" s="25" t="s">
        <v>225</v>
      </c>
      <c r="L110" s="1"/>
    </row>
    <row r="111" spans="1:12" x14ac:dyDescent="0.25">
      <c r="A111" s="12"/>
      <c r="B111" s="7" t="s">
        <v>4785</v>
      </c>
      <c r="C111" s="25">
        <v>20005863</v>
      </c>
      <c r="D111" s="7" t="s">
        <v>1014</v>
      </c>
      <c r="E111" s="26">
        <v>1</v>
      </c>
      <c r="F111" s="7" t="s">
        <v>225</v>
      </c>
      <c r="G111" s="7" t="s">
        <v>219</v>
      </c>
      <c r="H111" s="19" t="str">
        <f t="shared" si="1"/>
        <v/>
      </c>
      <c r="I111" s="19" t="s">
        <v>321</v>
      </c>
      <c r="J111" s="7" t="s">
        <v>246</v>
      </c>
      <c r="K111" s="25" t="s">
        <v>225</v>
      </c>
      <c r="L111" s="1"/>
    </row>
    <row r="112" spans="1:12" x14ac:dyDescent="0.25">
      <c r="A112" s="12"/>
      <c r="B112" s="7" t="s">
        <v>222</v>
      </c>
      <c r="C112" s="25">
        <v>20005888</v>
      </c>
      <c r="D112" s="7" t="s">
        <v>1023</v>
      </c>
      <c r="E112" s="26">
        <v>1</v>
      </c>
      <c r="F112" s="7" t="s">
        <v>225</v>
      </c>
      <c r="G112" s="7" t="s">
        <v>219</v>
      </c>
      <c r="H112" s="19" t="str">
        <f t="shared" si="1"/>
        <v/>
      </c>
      <c r="I112" s="19" t="s">
        <v>221</v>
      </c>
      <c r="J112" s="7" t="s">
        <v>246</v>
      </c>
      <c r="K112" s="25" t="s">
        <v>225</v>
      </c>
      <c r="L112" s="1"/>
    </row>
    <row r="113" spans="1:12" x14ac:dyDescent="0.25">
      <c r="A113" s="12"/>
      <c r="B113" s="7" t="s">
        <v>222</v>
      </c>
      <c r="C113" s="25">
        <v>20005911</v>
      </c>
      <c r="D113" s="7" t="s">
        <v>1024</v>
      </c>
      <c r="E113" s="26">
        <v>1</v>
      </c>
      <c r="F113" s="7" t="s">
        <v>225</v>
      </c>
      <c r="G113" s="7" t="s">
        <v>219</v>
      </c>
      <c r="H113" s="19" t="str">
        <f t="shared" si="1"/>
        <v/>
      </c>
      <c r="I113" s="19" t="s">
        <v>221</v>
      </c>
      <c r="J113" s="7" t="s">
        <v>246</v>
      </c>
      <c r="K113" s="25" t="s">
        <v>225</v>
      </c>
      <c r="L113" s="1"/>
    </row>
    <row r="114" spans="1:12" x14ac:dyDescent="0.25">
      <c r="A114" s="12"/>
      <c r="B114" s="7" t="s">
        <v>233</v>
      </c>
      <c r="C114" s="25">
        <v>20006086</v>
      </c>
      <c r="D114" s="7" t="s">
        <v>1031</v>
      </c>
      <c r="E114" s="26">
        <v>500</v>
      </c>
      <c r="F114" s="7" t="s">
        <v>352</v>
      </c>
      <c r="G114" s="7" t="s">
        <v>184</v>
      </c>
      <c r="H114" s="19" t="str">
        <f t="shared" si="1"/>
        <v/>
      </c>
      <c r="I114" s="19" t="s">
        <v>221</v>
      </c>
      <c r="J114" s="7" t="s">
        <v>313</v>
      </c>
      <c r="K114" s="25" t="s">
        <v>352</v>
      </c>
      <c r="L114" s="1"/>
    </row>
    <row r="115" spans="1:12" x14ac:dyDescent="0.25">
      <c r="A115" s="12"/>
      <c r="B115" s="7" t="s">
        <v>222</v>
      </c>
      <c r="C115" s="25">
        <v>20006089</v>
      </c>
      <c r="D115" s="7" t="s">
        <v>1032</v>
      </c>
      <c r="E115" s="26">
        <v>1</v>
      </c>
      <c r="F115" s="7" t="s">
        <v>225</v>
      </c>
      <c r="G115" s="7" t="s">
        <v>219</v>
      </c>
      <c r="H115" s="19" t="str">
        <f t="shared" si="1"/>
        <v/>
      </c>
      <c r="I115" s="19" t="s">
        <v>221</v>
      </c>
      <c r="J115" s="7" t="s">
        <v>313</v>
      </c>
      <c r="K115" s="25" t="s">
        <v>225</v>
      </c>
      <c r="L115" s="1"/>
    </row>
    <row r="116" spans="1:12" x14ac:dyDescent="0.25">
      <c r="A116" s="12"/>
      <c r="B116" s="7" t="s">
        <v>222</v>
      </c>
      <c r="C116" s="25">
        <v>20006091</v>
      </c>
      <c r="D116" s="7" t="s">
        <v>1034</v>
      </c>
      <c r="E116" s="26">
        <v>1</v>
      </c>
      <c r="F116" s="7" t="s">
        <v>225</v>
      </c>
      <c r="G116" s="7" t="s">
        <v>219</v>
      </c>
      <c r="H116" s="19" t="str">
        <f t="shared" si="1"/>
        <v/>
      </c>
      <c r="I116" s="19" t="s">
        <v>221</v>
      </c>
      <c r="J116" s="7" t="s">
        <v>313</v>
      </c>
      <c r="K116" s="25" t="s">
        <v>225</v>
      </c>
      <c r="L116" s="1"/>
    </row>
    <row r="117" spans="1:12" x14ac:dyDescent="0.25">
      <c r="A117" s="12"/>
      <c r="B117" s="7" t="s">
        <v>222</v>
      </c>
      <c r="C117" s="25">
        <v>20006176</v>
      </c>
      <c r="D117" s="7" t="s">
        <v>1037</v>
      </c>
      <c r="E117" s="26">
        <v>1</v>
      </c>
      <c r="F117" s="7" t="s">
        <v>225</v>
      </c>
      <c r="G117" s="7" t="s">
        <v>219</v>
      </c>
      <c r="H117" s="19" t="str">
        <f t="shared" si="1"/>
        <v/>
      </c>
      <c r="I117" s="19" t="s">
        <v>221</v>
      </c>
      <c r="J117" s="7" t="s">
        <v>440</v>
      </c>
      <c r="K117" s="25" t="s">
        <v>225</v>
      </c>
      <c r="L117" s="1"/>
    </row>
    <row r="118" spans="1:12" x14ac:dyDescent="0.25">
      <c r="A118" s="12"/>
      <c r="B118" s="7" t="s">
        <v>222</v>
      </c>
      <c r="C118" s="25">
        <v>20006759</v>
      </c>
      <c r="D118" s="7" t="s">
        <v>1086</v>
      </c>
      <c r="E118" s="26">
        <v>1</v>
      </c>
      <c r="F118" s="7" t="s">
        <v>225</v>
      </c>
      <c r="G118" s="7" t="s">
        <v>219</v>
      </c>
      <c r="H118" s="19" t="str">
        <f t="shared" si="1"/>
        <v/>
      </c>
      <c r="I118" s="19" t="s">
        <v>221</v>
      </c>
      <c r="J118" s="7" t="s">
        <v>327</v>
      </c>
      <c r="K118" s="25" t="s">
        <v>225</v>
      </c>
      <c r="L118" s="1"/>
    </row>
    <row r="119" spans="1:12" x14ac:dyDescent="0.25">
      <c r="A119" s="12"/>
      <c r="B119" s="7" t="s">
        <v>229</v>
      </c>
      <c r="C119" s="25">
        <v>20008583</v>
      </c>
      <c r="D119" s="7" t="s">
        <v>1116</v>
      </c>
      <c r="E119" s="26">
        <v>1</v>
      </c>
      <c r="F119" s="7" t="s">
        <v>225</v>
      </c>
      <c r="G119" s="7" t="s">
        <v>219</v>
      </c>
      <c r="H119" s="19" t="str">
        <f t="shared" si="1"/>
        <v/>
      </c>
      <c r="I119" s="19" t="s">
        <v>306</v>
      </c>
      <c r="J119" s="7" t="s">
        <v>246</v>
      </c>
      <c r="K119" s="25" t="s">
        <v>225</v>
      </c>
      <c r="L119" s="1"/>
    </row>
    <row r="120" spans="1:12" x14ac:dyDescent="0.25">
      <c r="A120" s="12"/>
      <c r="B120" s="7" t="s">
        <v>222</v>
      </c>
      <c r="C120" s="25">
        <v>20008634</v>
      </c>
      <c r="D120" s="7" t="s">
        <v>1117</v>
      </c>
      <c r="E120" s="26">
        <v>1</v>
      </c>
      <c r="F120" s="7" t="s">
        <v>225</v>
      </c>
      <c r="G120" s="7" t="s">
        <v>219</v>
      </c>
      <c r="H120" s="19" t="str">
        <f t="shared" si="1"/>
        <v/>
      </c>
      <c r="I120" s="19" t="s">
        <v>221</v>
      </c>
      <c r="J120" s="7" t="s">
        <v>313</v>
      </c>
      <c r="K120" s="25" t="s">
        <v>225</v>
      </c>
      <c r="L120" s="1"/>
    </row>
    <row r="121" spans="1:12" x14ac:dyDescent="0.25">
      <c r="A121" s="12"/>
      <c r="B121" s="7" t="s">
        <v>1177</v>
      </c>
      <c r="C121" s="25">
        <v>20009217</v>
      </c>
      <c r="D121" s="7" t="s">
        <v>1176</v>
      </c>
      <c r="E121" s="26">
        <v>500</v>
      </c>
      <c r="F121" s="7" t="s">
        <v>225</v>
      </c>
      <c r="G121" s="7" t="s">
        <v>219</v>
      </c>
      <c r="H121" s="19" t="str">
        <f t="shared" si="1"/>
        <v/>
      </c>
      <c r="I121" s="19" t="s">
        <v>37</v>
      </c>
      <c r="J121" s="7" t="s">
        <v>402</v>
      </c>
      <c r="K121" s="25" t="s">
        <v>225</v>
      </c>
      <c r="L121" s="1"/>
    </row>
    <row r="122" spans="1:12" x14ac:dyDescent="0.25">
      <c r="A122" s="12"/>
      <c r="B122" s="7" t="s">
        <v>222</v>
      </c>
      <c r="C122" s="25">
        <v>20009392</v>
      </c>
      <c r="D122" s="7" t="s">
        <v>1180</v>
      </c>
      <c r="E122" s="26">
        <v>1</v>
      </c>
      <c r="F122" s="7" t="s">
        <v>225</v>
      </c>
      <c r="G122" s="7" t="s">
        <v>219</v>
      </c>
      <c r="H122" s="19" t="str">
        <f t="shared" si="1"/>
        <v/>
      </c>
      <c r="I122" s="19" t="s">
        <v>221</v>
      </c>
      <c r="J122" s="7" t="s">
        <v>721</v>
      </c>
      <c r="K122" s="25" t="s">
        <v>225</v>
      </c>
      <c r="L122" s="1"/>
    </row>
    <row r="123" spans="1:12" x14ac:dyDescent="0.25">
      <c r="A123" s="12"/>
      <c r="B123" s="7" t="s">
        <v>222</v>
      </c>
      <c r="C123" s="25">
        <v>20009635</v>
      </c>
      <c r="D123" s="7" t="s">
        <v>1186</v>
      </c>
      <c r="E123" s="26">
        <v>1</v>
      </c>
      <c r="F123" s="7" t="s">
        <v>225</v>
      </c>
      <c r="G123" s="7" t="s">
        <v>219</v>
      </c>
      <c r="H123" s="19" t="str">
        <f t="shared" si="1"/>
        <v/>
      </c>
      <c r="I123" s="19" t="s">
        <v>221</v>
      </c>
      <c r="J123" s="7" t="s">
        <v>954</v>
      </c>
      <c r="K123" s="25" t="s">
        <v>225</v>
      </c>
      <c r="L123" s="1"/>
    </row>
    <row r="124" spans="1:12" x14ac:dyDescent="0.25">
      <c r="A124" s="12"/>
      <c r="B124" s="7" t="s">
        <v>222</v>
      </c>
      <c r="C124" s="25">
        <v>20009637</v>
      </c>
      <c r="D124" s="7" t="s">
        <v>1187</v>
      </c>
      <c r="E124" s="26">
        <v>1</v>
      </c>
      <c r="F124" s="7" t="s">
        <v>225</v>
      </c>
      <c r="G124" s="7" t="s">
        <v>219</v>
      </c>
      <c r="H124" s="19" t="str">
        <f t="shared" si="1"/>
        <v/>
      </c>
      <c r="I124" s="19" t="s">
        <v>221</v>
      </c>
      <c r="J124" s="7" t="s">
        <v>954</v>
      </c>
      <c r="K124" s="25" t="s">
        <v>225</v>
      </c>
      <c r="L124" s="1"/>
    </row>
    <row r="125" spans="1:12" x14ac:dyDescent="0.25">
      <c r="A125" s="12"/>
      <c r="B125" s="7" t="s">
        <v>1177</v>
      </c>
      <c r="C125" s="25">
        <v>20009692</v>
      </c>
      <c r="D125" s="7" t="s">
        <v>1189</v>
      </c>
      <c r="E125" s="26">
        <v>500</v>
      </c>
      <c r="F125" s="7" t="s">
        <v>225</v>
      </c>
      <c r="G125" s="7" t="s">
        <v>219</v>
      </c>
      <c r="H125" s="19" t="str">
        <f t="shared" si="1"/>
        <v/>
      </c>
      <c r="I125" s="19" t="s">
        <v>37</v>
      </c>
      <c r="J125" s="7" t="s">
        <v>402</v>
      </c>
      <c r="K125" s="25" t="s">
        <v>225</v>
      </c>
      <c r="L125" s="1"/>
    </row>
    <row r="126" spans="1:12" x14ac:dyDescent="0.25">
      <c r="A126" s="12"/>
      <c r="B126" s="7" t="s">
        <v>222</v>
      </c>
      <c r="C126" s="25">
        <v>20009869</v>
      </c>
      <c r="D126" s="7" t="s">
        <v>1208</v>
      </c>
      <c r="E126" s="26">
        <v>1</v>
      </c>
      <c r="F126" s="7" t="s">
        <v>225</v>
      </c>
      <c r="G126" s="7" t="s">
        <v>219</v>
      </c>
      <c r="H126" s="19" t="str">
        <f t="shared" si="1"/>
        <v/>
      </c>
      <c r="I126" s="19" t="s">
        <v>221</v>
      </c>
      <c r="J126" s="7" t="s">
        <v>347</v>
      </c>
      <c r="K126" s="25" t="s">
        <v>225</v>
      </c>
      <c r="L126" s="1"/>
    </row>
    <row r="127" spans="1:12" x14ac:dyDescent="0.25">
      <c r="A127" s="12"/>
      <c r="B127" s="7" t="s">
        <v>230</v>
      </c>
      <c r="C127" s="25">
        <v>20009964</v>
      </c>
      <c r="D127" s="7" t="s">
        <v>1225</v>
      </c>
      <c r="E127" s="26">
        <v>1</v>
      </c>
      <c r="F127" s="7" t="s">
        <v>225</v>
      </c>
      <c r="G127" s="7" t="s">
        <v>219</v>
      </c>
      <c r="H127" s="19" t="str">
        <f t="shared" si="1"/>
        <v/>
      </c>
      <c r="I127" s="19" t="s">
        <v>910</v>
      </c>
      <c r="J127" s="7" t="s">
        <v>347</v>
      </c>
      <c r="K127" s="25" t="s">
        <v>225</v>
      </c>
      <c r="L127" s="1"/>
    </row>
    <row r="128" spans="1:12" x14ac:dyDescent="0.25">
      <c r="A128" s="12"/>
      <c r="B128" s="7" t="s">
        <v>230</v>
      </c>
      <c r="C128" s="25">
        <v>20009967</v>
      </c>
      <c r="D128" s="7" t="s">
        <v>1227</v>
      </c>
      <c r="E128" s="26">
        <v>1</v>
      </c>
      <c r="F128" s="7" t="s">
        <v>225</v>
      </c>
      <c r="G128" s="7" t="s">
        <v>219</v>
      </c>
      <c r="H128" s="19" t="str">
        <f t="shared" si="1"/>
        <v/>
      </c>
      <c r="I128" s="19" t="s">
        <v>910</v>
      </c>
      <c r="J128" s="7" t="s">
        <v>347</v>
      </c>
      <c r="K128" s="25" t="s">
        <v>225</v>
      </c>
      <c r="L128" s="1"/>
    </row>
    <row r="129" spans="1:12" x14ac:dyDescent="0.25">
      <c r="A129" s="12"/>
      <c r="B129" s="7" t="s">
        <v>222</v>
      </c>
      <c r="C129" s="25">
        <v>20009991</v>
      </c>
      <c r="D129" s="7" t="s">
        <v>1235</v>
      </c>
      <c r="E129" s="26">
        <v>1</v>
      </c>
      <c r="F129" s="7" t="s">
        <v>225</v>
      </c>
      <c r="G129" s="7" t="s">
        <v>219</v>
      </c>
      <c r="H129" s="19" t="str">
        <f t="shared" si="1"/>
        <v/>
      </c>
      <c r="I129" s="19" t="s">
        <v>221</v>
      </c>
      <c r="J129" s="7" t="s">
        <v>397</v>
      </c>
      <c r="K129" s="25" t="s">
        <v>225</v>
      </c>
      <c r="L129" s="1"/>
    </row>
    <row r="130" spans="1:12" x14ac:dyDescent="0.25">
      <c r="A130" s="12"/>
      <c r="B130" s="7" t="s">
        <v>222</v>
      </c>
      <c r="C130" s="25">
        <v>20010087</v>
      </c>
      <c r="D130" s="7" t="s">
        <v>1240</v>
      </c>
      <c r="E130" s="26">
        <v>1</v>
      </c>
      <c r="F130" s="7" t="s">
        <v>225</v>
      </c>
      <c r="G130" s="7" t="s">
        <v>219</v>
      </c>
      <c r="H130" s="19" t="str">
        <f t="shared" si="1"/>
        <v/>
      </c>
      <c r="I130" s="19" t="s">
        <v>221</v>
      </c>
      <c r="J130" s="7" t="s">
        <v>327</v>
      </c>
      <c r="K130" s="25" t="s">
        <v>225</v>
      </c>
      <c r="L130" s="1"/>
    </row>
    <row r="131" spans="1:12" x14ac:dyDescent="0.25">
      <c r="A131" s="12"/>
      <c r="B131" s="7" t="s">
        <v>223</v>
      </c>
      <c r="C131" s="25">
        <v>20010456</v>
      </c>
      <c r="D131" s="7" t="s">
        <v>1249</v>
      </c>
      <c r="E131" s="26">
        <v>25</v>
      </c>
      <c r="F131" s="7" t="s">
        <v>225</v>
      </c>
      <c r="G131" s="7" t="s">
        <v>219</v>
      </c>
      <c r="H131" s="19" t="str">
        <f t="shared" si="1"/>
        <v/>
      </c>
      <c r="I131" s="19" t="s">
        <v>221</v>
      </c>
      <c r="J131" s="7" t="s">
        <v>315</v>
      </c>
      <c r="K131" s="25" t="s">
        <v>225</v>
      </c>
      <c r="L131" s="1"/>
    </row>
    <row r="132" spans="1:12" x14ac:dyDescent="0.25">
      <c r="A132" s="12"/>
      <c r="B132" s="7" t="s">
        <v>223</v>
      </c>
      <c r="C132" s="25">
        <v>20010986</v>
      </c>
      <c r="D132" s="7" t="s">
        <v>1261</v>
      </c>
      <c r="E132" s="26">
        <v>25</v>
      </c>
      <c r="F132" s="7" t="s">
        <v>225</v>
      </c>
      <c r="G132" s="7" t="s">
        <v>219</v>
      </c>
      <c r="H132" s="19" t="str">
        <f t="shared" si="1"/>
        <v/>
      </c>
      <c r="I132" s="19" t="s">
        <v>221</v>
      </c>
      <c r="J132" s="7" t="s">
        <v>309</v>
      </c>
      <c r="K132" s="25" t="s">
        <v>225</v>
      </c>
      <c r="L132" s="1"/>
    </row>
    <row r="133" spans="1:12" x14ac:dyDescent="0.25">
      <c r="A133" s="12"/>
      <c r="B133" s="7" t="s">
        <v>223</v>
      </c>
      <c r="C133" s="25">
        <v>20010987</v>
      </c>
      <c r="D133" s="7" t="s">
        <v>1262</v>
      </c>
      <c r="E133" s="26">
        <v>25</v>
      </c>
      <c r="F133" s="7" t="s">
        <v>225</v>
      </c>
      <c r="G133" s="7" t="s">
        <v>219</v>
      </c>
      <c r="H133" s="19" t="str">
        <f t="shared" si="1"/>
        <v/>
      </c>
      <c r="I133" s="19" t="s">
        <v>221</v>
      </c>
      <c r="J133" s="7" t="s">
        <v>309</v>
      </c>
      <c r="K133" s="25" t="s">
        <v>225</v>
      </c>
      <c r="L133" s="1"/>
    </row>
    <row r="134" spans="1:12" x14ac:dyDescent="0.25">
      <c r="A134" s="12"/>
      <c r="B134" s="7" t="s">
        <v>222</v>
      </c>
      <c r="C134" s="25">
        <v>20010988</v>
      </c>
      <c r="D134" s="7" t="s">
        <v>1263</v>
      </c>
      <c r="E134" s="26">
        <v>1</v>
      </c>
      <c r="F134" s="7" t="s">
        <v>225</v>
      </c>
      <c r="G134" s="7" t="s">
        <v>219</v>
      </c>
      <c r="H134" s="19" t="str">
        <f t="shared" si="1"/>
        <v/>
      </c>
      <c r="I134" s="19" t="s">
        <v>221</v>
      </c>
      <c r="J134" s="7" t="s">
        <v>309</v>
      </c>
      <c r="K134" s="25" t="s">
        <v>225</v>
      </c>
      <c r="L134" s="1"/>
    </row>
    <row r="135" spans="1:12" x14ac:dyDescent="0.25">
      <c r="A135" s="12"/>
      <c r="B135" s="7" t="s">
        <v>222</v>
      </c>
      <c r="C135" s="25">
        <v>20011002</v>
      </c>
      <c r="D135" s="7" t="s">
        <v>1265</v>
      </c>
      <c r="E135" s="26">
        <v>1</v>
      </c>
      <c r="F135" s="7" t="s">
        <v>225</v>
      </c>
      <c r="G135" s="7" t="s">
        <v>219</v>
      </c>
      <c r="H135" s="19" t="str">
        <f t="shared" si="1"/>
        <v/>
      </c>
      <c r="I135" s="19" t="s">
        <v>221</v>
      </c>
      <c r="J135" s="7" t="s">
        <v>313</v>
      </c>
      <c r="K135" s="25" t="s">
        <v>225</v>
      </c>
      <c r="L135" s="1"/>
    </row>
    <row r="136" spans="1:12" x14ac:dyDescent="0.25">
      <c r="A136" s="12"/>
      <c r="B136" s="7" t="s">
        <v>222</v>
      </c>
      <c r="C136" s="25">
        <v>20011003</v>
      </c>
      <c r="D136" s="7" t="s">
        <v>1266</v>
      </c>
      <c r="E136" s="26">
        <v>1</v>
      </c>
      <c r="F136" s="7" t="s">
        <v>225</v>
      </c>
      <c r="G136" s="7" t="s">
        <v>219</v>
      </c>
      <c r="H136" s="19" t="str">
        <f t="shared" si="1"/>
        <v/>
      </c>
      <c r="I136" s="19" t="s">
        <v>221</v>
      </c>
      <c r="J136" s="7" t="s">
        <v>313</v>
      </c>
      <c r="K136" s="25" t="s">
        <v>225</v>
      </c>
      <c r="L136" s="1"/>
    </row>
    <row r="137" spans="1:12" x14ac:dyDescent="0.25">
      <c r="A137" s="12"/>
      <c r="B137" s="7" t="s">
        <v>222</v>
      </c>
      <c r="C137" s="25">
        <v>20011004</v>
      </c>
      <c r="D137" s="7" t="s">
        <v>1267</v>
      </c>
      <c r="E137" s="26">
        <v>1</v>
      </c>
      <c r="F137" s="7" t="s">
        <v>225</v>
      </c>
      <c r="G137" s="7" t="s">
        <v>219</v>
      </c>
      <c r="H137" s="19" t="str">
        <f t="shared" si="1"/>
        <v/>
      </c>
      <c r="I137" s="19" t="s">
        <v>221</v>
      </c>
      <c r="J137" s="7" t="s">
        <v>313</v>
      </c>
      <c r="K137" s="25" t="s">
        <v>225</v>
      </c>
      <c r="L137" s="1"/>
    </row>
    <row r="138" spans="1:12" x14ac:dyDescent="0.25">
      <c r="A138" s="12"/>
      <c r="B138" s="7" t="s">
        <v>222</v>
      </c>
      <c r="C138" s="25">
        <v>20011005</v>
      </c>
      <c r="D138" s="7" t="s">
        <v>1268</v>
      </c>
      <c r="E138" s="26">
        <v>1</v>
      </c>
      <c r="F138" s="7" t="s">
        <v>225</v>
      </c>
      <c r="G138" s="7" t="s">
        <v>219</v>
      </c>
      <c r="H138" s="19" t="str">
        <f t="shared" si="1"/>
        <v/>
      </c>
      <c r="I138" s="19" t="s">
        <v>221</v>
      </c>
      <c r="J138" s="7" t="s">
        <v>313</v>
      </c>
      <c r="K138" s="25" t="s">
        <v>225</v>
      </c>
      <c r="L138" s="1"/>
    </row>
    <row r="139" spans="1:12" x14ac:dyDescent="0.25">
      <c r="A139" s="12"/>
      <c r="B139" s="7" t="s">
        <v>222</v>
      </c>
      <c r="C139" s="25">
        <v>20011051</v>
      </c>
      <c r="D139" s="7" t="s">
        <v>1273</v>
      </c>
      <c r="E139" s="26">
        <v>1</v>
      </c>
      <c r="F139" s="7" t="s">
        <v>225</v>
      </c>
      <c r="G139" s="7" t="s">
        <v>219</v>
      </c>
      <c r="H139" s="19" t="str">
        <f t="shared" si="1"/>
        <v/>
      </c>
      <c r="I139" s="19" t="s">
        <v>221</v>
      </c>
      <c r="J139" s="7" t="s">
        <v>311</v>
      </c>
      <c r="K139" s="25" t="s">
        <v>225</v>
      </c>
      <c r="L139" s="1"/>
    </row>
    <row r="140" spans="1:12" x14ac:dyDescent="0.25">
      <c r="A140" s="12"/>
      <c r="B140" s="7" t="s">
        <v>222</v>
      </c>
      <c r="C140" s="25">
        <v>20011055</v>
      </c>
      <c r="D140" s="7" t="s">
        <v>1274</v>
      </c>
      <c r="E140" s="26">
        <v>1</v>
      </c>
      <c r="F140" s="7" t="s">
        <v>225</v>
      </c>
      <c r="G140" s="7" t="s">
        <v>219</v>
      </c>
      <c r="H140" s="19" t="str">
        <f t="shared" si="1"/>
        <v/>
      </c>
      <c r="I140" s="19" t="s">
        <v>221</v>
      </c>
      <c r="J140" s="7" t="s">
        <v>309</v>
      </c>
      <c r="K140" s="25" t="s">
        <v>225</v>
      </c>
      <c r="L140" s="1"/>
    </row>
    <row r="141" spans="1:12" x14ac:dyDescent="0.25">
      <c r="A141" s="12"/>
      <c r="B141" s="7" t="s">
        <v>222</v>
      </c>
      <c r="C141" s="25">
        <v>20011063</v>
      </c>
      <c r="D141" s="7" t="s">
        <v>1276</v>
      </c>
      <c r="E141" s="26">
        <v>1</v>
      </c>
      <c r="F141" s="7" t="s">
        <v>225</v>
      </c>
      <c r="G141" s="7" t="s">
        <v>219</v>
      </c>
      <c r="H141" s="19" t="str">
        <f t="shared" si="1"/>
        <v/>
      </c>
      <c r="I141" s="19" t="s">
        <v>221</v>
      </c>
      <c r="J141" s="7" t="s">
        <v>345</v>
      </c>
      <c r="K141" s="25" t="s">
        <v>225</v>
      </c>
      <c r="L141" s="1"/>
    </row>
    <row r="142" spans="1:12" x14ac:dyDescent="0.25">
      <c r="A142" s="12"/>
      <c r="B142" s="7" t="s">
        <v>222</v>
      </c>
      <c r="C142" s="25">
        <v>20011136</v>
      </c>
      <c r="D142" s="7" t="s">
        <v>1278</v>
      </c>
      <c r="E142" s="26">
        <v>1</v>
      </c>
      <c r="F142" s="7" t="s">
        <v>225</v>
      </c>
      <c r="G142" s="7" t="s">
        <v>219</v>
      </c>
      <c r="H142" s="19" t="str">
        <f t="shared" si="1"/>
        <v/>
      </c>
      <c r="I142" s="19" t="s">
        <v>221</v>
      </c>
      <c r="J142" s="7" t="s">
        <v>397</v>
      </c>
      <c r="K142" s="25" t="s">
        <v>225</v>
      </c>
      <c r="L142" s="1"/>
    </row>
    <row r="143" spans="1:12" x14ac:dyDescent="0.25">
      <c r="A143" s="12"/>
      <c r="B143" s="7" t="s">
        <v>222</v>
      </c>
      <c r="C143" s="25">
        <v>20011138</v>
      </c>
      <c r="D143" s="7" t="s">
        <v>1280</v>
      </c>
      <c r="E143" s="26">
        <v>1</v>
      </c>
      <c r="F143" s="7" t="s">
        <v>225</v>
      </c>
      <c r="G143" s="7" t="s">
        <v>219</v>
      </c>
      <c r="H143" s="19" t="str">
        <f t="shared" ref="H143:H206" si="2">IF(A143="", "", A143*E143)</f>
        <v/>
      </c>
      <c r="I143" s="19" t="s">
        <v>221</v>
      </c>
      <c r="J143" s="7" t="s">
        <v>397</v>
      </c>
      <c r="K143" s="25" t="s">
        <v>225</v>
      </c>
      <c r="L143" s="1"/>
    </row>
    <row r="144" spans="1:12" x14ac:dyDescent="0.25">
      <c r="A144" s="12"/>
      <c r="B144" s="7" t="s">
        <v>222</v>
      </c>
      <c r="C144" s="25">
        <v>20011139</v>
      </c>
      <c r="D144" s="7" t="s">
        <v>1281</v>
      </c>
      <c r="E144" s="26">
        <v>1</v>
      </c>
      <c r="F144" s="7" t="s">
        <v>225</v>
      </c>
      <c r="G144" s="7" t="s">
        <v>219</v>
      </c>
      <c r="H144" s="19" t="str">
        <f t="shared" si="2"/>
        <v/>
      </c>
      <c r="I144" s="19" t="s">
        <v>221</v>
      </c>
      <c r="J144" s="7" t="s">
        <v>397</v>
      </c>
      <c r="K144" s="25" t="s">
        <v>225</v>
      </c>
      <c r="L144" s="1"/>
    </row>
    <row r="145" spans="1:12" x14ac:dyDescent="0.25">
      <c r="A145" s="12"/>
      <c r="B145" s="7" t="s">
        <v>222</v>
      </c>
      <c r="C145" s="25">
        <v>20011177</v>
      </c>
      <c r="D145" s="7" t="s">
        <v>1282</v>
      </c>
      <c r="E145" s="26">
        <v>1</v>
      </c>
      <c r="F145" s="7" t="s">
        <v>225</v>
      </c>
      <c r="G145" s="7" t="s">
        <v>219</v>
      </c>
      <c r="H145" s="19" t="str">
        <f t="shared" si="2"/>
        <v/>
      </c>
      <c r="I145" s="19" t="s">
        <v>221</v>
      </c>
      <c r="J145" s="7" t="s">
        <v>246</v>
      </c>
      <c r="K145" s="25" t="s">
        <v>225</v>
      </c>
      <c r="L145" s="1"/>
    </row>
    <row r="146" spans="1:12" x14ac:dyDescent="0.25">
      <c r="A146" s="12"/>
      <c r="B146" s="7" t="s">
        <v>230</v>
      </c>
      <c r="C146" s="25">
        <v>20011225</v>
      </c>
      <c r="D146" s="7" t="s">
        <v>1286</v>
      </c>
      <c r="E146" s="26">
        <v>1</v>
      </c>
      <c r="F146" s="7" t="s">
        <v>225</v>
      </c>
      <c r="G146" s="7" t="s">
        <v>219</v>
      </c>
      <c r="H146" s="19" t="str">
        <f t="shared" si="2"/>
        <v/>
      </c>
      <c r="I146" s="19" t="s">
        <v>910</v>
      </c>
      <c r="J146" s="7" t="s">
        <v>347</v>
      </c>
      <c r="K146" s="25" t="s">
        <v>225</v>
      </c>
      <c r="L146" s="1"/>
    </row>
    <row r="147" spans="1:12" x14ac:dyDescent="0.25">
      <c r="A147" s="12"/>
      <c r="B147" s="7" t="s">
        <v>222</v>
      </c>
      <c r="C147" s="25">
        <v>20011367</v>
      </c>
      <c r="D147" s="7" t="s">
        <v>1294</v>
      </c>
      <c r="E147" s="26">
        <v>1</v>
      </c>
      <c r="F147" s="7" t="s">
        <v>225</v>
      </c>
      <c r="G147" s="7" t="s">
        <v>219</v>
      </c>
      <c r="H147" s="19" t="str">
        <f t="shared" si="2"/>
        <v/>
      </c>
      <c r="I147" s="19" t="s">
        <v>221</v>
      </c>
      <c r="J147" s="7" t="s">
        <v>347</v>
      </c>
      <c r="K147" s="25" t="s">
        <v>225</v>
      </c>
      <c r="L147" s="1"/>
    </row>
    <row r="148" spans="1:12" x14ac:dyDescent="0.25">
      <c r="A148" s="12"/>
      <c r="B148" s="7" t="s">
        <v>222</v>
      </c>
      <c r="C148" s="25">
        <v>20011412</v>
      </c>
      <c r="D148" s="7" t="s">
        <v>1302</v>
      </c>
      <c r="E148" s="26">
        <v>1</v>
      </c>
      <c r="F148" s="7" t="s">
        <v>225</v>
      </c>
      <c r="G148" s="7" t="s">
        <v>219</v>
      </c>
      <c r="H148" s="19" t="str">
        <f t="shared" si="2"/>
        <v/>
      </c>
      <c r="I148" s="19" t="s">
        <v>221</v>
      </c>
      <c r="J148" s="7" t="s">
        <v>440</v>
      </c>
      <c r="K148" s="25" t="s">
        <v>225</v>
      </c>
      <c r="L148" s="1"/>
    </row>
    <row r="149" spans="1:12" x14ac:dyDescent="0.25">
      <c r="A149" s="12"/>
      <c r="B149" s="7" t="s">
        <v>222</v>
      </c>
      <c r="C149" s="25">
        <v>20011456</v>
      </c>
      <c r="D149" s="7" t="s">
        <v>1304</v>
      </c>
      <c r="E149" s="26">
        <v>1</v>
      </c>
      <c r="F149" s="7" t="s">
        <v>225</v>
      </c>
      <c r="G149" s="7" t="s">
        <v>219</v>
      </c>
      <c r="H149" s="19" t="str">
        <f t="shared" si="2"/>
        <v/>
      </c>
      <c r="I149" s="19" t="s">
        <v>221</v>
      </c>
      <c r="J149" s="7" t="s">
        <v>347</v>
      </c>
      <c r="K149" s="25" t="s">
        <v>225</v>
      </c>
      <c r="L149" s="1"/>
    </row>
    <row r="150" spans="1:12" x14ac:dyDescent="0.25">
      <c r="A150" s="12"/>
      <c r="B150" s="7" t="s">
        <v>222</v>
      </c>
      <c r="C150" s="25">
        <v>20015317</v>
      </c>
      <c r="D150" s="7" t="s">
        <v>1363</v>
      </c>
      <c r="E150" s="26">
        <v>1</v>
      </c>
      <c r="F150" s="7" t="s">
        <v>225</v>
      </c>
      <c r="G150" s="7" t="s">
        <v>219</v>
      </c>
      <c r="H150" s="19" t="str">
        <f t="shared" si="2"/>
        <v/>
      </c>
      <c r="I150" s="19" t="s">
        <v>221</v>
      </c>
      <c r="J150" s="7" t="s">
        <v>327</v>
      </c>
      <c r="K150" s="25" t="s">
        <v>225</v>
      </c>
      <c r="L150" s="1"/>
    </row>
    <row r="151" spans="1:12" x14ac:dyDescent="0.25">
      <c r="A151" s="12"/>
      <c r="B151" s="7" t="s">
        <v>222</v>
      </c>
      <c r="C151" s="25">
        <v>20015318</v>
      </c>
      <c r="D151" s="7" t="s">
        <v>1364</v>
      </c>
      <c r="E151" s="26">
        <v>1</v>
      </c>
      <c r="F151" s="7" t="s">
        <v>225</v>
      </c>
      <c r="G151" s="7" t="s">
        <v>219</v>
      </c>
      <c r="H151" s="19" t="str">
        <f t="shared" si="2"/>
        <v/>
      </c>
      <c r="I151" s="19" t="s">
        <v>221</v>
      </c>
      <c r="J151" s="7" t="s">
        <v>327</v>
      </c>
      <c r="K151" s="25" t="s">
        <v>225</v>
      </c>
      <c r="L151" s="1"/>
    </row>
    <row r="152" spans="1:12" x14ac:dyDescent="0.25">
      <c r="A152" s="12"/>
      <c r="B152" s="7" t="s">
        <v>233</v>
      </c>
      <c r="C152" s="25">
        <v>20015512</v>
      </c>
      <c r="D152" s="7" t="s">
        <v>1394</v>
      </c>
      <c r="E152" s="26">
        <v>1</v>
      </c>
      <c r="F152" s="7" t="s">
        <v>225</v>
      </c>
      <c r="G152" s="7" t="s">
        <v>219</v>
      </c>
      <c r="H152" s="19" t="str">
        <f t="shared" si="2"/>
        <v/>
      </c>
      <c r="I152" s="19" t="s">
        <v>328</v>
      </c>
      <c r="J152" s="7" t="s">
        <v>246</v>
      </c>
      <c r="K152" s="25" t="s">
        <v>225</v>
      </c>
      <c r="L152" s="1"/>
    </row>
    <row r="153" spans="1:12" x14ac:dyDescent="0.25">
      <c r="A153" s="12"/>
      <c r="B153" s="7" t="s">
        <v>222</v>
      </c>
      <c r="C153" s="25">
        <v>20015520</v>
      </c>
      <c r="D153" s="7" t="s">
        <v>1395</v>
      </c>
      <c r="E153" s="26">
        <v>1</v>
      </c>
      <c r="F153" s="7" t="s">
        <v>225</v>
      </c>
      <c r="G153" s="7" t="s">
        <v>219</v>
      </c>
      <c r="H153" s="19" t="str">
        <f t="shared" si="2"/>
        <v/>
      </c>
      <c r="I153" s="19" t="s">
        <v>221</v>
      </c>
      <c r="J153" s="7" t="s">
        <v>309</v>
      </c>
      <c r="K153" s="25" t="s">
        <v>225</v>
      </c>
      <c r="L153" s="1"/>
    </row>
    <row r="154" spans="1:12" x14ac:dyDescent="0.25">
      <c r="A154" s="12"/>
      <c r="B154" s="7" t="s">
        <v>222</v>
      </c>
      <c r="C154" s="25">
        <v>20015522</v>
      </c>
      <c r="D154" s="7" t="s">
        <v>1396</v>
      </c>
      <c r="E154" s="26">
        <v>1</v>
      </c>
      <c r="F154" s="7" t="s">
        <v>225</v>
      </c>
      <c r="G154" s="7" t="s">
        <v>219</v>
      </c>
      <c r="H154" s="19" t="str">
        <f t="shared" si="2"/>
        <v/>
      </c>
      <c r="I154" s="19" t="s">
        <v>221</v>
      </c>
      <c r="J154" s="7" t="s">
        <v>311</v>
      </c>
      <c r="K154" s="25" t="s">
        <v>225</v>
      </c>
      <c r="L154" s="1"/>
    </row>
    <row r="155" spans="1:12" x14ac:dyDescent="0.25">
      <c r="A155" s="12"/>
      <c r="B155" s="7" t="s">
        <v>222</v>
      </c>
      <c r="C155" s="25">
        <v>20015532</v>
      </c>
      <c r="D155" s="7" t="s">
        <v>1398</v>
      </c>
      <c r="E155" s="26">
        <v>1</v>
      </c>
      <c r="F155" s="7" t="s">
        <v>225</v>
      </c>
      <c r="G155" s="7" t="s">
        <v>219</v>
      </c>
      <c r="H155" s="19" t="str">
        <f t="shared" si="2"/>
        <v/>
      </c>
      <c r="I155" s="19" t="s">
        <v>221</v>
      </c>
      <c r="J155" s="7" t="s">
        <v>246</v>
      </c>
      <c r="K155" s="25" t="s">
        <v>225</v>
      </c>
      <c r="L155" s="1"/>
    </row>
    <row r="156" spans="1:12" x14ac:dyDescent="0.25">
      <c r="A156" s="12"/>
      <c r="B156" s="7" t="s">
        <v>222</v>
      </c>
      <c r="C156" s="25">
        <v>20016022</v>
      </c>
      <c r="D156" s="7" t="s">
        <v>1427</v>
      </c>
      <c r="E156" s="26">
        <v>1</v>
      </c>
      <c r="F156" s="7" t="s">
        <v>225</v>
      </c>
      <c r="G156" s="7" t="s">
        <v>219</v>
      </c>
      <c r="H156" s="19" t="str">
        <f t="shared" si="2"/>
        <v/>
      </c>
      <c r="I156" s="19" t="s">
        <v>221</v>
      </c>
      <c r="J156" s="7" t="s">
        <v>954</v>
      </c>
      <c r="K156" s="25" t="s">
        <v>225</v>
      </c>
      <c r="L156" s="1"/>
    </row>
    <row r="157" spans="1:12" x14ac:dyDescent="0.25">
      <c r="A157" s="12"/>
      <c r="B157" s="7" t="s">
        <v>222</v>
      </c>
      <c r="C157" s="25">
        <v>20016066</v>
      </c>
      <c r="D157" s="7" t="s">
        <v>1435</v>
      </c>
      <c r="E157" s="26">
        <v>1</v>
      </c>
      <c r="F157" s="7" t="s">
        <v>225</v>
      </c>
      <c r="G157" s="7" t="s">
        <v>219</v>
      </c>
      <c r="H157" s="19" t="str">
        <f t="shared" si="2"/>
        <v/>
      </c>
      <c r="I157" s="19" t="s">
        <v>221</v>
      </c>
      <c r="J157" s="7" t="s">
        <v>347</v>
      </c>
      <c r="K157" s="25" t="s">
        <v>225</v>
      </c>
      <c r="L157" s="1"/>
    </row>
    <row r="158" spans="1:12" x14ac:dyDescent="0.25">
      <c r="A158" s="12"/>
      <c r="B158" s="7" t="s">
        <v>222</v>
      </c>
      <c r="C158" s="25">
        <v>20016067</v>
      </c>
      <c r="D158" s="7" t="s">
        <v>1436</v>
      </c>
      <c r="E158" s="26">
        <v>1</v>
      </c>
      <c r="F158" s="7" t="s">
        <v>225</v>
      </c>
      <c r="G158" s="7" t="s">
        <v>219</v>
      </c>
      <c r="H158" s="19" t="str">
        <f t="shared" si="2"/>
        <v/>
      </c>
      <c r="I158" s="19" t="s">
        <v>221</v>
      </c>
      <c r="J158" s="7" t="s">
        <v>954</v>
      </c>
      <c r="K158" s="25" t="s">
        <v>225</v>
      </c>
      <c r="L158" s="1"/>
    </row>
    <row r="159" spans="1:12" x14ac:dyDescent="0.25">
      <c r="A159" s="12"/>
      <c r="B159" s="7" t="s">
        <v>222</v>
      </c>
      <c r="C159" s="25">
        <v>20016339</v>
      </c>
      <c r="D159" s="7" t="s">
        <v>1451</v>
      </c>
      <c r="E159" s="26">
        <v>1</v>
      </c>
      <c r="F159" s="7" t="s">
        <v>225</v>
      </c>
      <c r="G159" s="7" t="s">
        <v>219</v>
      </c>
      <c r="H159" s="19" t="str">
        <f t="shared" si="2"/>
        <v/>
      </c>
      <c r="I159" s="19" t="s">
        <v>221</v>
      </c>
      <c r="J159" s="7" t="s">
        <v>721</v>
      </c>
      <c r="K159" s="25" t="s">
        <v>225</v>
      </c>
      <c r="L159" s="1"/>
    </row>
    <row r="160" spans="1:12" x14ac:dyDescent="0.25">
      <c r="A160" s="12"/>
      <c r="B160" s="7" t="s">
        <v>222</v>
      </c>
      <c r="C160" s="25">
        <v>20016340</v>
      </c>
      <c r="D160" s="7" t="s">
        <v>1452</v>
      </c>
      <c r="E160" s="26">
        <v>1</v>
      </c>
      <c r="F160" s="7" t="s">
        <v>225</v>
      </c>
      <c r="G160" s="7" t="s">
        <v>219</v>
      </c>
      <c r="H160" s="19" t="str">
        <f t="shared" si="2"/>
        <v/>
      </c>
      <c r="I160" s="19" t="s">
        <v>221</v>
      </c>
      <c r="J160" s="7" t="s">
        <v>721</v>
      </c>
      <c r="K160" s="25" t="s">
        <v>225</v>
      </c>
      <c r="L160" s="1"/>
    </row>
    <row r="161" spans="1:12" x14ac:dyDescent="0.25">
      <c r="A161" s="12"/>
      <c r="B161" s="7" t="s">
        <v>222</v>
      </c>
      <c r="C161" s="25">
        <v>20016342</v>
      </c>
      <c r="D161" s="7" t="s">
        <v>1454</v>
      </c>
      <c r="E161" s="26">
        <v>1</v>
      </c>
      <c r="F161" s="7" t="s">
        <v>225</v>
      </c>
      <c r="G161" s="7" t="s">
        <v>219</v>
      </c>
      <c r="H161" s="19" t="str">
        <f t="shared" si="2"/>
        <v/>
      </c>
      <c r="I161" s="19" t="s">
        <v>221</v>
      </c>
      <c r="J161" s="7" t="s">
        <v>721</v>
      </c>
      <c r="K161" s="25" t="s">
        <v>225</v>
      </c>
      <c r="L161" s="1"/>
    </row>
    <row r="162" spans="1:12" x14ac:dyDescent="0.25">
      <c r="A162" s="12"/>
      <c r="B162" s="7" t="s">
        <v>222</v>
      </c>
      <c r="C162" s="25">
        <v>20016343</v>
      </c>
      <c r="D162" s="7" t="s">
        <v>1455</v>
      </c>
      <c r="E162" s="26">
        <v>1</v>
      </c>
      <c r="F162" s="7" t="s">
        <v>225</v>
      </c>
      <c r="G162" s="7" t="s">
        <v>219</v>
      </c>
      <c r="H162" s="19" t="str">
        <f t="shared" si="2"/>
        <v/>
      </c>
      <c r="I162" s="19" t="s">
        <v>221</v>
      </c>
      <c r="J162" s="7" t="s">
        <v>721</v>
      </c>
      <c r="K162" s="25" t="s">
        <v>225</v>
      </c>
      <c r="L162" s="1"/>
    </row>
    <row r="163" spans="1:12" x14ac:dyDescent="0.25">
      <c r="A163" s="12"/>
      <c r="B163" s="7" t="s">
        <v>222</v>
      </c>
      <c r="C163" s="25">
        <v>20016346</v>
      </c>
      <c r="D163" s="7" t="s">
        <v>1458</v>
      </c>
      <c r="E163" s="26">
        <v>1</v>
      </c>
      <c r="F163" s="7" t="s">
        <v>225</v>
      </c>
      <c r="G163" s="7" t="s">
        <v>219</v>
      </c>
      <c r="H163" s="19" t="str">
        <f t="shared" si="2"/>
        <v/>
      </c>
      <c r="I163" s="19" t="s">
        <v>221</v>
      </c>
      <c r="J163" s="7" t="s">
        <v>721</v>
      </c>
      <c r="K163" s="25" t="s">
        <v>225</v>
      </c>
      <c r="L163" s="1"/>
    </row>
    <row r="164" spans="1:12" x14ac:dyDescent="0.25">
      <c r="A164" s="12"/>
      <c r="B164" s="7" t="s">
        <v>222</v>
      </c>
      <c r="C164" s="25">
        <v>20016859</v>
      </c>
      <c r="D164" s="7" t="s">
        <v>1485</v>
      </c>
      <c r="E164" s="26">
        <v>1</v>
      </c>
      <c r="F164" s="7" t="s">
        <v>225</v>
      </c>
      <c r="G164" s="7" t="s">
        <v>219</v>
      </c>
      <c r="H164" s="19" t="str">
        <f t="shared" si="2"/>
        <v/>
      </c>
      <c r="I164" s="19" t="s">
        <v>221</v>
      </c>
      <c r="J164" s="7" t="s">
        <v>397</v>
      </c>
      <c r="K164" s="25" t="s">
        <v>225</v>
      </c>
      <c r="L164" s="1"/>
    </row>
    <row r="165" spans="1:12" x14ac:dyDescent="0.25">
      <c r="A165" s="12"/>
      <c r="B165" s="7" t="s">
        <v>222</v>
      </c>
      <c r="C165" s="25">
        <v>20016876</v>
      </c>
      <c r="D165" s="7" t="s">
        <v>1487</v>
      </c>
      <c r="E165" s="26">
        <v>1</v>
      </c>
      <c r="F165" s="7" t="s">
        <v>225</v>
      </c>
      <c r="G165" s="7" t="s">
        <v>219</v>
      </c>
      <c r="H165" s="19" t="str">
        <f t="shared" si="2"/>
        <v/>
      </c>
      <c r="I165" s="19" t="s">
        <v>221</v>
      </c>
      <c r="J165" s="7" t="s">
        <v>347</v>
      </c>
      <c r="K165" s="25" t="s">
        <v>225</v>
      </c>
      <c r="L165" s="1"/>
    </row>
    <row r="166" spans="1:12" x14ac:dyDescent="0.25">
      <c r="A166" s="12"/>
      <c r="B166" s="7" t="s">
        <v>222</v>
      </c>
      <c r="C166" s="25">
        <v>20017123</v>
      </c>
      <c r="D166" s="7" t="s">
        <v>1492</v>
      </c>
      <c r="E166" s="26">
        <v>1</v>
      </c>
      <c r="F166" s="7" t="s">
        <v>225</v>
      </c>
      <c r="G166" s="7" t="s">
        <v>219</v>
      </c>
      <c r="H166" s="19" t="str">
        <f t="shared" si="2"/>
        <v/>
      </c>
      <c r="I166" s="19" t="s">
        <v>221</v>
      </c>
      <c r="J166" s="7" t="s">
        <v>347</v>
      </c>
      <c r="K166" s="25" t="s">
        <v>225</v>
      </c>
      <c r="L166" s="1"/>
    </row>
    <row r="167" spans="1:12" x14ac:dyDescent="0.25">
      <c r="A167" s="12"/>
      <c r="B167" s="7" t="s">
        <v>222</v>
      </c>
      <c r="C167" s="25">
        <v>20017533</v>
      </c>
      <c r="D167" s="7" t="s">
        <v>1495</v>
      </c>
      <c r="E167" s="26">
        <v>1</v>
      </c>
      <c r="F167" s="7" t="s">
        <v>225</v>
      </c>
      <c r="G167" s="7" t="s">
        <v>219</v>
      </c>
      <c r="H167" s="19" t="str">
        <f t="shared" si="2"/>
        <v/>
      </c>
      <c r="I167" s="19" t="s">
        <v>221</v>
      </c>
      <c r="J167" s="7" t="s">
        <v>309</v>
      </c>
      <c r="K167" s="25" t="s">
        <v>225</v>
      </c>
      <c r="L167" s="1"/>
    </row>
    <row r="168" spans="1:12" x14ac:dyDescent="0.25">
      <c r="A168" s="12"/>
      <c r="B168" s="7" t="s">
        <v>222</v>
      </c>
      <c r="C168" s="25">
        <v>20017534</v>
      </c>
      <c r="D168" s="7" t="s">
        <v>1496</v>
      </c>
      <c r="E168" s="26">
        <v>1</v>
      </c>
      <c r="F168" s="7" t="s">
        <v>225</v>
      </c>
      <c r="G168" s="7" t="s">
        <v>219</v>
      </c>
      <c r="H168" s="19" t="str">
        <f t="shared" si="2"/>
        <v/>
      </c>
      <c r="I168" s="19" t="s">
        <v>221</v>
      </c>
      <c r="J168" s="7" t="s">
        <v>309</v>
      </c>
      <c r="K168" s="25" t="s">
        <v>225</v>
      </c>
      <c r="L168" s="1"/>
    </row>
    <row r="169" spans="1:12" x14ac:dyDescent="0.25">
      <c r="A169" s="12"/>
      <c r="B169" s="7" t="s">
        <v>223</v>
      </c>
      <c r="C169" s="25">
        <v>20017561</v>
      </c>
      <c r="D169" s="7" t="s">
        <v>1499</v>
      </c>
      <c r="E169" s="26">
        <v>100</v>
      </c>
      <c r="F169" s="7" t="s">
        <v>225</v>
      </c>
      <c r="G169" s="7" t="s">
        <v>219</v>
      </c>
      <c r="H169" s="19" t="str">
        <f t="shared" si="2"/>
        <v/>
      </c>
      <c r="I169" s="19" t="s">
        <v>37</v>
      </c>
      <c r="J169" s="7" t="s">
        <v>345</v>
      </c>
      <c r="K169" s="25" t="s">
        <v>225</v>
      </c>
      <c r="L169" s="1"/>
    </row>
    <row r="170" spans="1:12" x14ac:dyDescent="0.25">
      <c r="A170" s="12"/>
      <c r="B170" s="7" t="s">
        <v>222</v>
      </c>
      <c r="C170" s="25">
        <v>20017757</v>
      </c>
      <c r="D170" s="7" t="s">
        <v>1502</v>
      </c>
      <c r="E170" s="26">
        <v>1</v>
      </c>
      <c r="F170" s="7" t="s">
        <v>225</v>
      </c>
      <c r="G170" s="7" t="s">
        <v>219</v>
      </c>
      <c r="H170" s="19" t="str">
        <f t="shared" si="2"/>
        <v/>
      </c>
      <c r="I170" s="19" t="s">
        <v>221</v>
      </c>
      <c r="J170" s="7" t="s">
        <v>313</v>
      </c>
      <c r="K170" s="25" t="s">
        <v>225</v>
      </c>
      <c r="L170" s="1"/>
    </row>
    <row r="171" spans="1:12" x14ac:dyDescent="0.25">
      <c r="A171" s="12"/>
      <c r="B171" s="7" t="s">
        <v>222</v>
      </c>
      <c r="C171" s="25">
        <v>20017758</v>
      </c>
      <c r="D171" s="7" t="s">
        <v>1503</v>
      </c>
      <c r="E171" s="26">
        <v>1</v>
      </c>
      <c r="F171" s="7" t="s">
        <v>225</v>
      </c>
      <c r="G171" s="7" t="s">
        <v>219</v>
      </c>
      <c r="H171" s="19" t="str">
        <f t="shared" si="2"/>
        <v/>
      </c>
      <c r="I171" s="19" t="s">
        <v>221</v>
      </c>
      <c r="J171" s="7" t="s">
        <v>313</v>
      </c>
      <c r="K171" s="25" t="s">
        <v>225</v>
      </c>
      <c r="L171" s="1"/>
    </row>
    <row r="172" spans="1:12" x14ac:dyDescent="0.25">
      <c r="A172" s="12"/>
      <c r="B172" s="7" t="s">
        <v>222</v>
      </c>
      <c r="C172" s="25">
        <v>20017761</v>
      </c>
      <c r="D172" s="7" t="s">
        <v>1504</v>
      </c>
      <c r="E172" s="26">
        <v>1</v>
      </c>
      <c r="F172" s="7" t="s">
        <v>225</v>
      </c>
      <c r="G172" s="7" t="s">
        <v>219</v>
      </c>
      <c r="H172" s="19" t="str">
        <f t="shared" si="2"/>
        <v/>
      </c>
      <c r="I172" s="19" t="s">
        <v>221</v>
      </c>
      <c r="J172" s="7" t="s">
        <v>313</v>
      </c>
      <c r="K172" s="25" t="s">
        <v>225</v>
      </c>
      <c r="L172" s="1"/>
    </row>
    <row r="173" spans="1:12" x14ac:dyDescent="0.25">
      <c r="A173" s="12"/>
      <c r="B173" s="7" t="s">
        <v>222</v>
      </c>
      <c r="C173" s="25">
        <v>20017764</v>
      </c>
      <c r="D173" s="7" t="s">
        <v>1506</v>
      </c>
      <c r="E173" s="26">
        <v>1</v>
      </c>
      <c r="F173" s="7" t="s">
        <v>225</v>
      </c>
      <c r="G173" s="7" t="s">
        <v>219</v>
      </c>
      <c r="H173" s="19" t="str">
        <f t="shared" si="2"/>
        <v/>
      </c>
      <c r="I173" s="19" t="s">
        <v>221</v>
      </c>
      <c r="J173" s="7" t="s">
        <v>313</v>
      </c>
      <c r="K173" s="25" t="s">
        <v>225</v>
      </c>
      <c r="L173" s="1"/>
    </row>
    <row r="174" spans="1:12" x14ac:dyDescent="0.25">
      <c r="A174" s="12"/>
      <c r="B174" s="7" t="s">
        <v>222</v>
      </c>
      <c r="C174" s="25">
        <v>20017766</v>
      </c>
      <c r="D174" s="7" t="s">
        <v>1507</v>
      </c>
      <c r="E174" s="26">
        <v>1</v>
      </c>
      <c r="F174" s="7" t="s">
        <v>225</v>
      </c>
      <c r="G174" s="7" t="s">
        <v>219</v>
      </c>
      <c r="H174" s="19" t="str">
        <f t="shared" si="2"/>
        <v/>
      </c>
      <c r="I174" s="19" t="s">
        <v>221</v>
      </c>
      <c r="J174" s="7" t="s">
        <v>313</v>
      </c>
      <c r="K174" s="25" t="s">
        <v>225</v>
      </c>
      <c r="L174" s="1"/>
    </row>
    <row r="175" spans="1:12" x14ac:dyDescent="0.25">
      <c r="A175" s="12"/>
      <c r="B175" s="7" t="s">
        <v>222</v>
      </c>
      <c r="C175" s="25">
        <v>20017767</v>
      </c>
      <c r="D175" s="7" t="s">
        <v>1508</v>
      </c>
      <c r="E175" s="26">
        <v>1</v>
      </c>
      <c r="F175" s="7" t="s">
        <v>225</v>
      </c>
      <c r="G175" s="7" t="s">
        <v>219</v>
      </c>
      <c r="H175" s="19" t="str">
        <f t="shared" si="2"/>
        <v/>
      </c>
      <c r="I175" s="19" t="s">
        <v>221</v>
      </c>
      <c r="J175" s="7" t="s">
        <v>313</v>
      </c>
      <c r="K175" s="25" t="s">
        <v>225</v>
      </c>
      <c r="L175" s="1"/>
    </row>
    <row r="176" spans="1:12" x14ac:dyDescent="0.25">
      <c r="A176" s="12"/>
      <c r="B176" s="7" t="s">
        <v>222</v>
      </c>
      <c r="C176" s="25">
        <v>20017768</v>
      </c>
      <c r="D176" s="7" t="s">
        <v>1509</v>
      </c>
      <c r="E176" s="26">
        <v>1</v>
      </c>
      <c r="F176" s="7" t="s">
        <v>225</v>
      </c>
      <c r="G176" s="7" t="s">
        <v>219</v>
      </c>
      <c r="H176" s="19" t="str">
        <f t="shared" si="2"/>
        <v/>
      </c>
      <c r="I176" s="19" t="s">
        <v>221</v>
      </c>
      <c r="J176" s="7" t="s">
        <v>313</v>
      </c>
      <c r="K176" s="25" t="s">
        <v>225</v>
      </c>
      <c r="L176" s="1"/>
    </row>
    <row r="177" spans="1:12" x14ac:dyDescent="0.25">
      <c r="A177" s="12"/>
      <c r="B177" s="7" t="s">
        <v>222</v>
      </c>
      <c r="C177" s="25">
        <v>20017783</v>
      </c>
      <c r="D177" s="7" t="s">
        <v>1510</v>
      </c>
      <c r="E177" s="26">
        <v>1</v>
      </c>
      <c r="F177" s="7" t="s">
        <v>225</v>
      </c>
      <c r="G177" s="7" t="s">
        <v>219</v>
      </c>
      <c r="H177" s="19" t="str">
        <f t="shared" si="2"/>
        <v/>
      </c>
      <c r="I177" s="19" t="s">
        <v>221</v>
      </c>
      <c r="J177" s="7" t="s">
        <v>309</v>
      </c>
      <c r="K177" s="25" t="s">
        <v>225</v>
      </c>
      <c r="L177" s="1"/>
    </row>
    <row r="178" spans="1:12" x14ac:dyDescent="0.25">
      <c r="A178" s="12"/>
      <c r="B178" s="7" t="s">
        <v>222</v>
      </c>
      <c r="C178" s="25">
        <v>20017789</v>
      </c>
      <c r="D178" s="7" t="s">
        <v>1511</v>
      </c>
      <c r="E178" s="26">
        <v>1</v>
      </c>
      <c r="F178" s="7" t="s">
        <v>225</v>
      </c>
      <c r="G178" s="7" t="s">
        <v>219</v>
      </c>
      <c r="H178" s="19" t="str">
        <f t="shared" si="2"/>
        <v/>
      </c>
      <c r="I178" s="19" t="s">
        <v>221</v>
      </c>
      <c r="J178" s="7" t="s">
        <v>309</v>
      </c>
      <c r="K178" s="25" t="s">
        <v>225</v>
      </c>
      <c r="L178" s="1"/>
    </row>
    <row r="179" spans="1:12" x14ac:dyDescent="0.25">
      <c r="A179" s="12"/>
      <c r="B179" s="7" t="s">
        <v>222</v>
      </c>
      <c r="C179" s="25">
        <v>20017790</v>
      </c>
      <c r="D179" s="7" t="s">
        <v>1512</v>
      </c>
      <c r="E179" s="26">
        <v>1</v>
      </c>
      <c r="F179" s="7" t="s">
        <v>225</v>
      </c>
      <c r="G179" s="7" t="s">
        <v>219</v>
      </c>
      <c r="H179" s="19" t="str">
        <f t="shared" si="2"/>
        <v/>
      </c>
      <c r="I179" s="19" t="s">
        <v>221</v>
      </c>
      <c r="J179" s="7" t="s">
        <v>309</v>
      </c>
      <c r="K179" s="25" t="s">
        <v>225</v>
      </c>
      <c r="L179" s="1"/>
    </row>
    <row r="180" spans="1:12" x14ac:dyDescent="0.25">
      <c r="A180" s="12"/>
      <c r="B180" s="7" t="s">
        <v>222</v>
      </c>
      <c r="C180" s="25">
        <v>20017791</v>
      </c>
      <c r="D180" s="7" t="s">
        <v>1513</v>
      </c>
      <c r="E180" s="26">
        <v>1</v>
      </c>
      <c r="F180" s="7" t="s">
        <v>225</v>
      </c>
      <c r="G180" s="7" t="s">
        <v>219</v>
      </c>
      <c r="H180" s="19" t="str">
        <f t="shared" si="2"/>
        <v/>
      </c>
      <c r="I180" s="19" t="s">
        <v>221</v>
      </c>
      <c r="J180" s="7" t="s">
        <v>309</v>
      </c>
      <c r="K180" s="25" t="s">
        <v>225</v>
      </c>
      <c r="L180" s="1"/>
    </row>
    <row r="181" spans="1:12" x14ac:dyDescent="0.25">
      <c r="A181" s="12"/>
      <c r="B181" s="7" t="s">
        <v>222</v>
      </c>
      <c r="C181" s="25">
        <v>20017803</v>
      </c>
      <c r="D181" s="7" t="s">
        <v>1514</v>
      </c>
      <c r="E181" s="26">
        <v>1</v>
      </c>
      <c r="F181" s="7" t="s">
        <v>225</v>
      </c>
      <c r="G181" s="7" t="s">
        <v>219</v>
      </c>
      <c r="H181" s="19" t="str">
        <f t="shared" si="2"/>
        <v/>
      </c>
      <c r="I181" s="19" t="s">
        <v>221</v>
      </c>
      <c r="J181" s="7" t="s">
        <v>309</v>
      </c>
      <c r="K181" s="25" t="s">
        <v>225</v>
      </c>
      <c r="L181" s="1"/>
    </row>
    <row r="182" spans="1:12" x14ac:dyDescent="0.25">
      <c r="A182" s="12"/>
      <c r="B182" s="7" t="s">
        <v>222</v>
      </c>
      <c r="C182" s="25">
        <v>20017880</v>
      </c>
      <c r="D182" s="7" t="s">
        <v>1517</v>
      </c>
      <c r="E182" s="26">
        <v>1</v>
      </c>
      <c r="F182" s="7" t="s">
        <v>225</v>
      </c>
      <c r="G182" s="7" t="s">
        <v>219</v>
      </c>
      <c r="H182" s="19" t="str">
        <f t="shared" si="2"/>
        <v/>
      </c>
      <c r="I182" s="19" t="s">
        <v>221</v>
      </c>
      <c r="J182" s="7" t="s">
        <v>313</v>
      </c>
      <c r="K182" s="25" t="s">
        <v>225</v>
      </c>
      <c r="L182" s="1"/>
    </row>
    <row r="183" spans="1:12" x14ac:dyDescent="0.25">
      <c r="A183" s="12"/>
      <c r="B183" s="7" t="s">
        <v>222</v>
      </c>
      <c r="C183" s="25">
        <v>20017985</v>
      </c>
      <c r="D183" s="7" t="s">
        <v>1520</v>
      </c>
      <c r="E183" s="26">
        <v>1</v>
      </c>
      <c r="F183" s="7" t="s">
        <v>225</v>
      </c>
      <c r="G183" s="7" t="s">
        <v>219</v>
      </c>
      <c r="H183" s="19" t="str">
        <f t="shared" si="2"/>
        <v/>
      </c>
      <c r="I183" s="19" t="s">
        <v>221</v>
      </c>
      <c r="J183" s="7" t="s">
        <v>313</v>
      </c>
      <c r="K183" s="25" t="s">
        <v>225</v>
      </c>
      <c r="L183" s="1"/>
    </row>
    <row r="184" spans="1:12" x14ac:dyDescent="0.25">
      <c r="A184" s="12"/>
      <c r="B184" s="7" t="s">
        <v>222</v>
      </c>
      <c r="C184" s="25">
        <v>20018004</v>
      </c>
      <c r="D184" s="7" t="s">
        <v>1521</v>
      </c>
      <c r="E184" s="26">
        <v>1</v>
      </c>
      <c r="F184" s="7" t="s">
        <v>225</v>
      </c>
      <c r="G184" s="7" t="s">
        <v>219</v>
      </c>
      <c r="H184" s="19" t="str">
        <f t="shared" si="2"/>
        <v/>
      </c>
      <c r="I184" s="19" t="s">
        <v>221</v>
      </c>
      <c r="J184" s="7" t="s">
        <v>313</v>
      </c>
      <c r="K184" s="25" t="s">
        <v>225</v>
      </c>
      <c r="L184" s="1"/>
    </row>
    <row r="185" spans="1:12" x14ac:dyDescent="0.25">
      <c r="A185" s="12"/>
      <c r="B185" s="7" t="s">
        <v>233</v>
      </c>
      <c r="C185" s="25">
        <v>20018009</v>
      </c>
      <c r="D185" s="7" t="s">
        <v>1522</v>
      </c>
      <c r="E185" s="26">
        <v>1</v>
      </c>
      <c r="F185" s="7" t="s">
        <v>225</v>
      </c>
      <c r="G185" s="7" t="s">
        <v>219</v>
      </c>
      <c r="H185" s="19" t="str">
        <f t="shared" si="2"/>
        <v/>
      </c>
      <c r="I185" s="19" t="s">
        <v>328</v>
      </c>
      <c r="J185" s="7" t="s">
        <v>309</v>
      </c>
      <c r="K185" s="25" t="s">
        <v>225</v>
      </c>
      <c r="L185" s="1"/>
    </row>
    <row r="186" spans="1:12" x14ac:dyDescent="0.25">
      <c r="A186" s="12"/>
      <c r="B186" s="7" t="s">
        <v>230</v>
      </c>
      <c r="C186" s="25">
        <v>20018032</v>
      </c>
      <c r="D186" s="7" t="s">
        <v>1525</v>
      </c>
      <c r="E186" s="26">
        <v>1</v>
      </c>
      <c r="F186" s="7" t="s">
        <v>225</v>
      </c>
      <c r="G186" s="7" t="s">
        <v>219</v>
      </c>
      <c r="H186" s="19" t="str">
        <f t="shared" si="2"/>
        <v/>
      </c>
      <c r="I186" s="19" t="s">
        <v>910</v>
      </c>
      <c r="J186" s="7" t="s">
        <v>397</v>
      </c>
      <c r="K186" s="25" t="s">
        <v>225</v>
      </c>
      <c r="L186" s="1"/>
    </row>
    <row r="187" spans="1:12" x14ac:dyDescent="0.25">
      <c r="A187" s="12"/>
      <c r="B187" s="7" t="s">
        <v>222</v>
      </c>
      <c r="C187" s="25">
        <v>20018075</v>
      </c>
      <c r="D187" s="7" t="s">
        <v>1527</v>
      </c>
      <c r="E187" s="26">
        <v>1</v>
      </c>
      <c r="F187" s="7" t="s">
        <v>225</v>
      </c>
      <c r="G187" s="7" t="s">
        <v>219</v>
      </c>
      <c r="H187" s="19" t="str">
        <f t="shared" si="2"/>
        <v/>
      </c>
      <c r="I187" s="19" t="s">
        <v>221</v>
      </c>
      <c r="J187" s="7" t="s">
        <v>313</v>
      </c>
      <c r="K187" s="25" t="s">
        <v>225</v>
      </c>
      <c r="L187" s="1"/>
    </row>
    <row r="188" spans="1:12" x14ac:dyDescent="0.25">
      <c r="A188" s="12"/>
      <c r="B188" s="7" t="s">
        <v>222</v>
      </c>
      <c r="C188" s="25">
        <v>20018076</v>
      </c>
      <c r="D188" s="7" t="s">
        <v>1528</v>
      </c>
      <c r="E188" s="26">
        <v>1</v>
      </c>
      <c r="F188" s="7" t="s">
        <v>225</v>
      </c>
      <c r="G188" s="7" t="s">
        <v>219</v>
      </c>
      <c r="H188" s="19" t="str">
        <f t="shared" si="2"/>
        <v/>
      </c>
      <c r="I188" s="19" t="s">
        <v>221</v>
      </c>
      <c r="J188" s="7" t="s">
        <v>313</v>
      </c>
      <c r="K188" s="25" t="s">
        <v>225</v>
      </c>
      <c r="L188" s="1"/>
    </row>
    <row r="189" spans="1:12" x14ac:dyDescent="0.25">
      <c r="A189" s="12"/>
      <c r="B189" s="7" t="s">
        <v>222</v>
      </c>
      <c r="C189" s="25">
        <v>20018077</v>
      </c>
      <c r="D189" s="7" t="s">
        <v>1529</v>
      </c>
      <c r="E189" s="26">
        <v>1</v>
      </c>
      <c r="F189" s="7" t="s">
        <v>225</v>
      </c>
      <c r="G189" s="7" t="s">
        <v>219</v>
      </c>
      <c r="H189" s="19" t="str">
        <f t="shared" si="2"/>
        <v/>
      </c>
      <c r="I189" s="19" t="s">
        <v>221</v>
      </c>
      <c r="J189" s="7" t="s">
        <v>313</v>
      </c>
      <c r="K189" s="25" t="s">
        <v>225</v>
      </c>
      <c r="L189" s="1"/>
    </row>
    <row r="190" spans="1:12" x14ac:dyDescent="0.25">
      <c r="A190" s="12"/>
      <c r="B190" s="7" t="s">
        <v>222</v>
      </c>
      <c r="C190" s="25">
        <v>20018078</v>
      </c>
      <c r="D190" s="7" t="s">
        <v>1530</v>
      </c>
      <c r="E190" s="26">
        <v>1</v>
      </c>
      <c r="F190" s="7" t="s">
        <v>225</v>
      </c>
      <c r="G190" s="7" t="s">
        <v>219</v>
      </c>
      <c r="H190" s="19" t="str">
        <f t="shared" si="2"/>
        <v/>
      </c>
      <c r="I190" s="19" t="s">
        <v>221</v>
      </c>
      <c r="J190" s="7" t="s">
        <v>313</v>
      </c>
      <c r="K190" s="25" t="s">
        <v>225</v>
      </c>
      <c r="L190" s="1"/>
    </row>
    <row r="191" spans="1:12" x14ac:dyDescent="0.25">
      <c r="A191" s="12"/>
      <c r="B191" s="7" t="s">
        <v>222</v>
      </c>
      <c r="C191" s="25">
        <v>20018080</v>
      </c>
      <c r="D191" s="7" t="s">
        <v>1531</v>
      </c>
      <c r="E191" s="26">
        <v>1</v>
      </c>
      <c r="F191" s="7" t="s">
        <v>225</v>
      </c>
      <c r="G191" s="7" t="s">
        <v>219</v>
      </c>
      <c r="H191" s="19" t="str">
        <f t="shared" si="2"/>
        <v/>
      </c>
      <c r="I191" s="19" t="s">
        <v>221</v>
      </c>
      <c r="J191" s="7" t="s">
        <v>313</v>
      </c>
      <c r="K191" s="25" t="s">
        <v>225</v>
      </c>
      <c r="L191" s="1"/>
    </row>
    <row r="192" spans="1:12" x14ac:dyDescent="0.25">
      <c r="A192" s="12"/>
      <c r="B192" s="7" t="s">
        <v>223</v>
      </c>
      <c r="C192" s="25">
        <v>20018081</v>
      </c>
      <c r="D192" s="7" t="s">
        <v>1532</v>
      </c>
      <c r="E192" s="26">
        <v>1000</v>
      </c>
      <c r="F192" s="7" t="s">
        <v>225</v>
      </c>
      <c r="G192" s="7" t="s">
        <v>219</v>
      </c>
      <c r="H192" s="19" t="str">
        <f t="shared" si="2"/>
        <v/>
      </c>
      <c r="I192" s="19" t="s">
        <v>221</v>
      </c>
      <c r="J192" s="7" t="s">
        <v>313</v>
      </c>
      <c r="K192" s="25" t="s">
        <v>225</v>
      </c>
      <c r="L192" s="1"/>
    </row>
    <row r="193" spans="1:12" x14ac:dyDescent="0.25">
      <c r="A193" s="12"/>
      <c r="B193" s="7" t="s">
        <v>222</v>
      </c>
      <c r="C193" s="25">
        <v>20018082</v>
      </c>
      <c r="D193" s="7" t="s">
        <v>1533</v>
      </c>
      <c r="E193" s="26">
        <v>1</v>
      </c>
      <c r="F193" s="7" t="s">
        <v>225</v>
      </c>
      <c r="G193" s="7" t="s">
        <v>219</v>
      </c>
      <c r="H193" s="19" t="str">
        <f t="shared" si="2"/>
        <v/>
      </c>
      <c r="I193" s="19" t="s">
        <v>221</v>
      </c>
      <c r="J193" s="7" t="s">
        <v>313</v>
      </c>
      <c r="K193" s="25" t="s">
        <v>225</v>
      </c>
      <c r="L193" s="1"/>
    </row>
    <row r="194" spans="1:12" x14ac:dyDescent="0.25">
      <c r="A194" s="12"/>
      <c r="B194" s="7" t="s">
        <v>222</v>
      </c>
      <c r="C194" s="25">
        <v>20018083</v>
      </c>
      <c r="D194" s="7" t="s">
        <v>1534</v>
      </c>
      <c r="E194" s="26">
        <v>1</v>
      </c>
      <c r="F194" s="7" t="s">
        <v>225</v>
      </c>
      <c r="G194" s="7" t="s">
        <v>219</v>
      </c>
      <c r="H194" s="19" t="str">
        <f t="shared" si="2"/>
        <v/>
      </c>
      <c r="I194" s="19" t="s">
        <v>221</v>
      </c>
      <c r="J194" s="7" t="s">
        <v>313</v>
      </c>
      <c r="K194" s="25" t="s">
        <v>225</v>
      </c>
      <c r="L194" s="1"/>
    </row>
    <row r="195" spans="1:12" x14ac:dyDescent="0.25">
      <c r="A195" s="12"/>
      <c r="B195" s="7" t="s">
        <v>222</v>
      </c>
      <c r="C195" s="25">
        <v>20018084</v>
      </c>
      <c r="D195" s="7" t="s">
        <v>1535</v>
      </c>
      <c r="E195" s="26">
        <v>1</v>
      </c>
      <c r="F195" s="7" t="s">
        <v>225</v>
      </c>
      <c r="G195" s="7" t="s">
        <v>219</v>
      </c>
      <c r="H195" s="19" t="str">
        <f t="shared" si="2"/>
        <v/>
      </c>
      <c r="I195" s="19" t="s">
        <v>221</v>
      </c>
      <c r="J195" s="7" t="s">
        <v>313</v>
      </c>
      <c r="K195" s="25" t="s">
        <v>225</v>
      </c>
      <c r="L195" s="1"/>
    </row>
    <row r="196" spans="1:12" x14ac:dyDescent="0.25">
      <c r="A196" s="12"/>
      <c r="B196" s="7" t="s">
        <v>222</v>
      </c>
      <c r="C196" s="25">
        <v>20018085</v>
      </c>
      <c r="D196" s="7" t="s">
        <v>1536</v>
      </c>
      <c r="E196" s="26">
        <v>1</v>
      </c>
      <c r="F196" s="7" t="s">
        <v>225</v>
      </c>
      <c r="G196" s="7" t="s">
        <v>219</v>
      </c>
      <c r="H196" s="19" t="str">
        <f t="shared" si="2"/>
        <v/>
      </c>
      <c r="I196" s="19" t="s">
        <v>221</v>
      </c>
      <c r="J196" s="7" t="s">
        <v>313</v>
      </c>
      <c r="K196" s="25" t="s">
        <v>225</v>
      </c>
      <c r="L196" s="1"/>
    </row>
    <row r="197" spans="1:12" x14ac:dyDescent="0.25">
      <c r="A197" s="12"/>
      <c r="B197" s="7" t="s">
        <v>222</v>
      </c>
      <c r="C197" s="25">
        <v>20018086</v>
      </c>
      <c r="D197" s="7" t="s">
        <v>1537</v>
      </c>
      <c r="E197" s="26">
        <v>1</v>
      </c>
      <c r="F197" s="7" t="s">
        <v>225</v>
      </c>
      <c r="G197" s="7" t="s">
        <v>219</v>
      </c>
      <c r="H197" s="19" t="str">
        <f t="shared" si="2"/>
        <v/>
      </c>
      <c r="I197" s="19" t="s">
        <v>221</v>
      </c>
      <c r="J197" s="7" t="s">
        <v>313</v>
      </c>
      <c r="K197" s="25" t="s">
        <v>225</v>
      </c>
      <c r="L197" s="1"/>
    </row>
    <row r="198" spans="1:12" x14ac:dyDescent="0.25">
      <c r="A198" s="12"/>
      <c r="B198" s="7" t="s">
        <v>222</v>
      </c>
      <c r="C198" s="25">
        <v>20018087</v>
      </c>
      <c r="D198" s="7" t="s">
        <v>1538</v>
      </c>
      <c r="E198" s="26">
        <v>1</v>
      </c>
      <c r="F198" s="7" t="s">
        <v>225</v>
      </c>
      <c r="G198" s="7" t="s">
        <v>219</v>
      </c>
      <c r="H198" s="19" t="str">
        <f t="shared" si="2"/>
        <v/>
      </c>
      <c r="I198" s="19" t="s">
        <v>221</v>
      </c>
      <c r="J198" s="7" t="s">
        <v>313</v>
      </c>
      <c r="K198" s="25" t="s">
        <v>225</v>
      </c>
      <c r="L198" s="1"/>
    </row>
    <row r="199" spans="1:12" x14ac:dyDescent="0.25">
      <c r="A199" s="12"/>
      <c r="B199" s="7" t="s">
        <v>223</v>
      </c>
      <c r="C199" s="25">
        <v>20018102</v>
      </c>
      <c r="D199" s="7" t="s">
        <v>1540</v>
      </c>
      <c r="E199" s="26">
        <v>64</v>
      </c>
      <c r="F199" s="7" t="s">
        <v>225</v>
      </c>
      <c r="G199" s="7" t="s">
        <v>219</v>
      </c>
      <c r="H199" s="19" t="str">
        <f t="shared" si="2"/>
        <v/>
      </c>
      <c r="I199" s="19" t="s">
        <v>306</v>
      </c>
      <c r="J199" s="7" t="s">
        <v>313</v>
      </c>
      <c r="K199" s="25" t="s">
        <v>225</v>
      </c>
      <c r="L199" s="1"/>
    </row>
    <row r="200" spans="1:12" x14ac:dyDescent="0.25">
      <c r="A200" s="12"/>
      <c r="B200" s="7" t="s">
        <v>223</v>
      </c>
      <c r="C200" s="25">
        <v>20018103</v>
      </c>
      <c r="D200" s="7" t="s">
        <v>1541</v>
      </c>
      <c r="E200" s="26">
        <v>500</v>
      </c>
      <c r="F200" s="7" t="s">
        <v>225</v>
      </c>
      <c r="G200" s="7" t="s">
        <v>219</v>
      </c>
      <c r="H200" s="19" t="str">
        <f t="shared" si="2"/>
        <v/>
      </c>
      <c r="I200" s="19" t="s">
        <v>221</v>
      </c>
      <c r="J200" s="7" t="s">
        <v>313</v>
      </c>
      <c r="K200" s="25" t="s">
        <v>225</v>
      </c>
      <c r="L200" s="1"/>
    </row>
    <row r="201" spans="1:12" x14ac:dyDescent="0.25">
      <c r="A201" s="12"/>
      <c r="B201" s="7" t="s">
        <v>223</v>
      </c>
      <c r="C201" s="25">
        <v>20018105</v>
      </c>
      <c r="D201" s="7" t="s">
        <v>1542</v>
      </c>
      <c r="E201" s="26">
        <v>200</v>
      </c>
      <c r="F201" s="7" t="s">
        <v>225</v>
      </c>
      <c r="G201" s="7" t="s">
        <v>219</v>
      </c>
      <c r="H201" s="19" t="str">
        <f t="shared" si="2"/>
        <v/>
      </c>
      <c r="I201" s="19" t="s">
        <v>221</v>
      </c>
      <c r="J201" s="7" t="s">
        <v>313</v>
      </c>
      <c r="K201" s="25" t="s">
        <v>225</v>
      </c>
      <c r="L201" s="1"/>
    </row>
    <row r="202" spans="1:12" x14ac:dyDescent="0.25">
      <c r="A202" s="12"/>
      <c r="B202" s="7" t="s">
        <v>229</v>
      </c>
      <c r="C202" s="25">
        <v>20018148</v>
      </c>
      <c r="D202" s="7" t="s">
        <v>1548</v>
      </c>
      <c r="E202" s="26">
        <v>1</v>
      </c>
      <c r="F202" s="7" t="s">
        <v>225</v>
      </c>
      <c r="G202" s="7" t="s">
        <v>219</v>
      </c>
      <c r="H202" s="19" t="str">
        <f t="shared" si="2"/>
        <v/>
      </c>
      <c r="I202" s="19" t="s">
        <v>306</v>
      </c>
      <c r="J202" s="7" t="s">
        <v>309</v>
      </c>
      <c r="K202" s="25" t="s">
        <v>225</v>
      </c>
      <c r="L202" s="1"/>
    </row>
    <row r="203" spans="1:12" x14ac:dyDescent="0.25">
      <c r="A203" s="12"/>
      <c r="B203" s="7" t="s">
        <v>222</v>
      </c>
      <c r="C203" s="25">
        <v>20018152</v>
      </c>
      <c r="D203" s="7" t="s">
        <v>1549</v>
      </c>
      <c r="E203" s="26">
        <v>1</v>
      </c>
      <c r="F203" s="7" t="s">
        <v>225</v>
      </c>
      <c r="G203" s="7" t="s">
        <v>219</v>
      </c>
      <c r="H203" s="19" t="str">
        <f t="shared" si="2"/>
        <v/>
      </c>
      <c r="I203" s="19" t="s">
        <v>221</v>
      </c>
      <c r="J203" s="7" t="s">
        <v>313</v>
      </c>
      <c r="K203" s="25" t="s">
        <v>225</v>
      </c>
      <c r="L203" s="1"/>
    </row>
    <row r="204" spans="1:12" x14ac:dyDescent="0.25">
      <c r="A204" s="12"/>
      <c r="B204" s="7" t="s">
        <v>222</v>
      </c>
      <c r="C204" s="25">
        <v>20018154</v>
      </c>
      <c r="D204" s="7" t="s">
        <v>1551</v>
      </c>
      <c r="E204" s="26">
        <v>1</v>
      </c>
      <c r="F204" s="7" t="s">
        <v>225</v>
      </c>
      <c r="G204" s="7" t="s">
        <v>219</v>
      </c>
      <c r="H204" s="19" t="str">
        <f t="shared" si="2"/>
        <v/>
      </c>
      <c r="I204" s="19" t="s">
        <v>221</v>
      </c>
      <c r="J204" s="7" t="s">
        <v>347</v>
      </c>
      <c r="K204" s="25" t="s">
        <v>225</v>
      </c>
      <c r="L204" s="1"/>
    </row>
    <row r="205" spans="1:12" x14ac:dyDescent="0.25">
      <c r="A205" s="12"/>
      <c r="B205" s="7" t="s">
        <v>222</v>
      </c>
      <c r="C205" s="25">
        <v>20018161</v>
      </c>
      <c r="D205" s="7" t="s">
        <v>1552</v>
      </c>
      <c r="E205" s="26">
        <v>1</v>
      </c>
      <c r="F205" s="7" t="s">
        <v>225</v>
      </c>
      <c r="G205" s="7" t="s">
        <v>219</v>
      </c>
      <c r="H205" s="19" t="str">
        <f t="shared" si="2"/>
        <v/>
      </c>
      <c r="I205" s="19" t="s">
        <v>221</v>
      </c>
      <c r="J205" s="7" t="s">
        <v>397</v>
      </c>
      <c r="K205" s="25" t="s">
        <v>225</v>
      </c>
      <c r="L205" s="1"/>
    </row>
    <row r="206" spans="1:12" x14ac:dyDescent="0.25">
      <c r="A206" s="12"/>
      <c r="B206" s="7" t="s">
        <v>222</v>
      </c>
      <c r="C206" s="25">
        <v>20018164</v>
      </c>
      <c r="D206" s="7" t="s">
        <v>1554</v>
      </c>
      <c r="E206" s="26">
        <v>1</v>
      </c>
      <c r="F206" s="7" t="s">
        <v>225</v>
      </c>
      <c r="G206" s="7" t="s">
        <v>219</v>
      </c>
      <c r="H206" s="19" t="str">
        <f t="shared" si="2"/>
        <v/>
      </c>
      <c r="I206" s="19" t="s">
        <v>221</v>
      </c>
      <c r="J206" s="7" t="s">
        <v>309</v>
      </c>
      <c r="K206" s="25" t="s">
        <v>225</v>
      </c>
      <c r="L206" s="1"/>
    </row>
    <row r="207" spans="1:12" x14ac:dyDescent="0.25">
      <c r="A207" s="12"/>
      <c r="B207" s="7" t="s">
        <v>222</v>
      </c>
      <c r="C207" s="25">
        <v>20018166</v>
      </c>
      <c r="D207" s="7" t="s">
        <v>1555</v>
      </c>
      <c r="E207" s="26">
        <v>1</v>
      </c>
      <c r="F207" s="7" t="s">
        <v>225</v>
      </c>
      <c r="G207" s="7" t="s">
        <v>219</v>
      </c>
      <c r="H207" s="19" t="str">
        <f t="shared" ref="H207:H270" si="3">IF(A207="", "", A207*E207)</f>
        <v/>
      </c>
      <c r="I207" s="19" t="s">
        <v>221</v>
      </c>
      <c r="J207" s="7" t="s">
        <v>347</v>
      </c>
      <c r="K207" s="25" t="s">
        <v>225</v>
      </c>
      <c r="L207" s="1"/>
    </row>
    <row r="208" spans="1:12" x14ac:dyDescent="0.25">
      <c r="A208" s="12"/>
      <c r="B208" s="7" t="s">
        <v>222</v>
      </c>
      <c r="C208" s="25">
        <v>20018196</v>
      </c>
      <c r="D208" s="7" t="s">
        <v>11599</v>
      </c>
      <c r="E208" s="26">
        <v>1</v>
      </c>
      <c r="F208" s="7" t="s">
        <v>352</v>
      </c>
      <c r="G208" s="7" t="s">
        <v>11660</v>
      </c>
      <c r="H208" s="19" t="str">
        <f t="shared" si="3"/>
        <v/>
      </c>
      <c r="I208" s="19" t="s">
        <v>221</v>
      </c>
      <c r="J208" s="7" t="s">
        <v>347</v>
      </c>
      <c r="K208" s="25" t="s">
        <v>352</v>
      </c>
      <c r="L208" s="1"/>
    </row>
    <row r="209" spans="1:12" x14ac:dyDescent="0.25">
      <c r="A209" s="12"/>
      <c r="B209" s="7" t="s">
        <v>222</v>
      </c>
      <c r="C209" s="25">
        <v>20019026</v>
      </c>
      <c r="D209" s="7" t="s">
        <v>1568</v>
      </c>
      <c r="E209" s="26">
        <v>1</v>
      </c>
      <c r="F209" s="7" t="s">
        <v>225</v>
      </c>
      <c r="G209" s="7" t="s">
        <v>219</v>
      </c>
      <c r="H209" s="19" t="str">
        <f t="shared" si="3"/>
        <v/>
      </c>
      <c r="I209" s="19" t="s">
        <v>221</v>
      </c>
      <c r="J209" s="7" t="s">
        <v>347</v>
      </c>
      <c r="K209" s="25" t="s">
        <v>225</v>
      </c>
      <c r="L209" s="1"/>
    </row>
    <row r="210" spans="1:12" x14ac:dyDescent="0.25">
      <c r="A210" s="12"/>
      <c r="B210" s="7" t="s">
        <v>223</v>
      </c>
      <c r="C210" s="25">
        <v>20019144</v>
      </c>
      <c r="D210" s="7" t="s">
        <v>1572</v>
      </c>
      <c r="E210" s="26">
        <v>200</v>
      </c>
      <c r="F210" s="7" t="s">
        <v>225</v>
      </c>
      <c r="G210" s="7" t="s">
        <v>219</v>
      </c>
      <c r="H210" s="19" t="str">
        <f t="shared" si="3"/>
        <v/>
      </c>
      <c r="I210" s="19" t="s">
        <v>221</v>
      </c>
      <c r="J210" s="7" t="s">
        <v>345</v>
      </c>
      <c r="K210" s="25" t="s">
        <v>225</v>
      </c>
      <c r="L210" s="1"/>
    </row>
    <row r="211" spans="1:12" x14ac:dyDescent="0.25">
      <c r="A211" s="12"/>
      <c r="B211" s="7" t="s">
        <v>223</v>
      </c>
      <c r="C211" s="25">
        <v>20019149</v>
      </c>
      <c r="D211" s="7" t="s">
        <v>1575</v>
      </c>
      <c r="E211" s="26">
        <v>150</v>
      </c>
      <c r="F211" s="7" t="s">
        <v>225</v>
      </c>
      <c r="G211" s="7" t="s">
        <v>219</v>
      </c>
      <c r="H211" s="19" t="str">
        <f t="shared" si="3"/>
        <v/>
      </c>
      <c r="I211" s="19" t="s">
        <v>221</v>
      </c>
      <c r="J211" s="7" t="s">
        <v>345</v>
      </c>
      <c r="K211" s="25" t="s">
        <v>225</v>
      </c>
      <c r="L211" s="1"/>
    </row>
    <row r="212" spans="1:12" x14ac:dyDescent="0.25">
      <c r="A212" s="12"/>
      <c r="B212" s="7" t="s">
        <v>223</v>
      </c>
      <c r="C212" s="25">
        <v>20019150</v>
      </c>
      <c r="D212" s="7" t="s">
        <v>1576</v>
      </c>
      <c r="E212" s="26">
        <v>100</v>
      </c>
      <c r="F212" s="7" t="s">
        <v>225</v>
      </c>
      <c r="G212" s="7" t="s">
        <v>219</v>
      </c>
      <c r="H212" s="19" t="str">
        <f t="shared" si="3"/>
        <v/>
      </c>
      <c r="I212" s="19" t="s">
        <v>221</v>
      </c>
      <c r="J212" s="7" t="s">
        <v>345</v>
      </c>
      <c r="K212" s="25" t="s">
        <v>225</v>
      </c>
      <c r="L212" s="1"/>
    </row>
    <row r="213" spans="1:12" x14ac:dyDescent="0.25">
      <c r="A213" s="12"/>
      <c r="B213" s="7" t="s">
        <v>222</v>
      </c>
      <c r="C213" s="25">
        <v>20019151</v>
      </c>
      <c r="D213" s="7" t="s">
        <v>1577</v>
      </c>
      <c r="E213" s="26">
        <v>1</v>
      </c>
      <c r="F213" s="7" t="s">
        <v>225</v>
      </c>
      <c r="G213" s="7" t="s">
        <v>219</v>
      </c>
      <c r="H213" s="19" t="str">
        <f t="shared" si="3"/>
        <v/>
      </c>
      <c r="I213" s="19" t="s">
        <v>221</v>
      </c>
      <c r="J213" s="7" t="s">
        <v>345</v>
      </c>
      <c r="K213" s="25" t="s">
        <v>225</v>
      </c>
      <c r="L213" s="1"/>
    </row>
    <row r="214" spans="1:12" x14ac:dyDescent="0.25">
      <c r="A214" s="12"/>
      <c r="B214" s="7" t="s">
        <v>222</v>
      </c>
      <c r="C214" s="25">
        <v>20019177</v>
      </c>
      <c r="D214" s="7" t="s">
        <v>1581</v>
      </c>
      <c r="E214" s="26">
        <v>1</v>
      </c>
      <c r="F214" s="7" t="s">
        <v>225</v>
      </c>
      <c r="G214" s="7" t="s">
        <v>219</v>
      </c>
      <c r="H214" s="19" t="str">
        <f t="shared" si="3"/>
        <v/>
      </c>
      <c r="I214" s="19" t="s">
        <v>221</v>
      </c>
      <c r="J214" s="7" t="s">
        <v>313</v>
      </c>
      <c r="K214" s="25" t="s">
        <v>225</v>
      </c>
      <c r="L214" s="1"/>
    </row>
    <row r="215" spans="1:12" x14ac:dyDescent="0.25">
      <c r="A215" s="12"/>
      <c r="B215" s="7" t="s">
        <v>222</v>
      </c>
      <c r="C215" s="25">
        <v>20019179</v>
      </c>
      <c r="D215" s="7" t="s">
        <v>1582</v>
      </c>
      <c r="E215" s="26">
        <v>1</v>
      </c>
      <c r="F215" s="7" t="s">
        <v>225</v>
      </c>
      <c r="G215" s="7" t="s">
        <v>219</v>
      </c>
      <c r="H215" s="19" t="str">
        <f t="shared" si="3"/>
        <v/>
      </c>
      <c r="I215" s="19" t="s">
        <v>221</v>
      </c>
      <c r="J215" s="7" t="s">
        <v>954</v>
      </c>
      <c r="K215" s="25" t="s">
        <v>225</v>
      </c>
      <c r="L215" s="1"/>
    </row>
    <row r="216" spans="1:12" x14ac:dyDescent="0.25">
      <c r="A216" s="12"/>
      <c r="B216" s="7" t="s">
        <v>222</v>
      </c>
      <c r="C216" s="25">
        <v>20019478</v>
      </c>
      <c r="D216" s="7" t="s">
        <v>1583</v>
      </c>
      <c r="E216" s="26">
        <v>1</v>
      </c>
      <c r="F216" s="7" t="s">
        <v>225</v>
      </c>
      <c r="G216" s="7" t="s">
        <v>219</v>
      </c>
      <c r="H216" s="19" t="str">
        <f t="shared" si="3"/>
        <v/>
      </c>
      <c r="I216" s="19" t="s">
        <v>221</v>
      </c>
      <c r="J216" s="7" t="s">
        <v>315</v>
      </c>
      <c r="K216" s="25" t="s">
        <v>225</v>
      </c>
      <c r="L216" s="1"/>
    </row>
    <row r="217" spans="1:12" x14ac:dyDescent="0.25">
      <c r="A217" s="12"/>
      <c r="B217" s="7" t="s">
        <v>222</v>
      </c>
      <c r="C217" s="25">
        <v>20019481</v>
      </c>
      <c r="D217" s="7" t="s">
        <v>1584</v>
      </c>
      <c r="E217" s="26">
        <v>1</v>
      </c>
      <c r="F217" s="7" t="s">
        <v>225</v>
      </c>
      <c r="G217" s="7" t="s">
        <v>219</v>
      </c>
      <c r="H217" s="19" t="str">
        <f t="shared" si="3"/>
        <v/>
      </c>
      <c r="I217" s="19" t="s">
        <v>221</v>
      </c>
      <c r="J217" s="7" t="s">
        <v>315</v>
      </c>
      <c r="K217" s="25" t="s">
        <v>225</v>
      </c>
      <c r="L217" s="1"/>
    </row>
    <row r="218" spans="1:12" x14ac:dyDescent="0.25">
      <c r="A218" s="12"/>
      <c r="B218" s="7" t="s">
        <v>222</v>
      </c>
      <c r="C218" s="25">
        <v>20019482</v>
      </c>
      <c r="D218" s="7" t="s">
        <v>1585</v>
      </c>
      <c r="E218" s="26">
        <v>1</v>
      </c>
      <c r="F218" s="7" t="s">
        <v>225</v>
      </c>
      <c r="G218" s="7" t="s">
        <v>219</v>
      </c>
      <c r="H218" s="19" t="str">
        <f t="shared" si="3"/>
        <v/>
      </c>
      <c r="I218" s="19" t="s">
        <v>221</v>
      </c>
      <c r="J218" s="7" t="s">
        <v>315</v>
      </c>
      <c r="K218" s="25" t="s">
        <v>225</v>
      </c>
      <c r="L218" s="1"/>
    </row>
    <row r="219" spans="1:12" x14ac:dyDescent="0.25">
      <c r="A219" s="12"/>
      <c r="B219" s="7" t="s">
        <v>223</v>
      </c>
      <c r="C219" s="25">
        <v>20019483</v>
      </c>
      <c r="D219" s="7" t="s">
        <v>1586</v>
      </c>
      <c r="E219" s="26">
        <v>3</v>
      </c>
      <c r="F219" s="7" t="s">
        <v>225</v>
      </c>
      <c r="G219" s="7" t="s">
        <v>219</v>
      </c>
      <c r="H219" s="19" t="str">
        <f t="shared" si="3"/>
        <v/>
      </c>
      <c r="I219" s="19" t="s">
        <v>221</v>
      </c>
      <c r="J219" s="7" t="s">
        <v>315</v>
      </c>
      <c r="K219" s="25" t="s">
        <v>225</v>
      </c>
      <c r="L219" s="1"/>
    </row>
    <row r="220" spans="1:12" x14ac:dyDescent="0.25">
      <c r="A220" s="12"/>
      <c r="B220" s="7" t="s">
        <v>223</v>
      </c>
      <c r="C220" s="25">
        <v>20019484</v>
      </c>
      <c r="D220" s="7" t="s">
        <v>1587</v>
      </c>
      <c r="E220" s="26">
        <v>3</v>
      </c>
      <c r="F220" s="7" t="s">
        <v>225</v>
      </c>
      <c r="G220" s="7" t="s">
        <v>219</v>
      </c>
      <c r="H220" s="19" t="str">
        <f t="shared" si="3"/>
        <v/>
      </c>
      <c r="I220" s="19" t="s">
        <v>221</v>
      </c>
      <c r="J220" s="7" t="s">
        <v>315</v>
      </c>
      <c r="K220" s="25" t="s">
        <v>225</v>
      </c>
      <c r="L220" s="1"/>
    </row>
    <row r="221" spans="1:12" x14ac:dyDescent="0.25">
      <c r="A221" s="12"/>
      <c r="B221" s="7" t="s">
        <v>223</v>
      </c>
      <c r="C221" s="25">
        <v>20019485</v>
      </c>
      <c r="D221" s="7" t="s">
        <v>1588</v>
      </c>
      <c r="E221" s="26">
        <v>3</v>
      </c>
      <c r="F221" s="7" t="s">
        <v>225</v>
      </c>
      <c r="G221" s="7" t="s">
        <v>219</v>
      </c>
      <c r="H221" s="19" t="str">
        <f t="shared" si="3"/>
        <v/>
      </c>
      <c r="I221" s="19" t="s">
        <v>221</v>
      </c>
      <c r="J221" s="7" t="s">
        <v>315</v>
      </c>
      <c r="K221" s="25" t="s">
        <v>225</v>
      </c>
      <c r="L221" s="1"/>
    </row>
    <row r="222" spans="1:12" x14ac:dyDescent="0.25">
      <c r="A222" s="12"/>
      <c r="B222" s="7" t="s">
        <v>222</v>
      </c>
      <c r="C222" s="25">
        <v>20019487</v>
      </c>
      <c r="D222" s="7" t="s">
        <v>1590</v>
      </c>
      <c r="E222" s="26">
        <v>1</v>
      </c>
      <c r="F222" s="7" t="s">
        <v>225</v>
      </c>
      <c r="G222" s="7" t="s">
        <v>219</v>
      </c>
      <c r="H222" s="19" t="str">
        <f t="shared" si="3"/>
        <v/>
      </c>
      <c r="I222" s="19" t="s">
        <v>221</v>
      </c>
      <c r="J222" s="7" t="s">
        <v>315</v>
      </c>
      <c r="K222" s="25" t="s">
        <v>225</v>
      </c>
      <c r="L222" s="1"/>
    </row>
    <row r="223" spans="1:12" x14ac:dyDescent="0.25">
      <c r="A223" s="12"/>
      <c r="B223" s="7" t="s">
        <v>222</v>
      </c>
      <c r="C223" s="25">
        <v>20019490</v>
      </c>
      <c r="D223" s="7" t="s">
        <v>1593</v>
      </c>
      <c r="E223" s="26">
        <v>1</v>
      </c>
      <c r="F223" s="7" t="s">
        <v>225</v>
      </c>
      <c r="G223" s="7" t="s">
        <v>219</v>
      </c>
      <c r="H223" s="19" t="str">
        <f t="shared" si="3"/>
        <v/>
      </c>
      <c r="I223" s="19" t="s">
        <v>221</v>
      </c>
      <c r="J223" s="7" t="s">
        <v>315</v>
      </c>
      <c r="K223" s="25" t="s">
        <v>225</v>
      </c>
      <c r="L223" s="1"/>
    </row>
    <row r="224" spans="1:12" x14ac:dyDescent="0.25">
      <c r="A224" s="12"/>
      <c r="B224" s="7" t="s">
        <v>222</v>
      </c>
      <c r="C224" s="25">
        <v>20019491</v>
      </c>
      <c r="D224" s="7" t="s">
        <v>1594</v>
      </c>
      <c r="E224" s="26">
        <v>1</v>
      </c>
      <c r="F224" s="7" t="s">
        <v>225</v>
      </c>
      <c r="G224" s="7" t="s">
        <v>219</v>
      </c>
      <c r="H224" s="19" t="str">
        <f t="shared" si="3"/>
        <v/>
      </c>
      <c r="I224" s="19" t="s">
        <v>221</v>
      </c>
      <c r="J224" s="7" t="s">
        <v>315</v>
      </c>
      <c r="K224" s="25" t="s">
        <v>225</v>
      </c>
      <c r="L224" s="1"/>
    </row>
    <row r="225" spans="1:12" x14ac:dyDescent="0.25">
      <c r="A225" s="12"/>
      <c r="B225" s="7" t="s">
        <v>222</v>
      </c>
      <c r="C225" s="25">
        <v>20019504</v>
      </c>
      <c r="D225" s="7" t="s">
        <v>1596</v>
      </c>
      <c r="E225" s="26">
        <v>1</v>
      </c>
      <c r="F225" s="7" t="s">
        <v>225</v>
      </c>
      <c r="G225" s="7" t="s">
        <v>219</v>
      </c>
      <c r="H225" s="19" t="str">
        <f t="shared" si="3"/>
        <v/>
      </c>
      <c r="I225" s="19" t="s">
        <v>221</v>
      </c>
      <c r="J225" s="7" t="s">
        <v>315</v>
      </c>
      <c r="K225" s="25" t="s">
        <v>225</v>
      </c>
      <c r="L225" s="1"/>
    </row>
    <row r="226" spans="1:12" x14ac:dyDescent="0.25">
      <c r="A226" s="12"/>
      <c r="B226" s="7" t="s">
        <v>222</v>
      </c>
      <c r="C226" s="25">
        <v>20019505</v>
      </c>
      <c r="D226" s="7" t="s">
        <v>1597</v>
      </c>
      <c r="E226" s="26">
        <v>1</v>
      </c>
      <c r="F226" s="7" t="s">
        <v>225</v>
      </c>
      <c r="G226" s="7" t="s">
        <v>219</v>
      </c>
      <c r="H226" s="19" t="str">
        <f t="shared" si="3"/>
        <v/>
      </c>
      <c r="I226" s="19" t="s">
        <v>221</v>
      </c>
      <c r="J226" s="7" t="s">
        <v>315</v>
      </c>
      <c r="K226" s="25" t="s">
        <v>225</v>
      </c>
      <c r="L226" s="1"/>
    </row>
    <row r="227" spans="1:12" x14ac:dyDescent="0.25">
      <c r="A227" s="12"/>
      <c r="B227" s="7" t="s">
        <v>222</v>
      </c>
      <c r="C227" s="25">
        <v>20019507</v>
      </c>
      <c r="D227" s="7" t="s">
        <v>1598</v>
      </c>
      <c r="E227" s="26">
        <v>1</v>
      </c>
      <c r="F227" s="7" t="s">
        <v>225</v>
      </c>
      <c r="G227" s="7" t="s">
        <v>219</v>
      </c>
      <c r="H227" s="19" t="str">
        <f t="shared" si="3"/>
        <v/>
      </c>
      <c r="I227" s="19" t="s">
        <v>221</v>
      </c>
      <c r="J227" s="7" t="s">
        <v>315</v>
      </c>
      <c r="K227" s="25" t="s">
        <v>225</v>
      </c>
      <c r="L227" s="1"/>
    </row>
    <row r="228" spans="1:12" x14ac:dyDescent="0.25">
      <c r="A228" s="12"/>
      <c r="B228" s="7" t="s">
        <v>223</v>
      </c>
      <c r="C228" s="25">
        <v>20019509</v>
      </c>
      <c r="D228" s="7" t="s">
        <v>1599</v>
      </c>
      <c r="E228" s="26">
        <v>3</v>
      </c>
      <c r="F228" s="7" t="s">
        <v>225</v>
      </c>
      <c r="G228" s="7" t="s">
        <v>219</v>
      </c>
      <c r="H228" s="19" t="str">
        <f t="shared" si="3"/>
        <v/>
      </c>
      <c r="I228" s="19" t="s">
        <v>221</v>
      </c>
      <c r="J228" s="7" t="s">
        <v>315</v>
      </c>
      <c r="K228" s="25" t="s">
        <v>225</v>
      </c>
      <c r="L228" s="1"/>
    </row>
    <row r="229" spans="1:12" x14ac:dyDescent="0.25">
      <c r="A229" s="12"/>
      <c r="B229" s="7" t="s">
        <v>222</v>
      </c>
      <c r="C229" s="25">
        <v>20019510</v>
      </c>
      <c r="D229" s="7" t="s">
        <v>1600</v>
      </c>
      <c r="E229" s="26">
        <v>1</v>
      </c>
      <c r="F229" s="7" t="s">
        <v>225</v>
      </c>
      <c r="G229" s="7" t="s">
        <v>219</v>
      </c>
      <c r="H229" s="19" t="str">
        <f t="shared" si="3"/>
        <v/>
      </c>
      <c r="I229" s="19" t="s">
        <v>221</v>
      </c>
      <c r="J229" s="7" t="s">
        <v>315</v>
      </c>
      <c r="K229" s="25" t="s">
        <v>225</v>
      </c>
      <c r="L229" s="1"/>
    </row>
    <row r="230" spans="1:12" x14ac:dyDescent="0.25">
      <c r="A230" s="12"/>
      <c r="B230" s="7" t="s">
        <v>223</v>
      </c>
      <c r="C230" s="25">
        <v>20019515</v>
      </c>
      <c r="D230" s="7" t="s">
        <v>1603</v>
      </c>
      <c r="E230" s="26">
        <v>3</v>
      </c>
      <c r="F230" s="7" t="s">
        <v>225</v>
      </c>
      <c r="G230" s="7" t="s">
        <v>219</v>
      </c>
      <c r="H230" s="19" t="str">
        <f t="shared" si="3"/>
        <v/>
      </c>
      <c r="I230" s="19" t="s">
        <v>221</v>
      </c>
      <c r="J230" s="7" t="s">
        <v>315</v>
      </c>
      <c r="K230" s="25" t="s">
        <v>225</v>
      </c>
      <c r="L230" s="1"/>
    </row>
    <row r="231" spans="1:12" x14ac:dyDescent="0.25">
      <c r="A231" s="12"/>
      <c r="B231" s="7" t="s">
        <v>223</v>
      </c>
      <c r="C231" s="25">
        <v>20019516</v>
      </c>
      <c r="D231" s="7" t="s">
        <v>1604</v>
      </c>
      <c r="E231" s="26">
        <v>3</v>
      </c>
      <c r="F231" s="7" t="s">
        <v>225</v>
      </c>
      <c r="G231" s="7" t="s">
        <v>219</v>
      </c>
      <c r="H231" s="19" t="str">
        <f t="shared" si="3"/>
        <v/>
      </c>
      <c r="I231" s="19" t="s">
        <v>221</v>
      </c>
      <c r="J231" s="7" t="s">
        <v>315</v>
      </c>
      <c r="K231" s="25" t="s">
        <v>225</v>
      </c>
      <c r="L231" s="1"/>
    </row>
    <row r="232" spans="1:12" x14ac:dyDescent="0.25">
      <c r="A232" s="12"/>
      <c r="B232" s="7" t="s">
        <v>222</v>
      </c>
      <c r="C232" s="25">
        <v>20019517</v>
      </c>
      <c r="D232" s="7" t="s">
        <v>1605</v>
      </c>
      <c r="E232" s="26">
        <v>1</v>
      </c>
      <c r="F232" s="7" t="s">
        <v>225</v>
      </c>
      <c r="G232" s="7" t="s">
        <v>219</v>
      </c>
      <c r="H232" s="19" t="str">
        <f t="shared" si="3"/>
        <v/>
      </c>
      <c r="I232" s="19" t="s">
        <v>221</v>
      </c>
      <c r="J232" s="7" t="s">
        <v>315</v>
      </c>
      <c r="K232" s="25" t="s">
        <v>225</v>
      </c>
      <c r="L232" s="1"/>
    </row>
    <row r="233" spans="1:12" x14ac:dyDescent="0.25">
      <c r="A233" s="12"/>
      <c r="B233" s="7" t="s">
        <v>222</v>
      </c>
      <c r="C233" s="25">
        <v>20019548</v>
      </c>
      <c r="D233" s="7" t="s">
        <v>1613</v>
      </c>
      <c r="E233" s="26">
        <v>1</v>
      </c>
      <c r="F233" s="7" t="s">
        <v>225</v>
      </c>
      <c r="G233" s="7" t="s">
        <v>219</v>
      </c>
      <c r="H233" s="19" t="str">
        <f t="shared" si="3"/>
        <v/>
      </c>
      <c r="I233" s="19" t="s">
        <v>221</v>
      </c>
      <c r="J233" s="7" t="s">
        <v>347</v>
      </c>
      <c r="K233" s="25" t="s">
        <v>225</v>
      </c>
      <c r="L233" s="1"/>
    </row>
    <row r="234" spans="1:12" x14ac:dyDescent="0.25">
      <c r="A234" s="12"/>
      <c r="B234" s="7" t="s">
        <v>222</v>
      </c>
      <c r="C234" s="25">
        <v>20019554</v>
      </c>
      <c r="D234" s="7" t="s">
        <v>1618</v>
      </c>
      <c r="E234" s="26">
        <v>1</v>
      </c>
      <c r="F234" s="7" t="s">
        <v>225</v>
      </c>
      <c r="G234" s="7" t="s">
        <v>219</v>
      </c>
      <c r="H234" s="19" t="str">
        <f t="shared" si="3"/>
        <v/>
      </c>
      <c r="I234" s="19" t="s">
        <v>221</v>
      </c>
      <c r="J234" s="7" t="s">
        <v>315</v>
      </c>
      <c r="K234" s="25" t="s">
        <v>225</v>
      </c>
      <c r="L234" s="1"/>
    </row>
    <row r="235" spans="1:12" x14ac:dyDescent="0.25">
      <c r="A235" s="12"/>
      <c r="B235" s="7" t="s">
        <v>222</v>
      </c>
      <c r="C235" s="25">
        <v>20019555</v>
      </c>
      <c r="D235" s="7" t="s">
        <v>1619</v>
      </c>
      <c r="E235" s="26">
        <v>1</v>
      </c>
      <c r="F235" s="7" t="s">
        <v>225</v>
      </c>
      <c r="G235" s="7" t="s">
        <v>219</v>
      </c>
      <c r="H235" s="19" t="str">
        <f t="shared" si="3"/>
        <v/>
      </c>
      <c r="I235" s="19" t="s">
        <v>221</v>
      </c>
      <c r="J235" s="7" t="s">
        <v>315</v>
      </c>
      <c r="K235" s="25" t="s">
        <v>225</v>
      </c>
      <c r="L235" s="1"/>
    </row>
    <row r="236" spans="1:12" x14ac:dyDescent="0.25">
      <c r="A236" s="12"/>
      <c r="B236" s="7" t="s">
        <v>222</v>
      </c>
      <c r="C236" s="25">
        <v>20019614</v>
      </c>
      <c r="D236" s="7" t="s">
        <v>1622</v>
      </c>
      <c r="E236" s="26">
        <v>1</v>
      </c>
      <c r="F236" s="7" t="s">
        <v>225</v>
      </c>
      <c r="G236" s="7" t="s">
        <v>219</v>
      </c>
      <c r="H236" s="19" t="str">
        <f t="shared" si="3"/>
        <v/>
      </c>
      <c r="I236" s="19" t="s">
        <v>221</v>
      </c>
      <c r="J236" s="7" t="s">
        <v>440</v>
      </c>
      <c r="K236" s="25" t="s">
        <v>225</v>
      </c>
      <c r="L236" s="1"/>
    </row>
    <row r="237" spans="1:12" x14ac:dyDescent="0.25">
      <c r="A237" s="12"/>
      <c r="B237" s="7" t="s">
        <v>222</v>
      </c>
      <c r="C237" s="25">
        <v>20019625</v>
      </c>
      <c r="D237" s="7" t="s">
        <v>1623</v>
      </c>
      <c r="E237" s="26">
        <v>1</v>
      </c>
      <c r="F237" s="7" t="s">
        <v>225</v>
      </c>
      <c r="G237" s="7" t="s">
        <v>219</v>
      </c>
      <c r="H237" s="19" t="str">
        <f t="shared" si="3"/>
        <v/>
      </c>
      <c r="I237" s="19" t="s">
        <v>221</v>
      </c>
      <c r="J237" s="7" t="s">
        <v>397</v>
      </c>
      <c r="K237" s="25" t="s">
        <v>225</v>
      </c>
      <c r="L237" s="1"/>
    </row>
    <row r="238" spans="1:12" x14ac:dyDescent="0.25">
      <c r="A238" s="12"/>
      <c r="B238" s="7" t="s">
        <v>222</v>
      </c>
      <c r="C238" s="25">
        <v>20019626</v>
      </c>
      <c r="D238" s="7" t="s">
        <v>1624</v>
      </c>
      <c r="E238" s="26">
        <v>1</v>
      </c>
      <c r="F238" s="7" t="s">
        <v>225</v>
      </c>
      <c r="G238" s="7" t="s">
        <v>219</v>
      </c>
      <c r="H238" s="19" t="str">
        <f t="shared" si="3"/>
        <v/>
      </c>
      <c r="I238" s="19" t="s">
        <v>221</v>
      </c>
      <c r="J238" s="7" t="s">
        <v>397</v>
      </c>
      <c r="K238" s="25" t="s">
        <v>225</v>
      </c>
      <c r="L238" s="1"/>
    </row>
    <row r="239" spans="1:12" x14ac:dyDescent="0.25">
      <c r="A239" s="12"/>
      <c r="B239" s="7" t="s">
        <v>222</v>
      </c>
      <c r="C239" s="25">
        <v>20019629</v>
      </c>
      <c r="D239" s="7" t="s">
        <v>1626</v>
      </c>
      <c r="E239" s="26">
        <v>1</v>
      </c>
      <c r="F239" s="7" t="s">
        <v>225</v>
      </c>
      <c r="G239" s="7" t="s">
        <v>219</v>
      </c>
      <c r="H239" s="19" t="str">
        <f t="shared" si="3"/>
        <v/>
      </c>
      <c r="I239" s="19" t="s">
        <v>221</v>
      </c>
      <c r="J239" s="7" t="s">
        <v>347</v>
      </c>
      <c r="K239" s="25" t="s">
        <v>225</v>
      </c>
      <c r="L239" s="1"/>
    </row>
    <row r="240" spans="1:12" x14ac:dyDescent="0.25">
      <c r="A240" s="12"/>
      <c r="B240" s="7" t="s">
        <v>222</v>
      </c>
      <c r="C240" s="25">
        <v>20019630</v>
      </c>
      <c r="D240" s="7" t="s">
        <v>1627</v>
      </c>
      <c r="E240" s="26">
        <v>1</v>
      </c>
      <c r="F240" s="7" t="s">
        <v>225</v>
      </c>
      <c r="G240" s="7" t="s">
        <v>219</v>
      </c>
      <c r="H240" s="19" t="str">
        <f t="shared" si="3"/>
        <v/>
      </c>
      <c r="I240" s="19" t="s">
        <v>221</v>
      </c>
      <c r="J240" s="7" t="s">
        <v>347</v>
      </c>
      <c r="K240" s="25" t="s">
        <v>225</v>
      </c>
      <c r="L240" s="1"/>
    </row>
    <row r="241" spans="1:12" x14ac:dyDescent="0.25">
      <c r="A241" s="12"/>
      <c r="B241" s="7" t="s">
        <v>222</v>
      </c>
      <c r="C241" s="25">
        <v>20019643</v>
      </c>
      <c r="D241" s="7" t="s">
        <v>1631</v>
      </c>
      <c r="E241" s="26">
        <v>1</v>
      </c>
      <c r="F241" s="7" t="s">
        <v>225</v>
      </c>
      <c r="G241" s="7" t="s">
        <v>219</v>
      </c>
      <c r="H241" s="19" t="str">
        <f t="shared" si="3"/>
        <v/>
      </c>
      <c r="I241" s="19" t="s">
        <v>221</v>
      </c>
      <c r="J241" s="7" t="s">
        <v>347</v>
      </c>
      <c r="K241" s="25" t="s">
        <v>225</v>
      </c>
      <c r="L241" s="1"/>
    </row>
    <row r="242" spans="1:12" x14ac:dyDescent="0.25">
      <c r="A242" s="12"/>
      <c r="B242" s="7" t="s">
        <v>343</v>
      </c>
      <c r="C242" s="25">
        <v>20019644</v>
      </c>
      <c r="D242" s="7" t="s">
        <v>1632</v>
      </c>
      <c r="E242" s="26">
        <v>1</v>
      </c>
      <c r="F242" s="7" t="s">
        <v>225</v>
      </c>
      <c r="G242" s="7" t="s">
        <v>219</v>
      </c>
      <c r="H242" s="19" t="str">
        <f t="shared" si="3"/>
        <v/>
      </c>
      <c r="I242" s="19" t="s">
        <v>912</v>
      </c>
      <c r="J242" s="7" t="s">
        <v>347</v>
      </c>
      <c r="K242" s="25" t="s">
        <v>225</v>
      </c>
      <c r="L242" s="1"/>
    </row>
    <row r="243" spans="1:12" x14ac:dyDescent="0.25">
      <c r="A243" s="12"/>
      <c r="B243" s="7" t="s">
        <v>222</v>
      </c>
      <c r="C243" s="25">
        <v>20019792</v>
      </c>
      <c r="D243" s="7" t="s">
        <v>1635</v>
      </c>
      <c r="E243" s="26">
        <v>1</v>
      </c>
      <c r="F243" s="7" t="s">
        <v>225</v>
      </c>
      <c r="G243" s="7" t="s">
        <v>219</v>
      </c>
      <c r="H243" s="19" t="str">
        <f t="shared" si="3"/>
        <v/>
      </c>
      <c r="I243" s="19" t="s">
        <v>221</v>
      </c>
      <c r="J243" s="7" t="s">
        <v>347</v>
      </c>
      <c r="K243" s="25" t="s">
        <v>225</v>
      </c>
      <c r="L243" s="1"/>
    </row>
    <row r="244" spans="1:12" x14ac:dyDescent="0.25">
      <c r="A244" s="12"/>
      <c r="B244" s="7" t="s">
        <v>222</v>
      </c>
      <c r="C244" s="25">
        <v>20019885</v>
      </c>
      <c r="D244" s="7" t="s">
        <v>1637</v>
      </c>
      <c r="E244" s="26">
        <v>1</v>
      </c>
      <c r="F244" s="7" t="s">
        <v>225</v>
      </c>
      <c r="G244" s="7" t="s">
        <v>219</v>
      </c>
      <c r="H244" s="19" t="str">
        <f t="shared" si="3"/>
        <v/>
      </c>
      <c r="I244" s="19" t="s">
        <v>221</v>
      </c>
      <c r="J244" s="7" t="s">
        <v>397</v>
      </c>
      <c r="K244" s="25" t="s">
        <v>225</v>
      </c>
      <c r="L244" s="1"/>
    </row>
    <row r="245" spans="1:12" x14ac:dyDescent="0.25">
      <c r="A245" s="12"/>
      <c r="B245" s="7" t="s">
        <v>222</v>
      </c>
      <c r="C245" s="25">
        <v>20019886</v>
      </c>
      <c r="D245" s="7" t="s">
        <v>1638</v>
      </c>
      <c r="E245" s="26">
        <v>1</v>
      </c>
      <c r="F245" s="7" t="s">
        <v>225</v>
      </c>
      <c r="G245" s="7" t="s">
        <v>219</v>
      </c>
      <c r="H245" s="19" t="str">
        <f t="shared" si="3"/>
        <v/>
      </c>
      <c r="I245" s="19" t="s">
        <v>221</v>
      </c>
      <c r="J245" s="7" t="s">
        <v>397</v>
      </c>
      <c r="K245" s="25" t="s">
        <v>225</v>
      </c>
      <c r="L245" s="1"/>
    </row>
    <row r="246" spans="1:12" x14ac:dyDescent="0.25">
      <c r="A246" s="12"/>
      <c r="B246" s="7" t="s">
        <v>222</v>
      </c>
      <c r="C246" s="25">
        <v>20019887</v>
      </c>
      <c r="D246" s="7" t="s">
        <v>1639</v>
      </c>
      <c r="E246" s="26">
        <v>1</v>
      </c>
      <c r="F246" s="7" t="s">
        <v>225</v>
      </c>
      <c r="G246" s="7" t="s">
        <v>219</v>
      </c>
      <c r="H246" s="19" t="str">
        <f t="shared" si="3"/>
        <v/>
      </c>
      <c r="I246" s="19" t="s">
        <v>221</v>
      </c>
      <c r="J246" s="7" t="s">
        <v>397</v>
      </c>
      <c r="K246" s="25" t="s">
        <v>225</v>
      </c>
      <c r="L246" s="1"/>
    </row>
    <row r="247" spans="1:12" x14ac:dyDescent="0.25">
      <c r="A247" s="12"/>
      <c r="B247" s="7" t="s">
        <v>222</v>
      </c>
      <c r="C247" s="25">
        <v>20019888</v>
      </c>
      <c r="D247" s="7" t="s">
        <v>1640</v>
      </c>
      <c r="E247" s="26">
        <v>1</v>
      </c>
      <c r="F247" s="7" t="s">
        <v>225</v>
      </c>
      <c r="G247" s="7" t="s">
        <v>219</v>
      </c>
      <c r="H247" s="19" t="str">
        <f t="shared" si="3"/>
        <v/>
      </c>
      <c r="I247" s="19" t="s">
        <v>221</v>
      </c>
      <c r="J247" s="7" t="s">
        <v>397</v>
      </c>
      <c r="K247" s="25" t="s">
        <v>225</v>
      </c>
      <c r="L247" s="1"/>
    </row>
    <row r="248" spans="1:12" x14ac:dyDescent="0.25">
      <c r="A248" s="12"/>
      <c r="B248" s="7" t="s">
        <v>222</v>
      </c>
      <c r="C248" s="25">
        <v>20019889</v>
      </c>
      <c r="D248" s="7" t="s">
        <v>1641</v>
      </c>
      <c r="E248" s="26">
        <v>1</v>
      </c>
      <c r="F248" s="7" t="s">
        <v>225</v>
      </c>
      <c r="G248" s="7" t="s">
        <v>219</v>
      </c>
      <c r="H248" s="19" t="str">
        <f t="shared" si="3"/>
        <v/>
      </c>
      <c r="I248" s="19" t="s">
        <v>221</v>
      </c>
      <c r="J248" s="7" t="s">
        <v>397</v>
      </c>
      <c r="K248" s="25" t="s">
        <v>225</v>
      </c>
      <c r="L248" s="1"/>
    </row>
    <row r="249" spans="1:12" x14ac:dyDescent="0.25">
      <c r="A249" s="12"/>
      <c r="B249" s="7" t="s">
        <v>222</v>
      </c>
      <c r="C249" s="25">
        <v>20019890</v>
      </c>
      <c r="D249" s="7" t="s">
        <v>1642</v>
      </c>
      <c r="E249" s="26">
        <v>1</v>
      </c>
      <c r="F249" s="7" t="s">
        <v>225</v>
      </c>
      <c r="G249" s="7" t="s">
        <v>219</v>
      </c>
      <c r="H249" s="19" t="str">
        <f t="shared" si="3"/>
        <v/>
      </c>
      <c r="I249" s="19" t="s">
        <v>221</v>
      </c>
      <c r="J249" s="7" t="s">
        <v>397</v>
      </c>
      <c r="K249" s="25" t="s">
        <v>225</v>
      </c>
      <c r="L249" s="1"/>
    </row>
    <row r="250" spans="1:12" x14ac:dyDescent="0.25">
      <c r="A250" s="12"/>
      <c r="B250" s="7" t="s">
        <v>222</v>
      </c>
      <c r="C250" s="25">
        <v>20019893</v>
      </c>
      <c r="D250" s="7" t="s">
        <v>1643</v>
      </c>
      <c r="E250" s="26">
        <v>1</v>
      </c>
      <c r="F250" s="7" t="s">
        <v>225</v>
      </c>
      <c r="G250" s="7" t="s">
        <v>219</v>
      </c>
      <c r="H250" s="19" t="str">
        <f t="shared" si="3"/>
        <v/>
      </c>
      <c r="I250" s="19" t="s">
        <v>221</v>
      </c>
      <c r="J250" s="7" t="s">
        <v>397</v>
      </c>
      <c r="K250" s="25" t="s">
        <v>225</v>
      </c>
      <c r="L250" s="1"/>
    </row>
    <row r="251" spans="1:12" x14ac:dyDescent="0.25">
      <c r="A251" s="12"/>
      <c r="B251" s="7" t="s">
        <v>222</v>
      </c>
      <c r="C251" s="25">
        <v>20019897</v>
      </c>
      <c r="D251" s="7" t="s">
        <v>1645</v>
      </c>
      <c r="E251" s="26">
        <v>1</v>
      </c>
      <c r="F251" s="7" t="s">
        <v>225</v>
      </c>
      <c r="G251" s="7" t="s">
        <v>219</v>
      </c>
      <c r="H251" s="19" t="str">
        <f t="shared" si="3"/>
        <v/>
      </c>
      <c r="I251" s="19" t="s">
        <v>221</v>
      </c>
      <c r="J251" s="7" t="s">
        <v>397</v>
      </c>
      <c r="K251" s="25" t="s">
        <v>225</v>
      </c>
      <c r="L251" s="1"/>
    </row>
    <row r="252" spans="1:12" x14ac:dyDescent="0.25">
      <c r="A252" s="12"/>
      <c r="B252" s="7" t="s">
        <v>222</v>
      </c>
      <c r="C252" s="25">
        <v>20019946</v>
      </c>
      <c r="D252" s="7" t="s">
        <v>1655</v>
      </c>
      <c r="E252" s="26">
        <v>1</v>
      </c>
      <c r="F252" s="7" t="s">
        <v>225</v>
      </c>
      <c r="G252" s="7" t="s">
        <v>219</v>
      </c>
      <c r="H252" s="19" t="str">
        <f t="shared" si="3"/>
        <v/>
      </c>
      <c r="I252" s="19" t="s">
        <v>221</v>
      </c>
      <c r="J252" s="7" t="s">
        <v>246</v>
      </c>
      <c r="K252" s="25" t="s">
        <v>225</v>
      </c>
      <c r="L252" s="1"/>
    </row>
    <row r="253" spans="1:12" x14ac:dyDescent="0.25">
      <c r="A253" s="12"/>
      <c r="B253" s="7" t="s">
        <v>222</v>
      </c>
      <c r="C253" s="25">
        <v>20020038</v>
      </c>
      <c r="D253" s="7" t="s">
        <v>1657</v>
      </c>
      <c r="E253" s="26">
        <v>1</v>
      </c>
      <c r="F253" s="7" t="s">
        <v>225</v>
      </c>
      <c r="G253" s="7" t="s">
        <v>219</v>
      </c>
      <c r="H253" s="19" t="str">
        <f t="shared" si="3"/>
        <v/>
      </c>
      <c r="I253" s="19" t="s">
        <v>221</v>
      </c>
      <c r="J253" s="7" t="s">
        <v>315</v>
      </c>
      <c r="K253" s="25" t="s">
        <v>225</v>
      </c>
      <c r="L253" s="1"/>
    </row>
    <row r="254" spans="1:12" x14ac:dyDescent="0.25">
      <c r="A254" s="12"/>
      <c r="B254" s="7" t="s">
        <v>222</v>
      </c>
      <c r="C254" s="25">
        <v>20020042</v>
      </c>
      <c r="D254" s="7" t="s">
        <v>1658</v>
      </c>
      <c r="E254" s="26">
        <v>1</v>
      </c>
      <c r="F254" s="7" t="s">
        <v>225</v>
      </c>
      <c r="G254" s="7" t="s">
        <v>219</v>
      </c>
      <c r="H254" s="19" t="str">
        <f t="shared" si="3"/>
        <v/>
      </c>
      <c r="I254" s="19" t="s">
        <v>221</v>
      </c>
      <c r="J254" s="7" t="s">
        <v>315</v>
      </c>
      <c r="K254" s="25" t="s">
        <v>225</v>
      </c>
      <c r="L254" s="1"/>
    </row>
    <row r="255" spans="1:12" x14ac:dyDescent="0.25">
      <c r="A255" s="12"/>
      <c r="B255" s="7" t="s">
        <v>222</v>
      </c>
      <c r="C255" s="25">
        <v>20020048</v>
      </c>
      <c r="D255" s="7" t="s">
        <v>1659</v>
      </c>
      <c r="E255" s="26">
        <v>1</v>
      </c>
      <c r="F255" s="7" t="s">
        <v>225</v>
      </c>
      <c r="G255" s="7" t="s">
        <v>219</v>
      </c>
      <c r="H255" s="19" t="str">
        <f t="shared" si="3"/>
        <v/>
      </c>
      <c r="I255" s="19" t="s">
        <v>221</v>
      </c>
      <c r="J255" s="7" t="s">
        <v>315</v>
      </c>
      <c r="K255" s="25" t="s">
        <v>225</v>
      </c>
      <c r="L255" s="1"/>
    </row>
    <row r="256" spans="1:12" x14ac:dyDescent="0.25">
      <c r="A256" s="12"/>
      <c r="B256" s="7" t="s">
        <v>222</v>
      </c>
      <c r="C256" s="25">
        <v>20020065</v>
      </c>
      <c r="D256" s="7" t="s">
        <v>1661</v>
      </c>
      <c r="E256" s="26">
        <v>1</v>
      </c>
      <c r="F256" s="7" t="s">
        <v>225</v>
      </c>
      <c r="G256" s="7" t="s">
        <v>219</v>
      </c>
      <c r="H256" s="19" t="str">
        <f t="shared" si="3"/>
        <v/>
      </c>
      <c r="I256" s="19" t="s">
        <v>221</v>
      </c>
      <c r="J256" s="7" t="s">
        <v>347</v>
      </c>
      <c r="K256" s="25" t="s">
        <v>225</v>
      </c>
      <c r="L256" s="1"/>
    </row>
    <row r="257" spans="1:12" x14ac:dyDescent="0.25">
      <c r="A257" s="12"/>
      <c r="B257" s="7" t="s">
        <v>222</v>
      </c>
      <c r="C257" s="25">
        <v>20020069</v>
      </c>
      <c r="D257" s="7" t="s">
        <v>1662</v>
      </c>
      <c r="E257" s="26">
        <v>1</v>
      </c>
      <c r="F257" s="7" t="s">
        <v>225</v>
      </c>
      <c r="G257" s="7" t="s">
        <v>219</v>
      </c>
      <c r="H257" s="19" t="str">
        <f t="shared" si="3"/>
        <v/>
      </c>
      <c r="I257" s="19" t="s">
        <v>221</v>
      </c>
      <c r="J257" s="7" t="s">
        <v>347</v>
      </c>
      <c r="K257" s="25" t="s">
        <v>225</v>
      </c>
      <c r="L257" s="1"/>
    </row>
    <row r="258" spans="1:12" x14ac:dyDescent="0.25">
      <c r="A258" s="12"/>
      <c r="B258" s="7" t="s">
        <v>222</v>
      </c>
      <c r="C258" s="25">
        <v>20020070</v>
      </c>
      <c r="D258" s="7" t="s">
        <v>1663</v>
      </c>
      <c r="E258" s="26">
        <v>1</v>
      </c>
      <c r="F258" s="7" t="s">
        <v>225</v>
      </c>
      <c r="G258" s="7" t="s">
        <v>219</v>
      </c>
      <c r="H258" s="19" t="str">
        <f t="shared" si="3"/>
        <v/>
      </c>
      <c r="I258" s="19" t="s">
        <v>221</v>
      </c>
      <c r="J258" s="7" t="s">
        <v>315</v>
      </c>
      <c r="K258" s="25" t="s">
        <v>225</v>
      </c>
      <c r="L258" s="1"/>
    </row>
    <row r="259" spans="1:12" x14ac:dyDescent="0.25">
      <c r="A259" s="12"/>
      <c r="B259" s="7" t="s">
        <v>222</v>
      </c>
      <c r="C259" s="25">
        <v>20020074</v>
      </c>
      <c r="D259" s="7" t="s">
        <v>1664</v>
      </c>
      <c r="E259" s="26">
        <v>1</v>
      </c>
      <c r="F259" s="7" t="s">
        <v>352</v>
      </c>
      <c r="G259" s="7" t="s">
        <v>202</v>
      </c>
      <c r="H259" s="19" t="str">
        <f t="shared" si="3"/>
        <v/>
      </c>
      <c r="I259" s="19" t="s">
        <v>221</v>
      </c>
      <c r="J259" s="7" t="s">
        <v>315</v>
      </c>
      <c r="K259" s="25" t="s">
        <v>352</v>
      </c>
      <c r="L259" s="1"/>
    </row>
    <row r="260" spans="1:12" x14ac:dyDescent="0.25">
      <c r="A260" s="12"/>
      <c r="B260" s="7" t="s">
        <v>222</v>
      </c>
      <c r="C260" s="25">
        <v>20021084</v>
      </c>
      <c r="D260" s="7" t="s">
        <v>1716</v>
      </c>
      <c r="E260" s="26">
        <v>1</v>
      </c>
      <c r="F260" s="7" t="s">
        <v>225</v>
      </c>
      <c r="G260" s="7" t="s">
        <v>219</v>
      </c>
      <c r="H260" s="19" t="str">
        <f t="shared" si="3"/>
        <v/>
      </c>
      <c r="I260" s="19" t="s">
        <v>221</v>
      </c>
      <c r="J260" s="7" t="s">
        <v>309</v>
      </c>
      <c r="K260" s="25" t="s">
        <v>225</v>
      </c>
      <c r="L260" s="1"/>
    </row>
    <row r="261" spans="1:12" x14ac:dyDescent="0.25">
      <c r="A261" s="12"/>
      <c r="B261" s="7" t="s">
        <v>222</v>
      </c>
      <c r="C261" s="25">
        <v>20021961</v>
      </c>
      <c r="D261" s="7" t="s">
        <v>1758</v>
      </c>
      <c r="E261" s="26">
        <v>1</v>
      </c>
      <c r="F261" s="7" t="s">
        <v>225</v>
      </c>
      <c r="G261" s="7" t="s">
        <v>219</v>
      </c>
      <c r="H261" s="19" t="str">
        <f t="shared" si="3"/>
        <v/>
      </c>
      <c r="I261" s="19" t="s">
        <v>221</v>
      </c>
      <c r="J261" s="7" t="s">
        <v>348</v>
      </c>
      <c r="K261" s="25" t="s">
        <v>225</v>
      </c>
      <c r="L261" s="1"/>
    </row>
    <row r="262" spans="1:12" x14ac:dyDescent="0.25">
      <c r="A262" s="12"/>
      <c r="B262" s="7" t="s">
        <v>222</v>
      </c>
      <c r="C262" s="25">
        <v>20021970</v>
      </c>
      <c r="D262" s="7" t="s">
        <v>1766</v>
      </c>
      <c r="E262" s="26">
        <v>1</v>
      </c>
      <c r="F262" s="7" t="s">
        <v>225</v>
      </c>
      <c r="G262" s="7" t="s">
        <v>219</v>
      </c>
      <c r="H262" s="19" t="str">
        <f t="shared" si="3"/>
        <v/>
      </c>
      <c r="I262" s="19" t="s">
        <v>221</v>
      </c>
      <c r="J262" s="7" t="s">
        <v>348</v>
      </c>
      <c r="K262" s="25" t="s">
        <v>225</v>
      </c>
      <c r="L262" s="1"/>
    </row>
    <row r="263" spans="1:12" x14ac:dyDescent="0.25">
      <c r="A263" s="12"/>
      <c r="B263" s="7" t="s">
        <v>229</v>
      </c>
      <c r="C263" s="25">
        <v>20023988</v>
      </c>
      <c r="D263" s="7" t="s">
        <v>1827</v>
      </c>
      <c r="E263" s="26">
        <v>1</v>
      </c>
      <c r="F263" s="7" t="s">
        <v>225</v>
      </c>
      <c r="G263" s="7" t="s">
        <v>219</v>
      </c>
      <c r="H263" s="19" t="str">
        <f t="shared" si="3"/>
        <v/>
      </c>
      <c r="I263" s="19" t="s">
        <v>306</v>
      </c>
      <c r="J263" s="7" t="s">
        <v>313</v>
      </c>
      <c r="K263" s="25" t="s">
        <v>225</v>
      </c>
      <c r="L263" s="1"/>
    </row>
    <row r="264" spans="1:12" x14ac:dyDescent="0.25">
      <c r="A264" s="12"/>
      <c r="B264" s="7" t="s">
        <v>229</v>
      </c>
      <c r="C264" s="25">
        <v>20023990</v>
      </c>
      <c r="D264" s="7" t="s">
        <v>1828</v>
      </c>
      <c r="E264" s="26">
        <v>1</v>
      </c>
      <c r="F264" s="7" t="s">
        <v>225</v>
      </c>
      <c r="G264" s="7" t="s">
        <v>219</v>
      </c>
      <c r="H264" s="19" t="str">
        <f t="shared" si="3"/>
        <v/>
      </c>
      <c r="I264" s="19" t="s">
        <v>306</v>
      </c>
      <c r="J264" s="7" t="s">
        <v>313</v>
      </c>
      <c r="K264" s="25" t="s">
        <v>225</v>
      </c>
      <c r="L264" s="1"/>
    </row>
    <row r="265" spans="1:12" x14ac:dyDescent="0.25">
      <c r="A265" s="12"/>
      <c r="B265" s="7" t="s">
        <v>229</v>
      </c>
      <c r="C265" s="25">
        <v>20023991</v>
      </c>
      <c r="D265" s="7" t="s">
        <v>1829</v>
      </c>
      <c r="E265" s="26">
        <v>1</v>
      </c>
      <c r="F265" s="7" t="s">
        <v>225</v>
      </c>
      <c r="G265" s="7" t="s">
        <v>219</v>
      </c>
      <c r="H265" s="19" t="str">
        <f t="shared" si="3"/>
        <v/>
      </c>
      <c r="I265" s="19" t="s">
        <v>306</v>
      </c>
      <c r="J265" s="7" t="s">
        <v>313</v>
      </c>
      <c r="K265" s="25" t="s">
        <v>225</v>
      </c>
      <c r="L265" s="1"/>
    </row>
    <row r="266" spans="1:12" x14ac:dyDescent="0.25">
      <c r="A266" s="12"/>
      <c r="B266" s="7" t="s">
        <v>229</v>
      </c>
      <c r="C266" s="25">
        <v>20023992</v>
      </c>
      <c r="D266" s="7" t="s">
        <v>1830</v>
      </c>
      <c r="E266" s="26">
        <v>1</v>
      </c>
      <c r="F266" s="7" t="s">
        <v>225</v>
      </c>
      <c r="G266" s="7" t="s">
        <v>219</v>
      </c>
      <c r="H266" s="19" t="str">
        <f t="shared" si="3"/>
        <v/>
      </c>
      <c r="I266" s="19" t="s">
        <v>306</v>
      </c>
      <c r="J266" s="7" t="s">
        <v>313</v>
      </c>
      <c r="K266" s="25" t="s">
        <v>225</v>
      </c>
      <c r="L266" s="1"/>
    </row>
    <row r="267" spans="1:12" x14ac:dyDescent="0.25">
      <c r="A267" s="12"/>
      <c r="B267" s="7" t="s">
        <v>223</v>
      </c>
      <c r="C267" s="25">
        <v>20023996</v>
      </c>
      <c r="D267" s="7" t="s">
        <v>1831</v>
      </c>
      <c r="E267" s="26">
        <v>42</v>
      </c>
      <c r="F267" s="7" t="s">
        <v>225</v>
      </c>
      <c r="G267" s="7" t="s">
        <v>219</v>
      </c>
      <c r="H267" s="19" t="str">
        <f t="shared" si="3"/>
        <v/>
      </c>
      <c r="I267" s="19" t="s">
        <v>306</v>
      </c>
      <c r="J267" s="7" t="s">
        <v>309</v>
      </c>
      <c r="K267" s="25" t="s">
        <v>225</v>
      </c>
      <c r="L267" s="1"/>
    </row>
    <row r="268" spans="1:12" x14ac:dyDescent="0.25">
      <c r="A268" s="12"/>
      <c r="B268" s="7" t="s">
        <v>222</v>
      </c>
      <c r="C268" s="25">
        <v>20024633</v>
      </c>
      <c r="D268" s="7" t="s">
        <v>1833</v>
      </c>
      <c r="E268" s="26">
        <v>1</v>
      </c>
      <c r="F268" s="7" t="s">
        <v>225</v>
      </c>
      <c r="G268" s="7" t="s">
        <v>219</v>
      </c>
      <c r="H268" s="19" t="str">
        <f t="shared" si="3"/>
        <v/>
      </c>
      <c r="I268" s="19" t="s">
        <v>221</v>
      </c>
      <c r="J268" s="7" t="s">
        <v>347</v>
      </c>
      <c r="K268" s="25" t="s">
        <v>225</v>
      </c>
      <c r="L268" s="1"/>
    </row>
    <row r="269" spans="1:12" x14ac:dyDescent="0.25">
      <c r="A269" s="12"/>
      <c r="B269" s="7" t="s">
        <v>222</v>
      </c>
      <c r="C269" s="25">
        <v>20024856</v>
      </c>
      <c r="D269" s="7" t="s">
        <v>1836</v>
      </c>
      <c r="E269" s="26">
        <v>1</v>
      </c>
      <c r="F269" s="7" t="s">
        <v>225</v>
      </c>
      <c r="G269" s="7" t="s">
        <v>219</v>
      </c>
      <c r="H269" s="19" t="str">
        <f t="shared" si="3"/>
        <v/>
      </c>
      <c r="I269" s="19" t="s">
        <v>221</v>
      </c>
      <c r="J269" s="7" t="s">
        <v>397</v>
      </c>
      <c r="K269" s="25" t="s">
        <v>225</v>
      </c>
      <c r="L269" s="1"/>
    </row>
    <row r="270" spans="1:12" x14ac:dyDescent="0.25">
      <c r="A270" s="12"/>
      <c r="B270" s="7" t="s">
        <v>222</v>
      </c>
      <c r="C270" s="25">
        <v>20024857</v>
      </c>
      <c r="D270" s="7" t="s">
        <v>1837</v>
      </c>
      <c r="E270" s="26">
        <v>1</v>
      </c>
      <c r="F270" s="7" t="s">
        <v>225</v>
      </c>
      <c r="G270" s="7" t="s">
        <v>219</v>
      </c>
      <c r="H270" s="19" t="str">
        <f t="shared" si="3"/>
        <v/>
      </c>
      <c r="I270" s="19" t="s">
        <v>221</v>
      </c>
      <c r="J270" s="7" t="s">
        <v>397</v>
      </c>
      <c r="K270" s="25" t="s">
        <v>225</v>
      </c>
      <c r="L270" s="1"/>
    </row>
    <row r="271" spans="1:12" x14ac:dyDescent="0.25">
      <c r="A271" s="12"/>
      <c r="B271" s="7" t="s">
        <v>227</v>
      </c>
      <c r="C271" s="25">
        <v>20026030</v>
      </c>
      <c r="D271" s="7" t="s">
        <v>1846</v>
      </c>
      <c r="E271" s="26">
        <v>1</v>
      </c>
      <c r="F271" s="7" t="s">
        <v>225</v>
      </c>
      <c r="G271" s="7" t="s">
        <v>219</v>
      </c>
      <c r="H271" s="19" t="str">
        <f t="shared" ref="H271:H334" si="4">IF(A271="", "", A271*E271)</f>
        <v/>
      </c>
      <c r="I271" s="19" t="s">
        <v>37</v>
      </c>
      <c r="J271" s="7" t="s">
        <v>246</v>
      </c>
      <c r="K271" s="25" t="s">
        <v>225</v>
      </c>
      <c r="L271" s="1"/>
    </row>
    <row r="272" spans="1:12" x14ac:dyDescent="0.25">
      <c r="A272" s="12"/>
      <c r="B272" s="7" t="s">
        <v>4825</v>
      </c>
      <c r="C272" s="25">
        <v>20026184</v>
      </c>
      <c r="D272" s="7" t="s">
        <v>1856</v>
      </c>
      <c r="E272" s="26">
        <v>1</v>
      </c>
      <c r="F272" s="7" t="s">
        <v>225</v>
      </c>
      <c r="G272" s="7" t="s">
        <v>219</v>
      </c>
      <c r="H272" s="19" t="str">
        <f t="shared" si="4"/>
        <v/>
      </c>
      <c r="I272" s="19" t="s">
        <v>330</v>
      </c>
      <c r="J272" s="7" t="s">
        <v>397</v>
      </c>
      <c r="K272" s="25" t="s">
        <v>225</v>
      </c>
      <c r="L272" s="1"/>
    </row>
    <row r="273" spans="1:12" x14ac:dyDescent="0.25">
      <c r="A273" s="12"/>
      <c r="B273" s="7" t="s">
        <v>223</v>
      </c>
      <c r="C273" s="25">
        <v>20026894</v>
      </c>
      <c r="D273" s="7" t="s">
        <v>1863</v>
      </c>
      <c r="E273" s="26">
        <v>3</v>
      </c>
      <c r="F273" s="7" t="s">
        <v>225</v>
      </c>
      <c r="G273" s="7" t="s">
        <v>219</v>
      </c>
      <c r="H273" s="19" t="str">
        <f t="shared" si="4"/>
        <v/>
      </c>
      <c r="I273" s="19" t="s">
        <v>221</v>
      </c>
      <c r="J273" s="7" t="s">
        <v>315</v>
      </c>
      <c r="K273" s="25" t="s">
        <v>225</v>
      </c>
      <c r="L273" s="1"/>
    </row>
    <row r="274" spans="1:12" x14ac:dyDescent="0.25">
      <c r="A274" s="12"/>
      <c r="B274" s="7" t="s">
        <v>223</v>
      </c>
      <c r="C274" s="25">
        <v>20026895</v>
      </c>
      <c r="D274" s="7" t="s">
        <v>1864</v>
      </c>
      <c r="E274" s="26">
        <v>3</v>
      </c>
      <c r="F274" s="7" t="s">
        <v>225</v>
      </c>
      <c r="G274" s="7" t="s">
        <v>219</v>
      </c>
      <c r="H274" s="19" t="str">
        <f t="shared" si="4"/>
        <v/>
      </c>
      <c r="I274" s="19" t="s">
        <v>221</v>
      </c>
      <c r="J274" s="7" t="s">
        <v>315</v>
      </c>
      <c r="K274" s="25" t="s">
        <v>225</v>
      </c>
      <c r="L274" s="1"/>
    </row>
    <row r="275" spans="1:12" x14ac:dyDescent="0.25">
      <c r="A275" s="12"/>
      <c r="B275" s="7" t="s">
        <v>223</v>
      </c>
      <c r="C275" s="25">
        <v>20026896</v>
      </c>
      <c r="D275" s="7" t="s">
        <v>1865</v>
      </c>
      <c r="E275" s="26">
        <v>3</v>
      </c>
      <c r="F275" s="7" t="s">
        <v>225</v>
      </c>
      <c r="G275" s="7" t="s">
        <v>219</v>
      </c>
      <c r="H275" s="19" t="str">
        <f t="shared" si="4"/>
        <v/>
      </c>
      <c r="I275" s="19" t="s">
        <v>221</v>
      </c>
      <c r="J275" s="7" t="s">
        <v>315</v>
      </c>
      <c r="K275" s="25" t="s">
        <v>225</v>
      </c>
      <c r="L275" s="1"/>
    </row>
    <row r="276" spans="1:12" x14ac:dyDescent="0.25">
      <c r="A276" s="12"/>
      <c r="B276" s="7" t="s">
        <v>222</v>
      </c>
      <c r="C276" s="25">
        <v>20027783</v>
      </c>
      <c r="D276" s="7" t="s">
        <v>1878</v>
      </c>
      <c r="E276" s="26">
        <v>1</v>
      </c>
      <c r="F276" s="7" t="s">
        <v>225</v>
      </c>
      <c r="G276" s="7" t="s">
        <v>219</v>
      </c>
      <c r="H276" s="19" t="str">
        <f t="shared" si="4"/>
        <v/>
      </c>
      <c r="I276" s="19" t="s">
        <v>221</v>
      </c>
      <c r="J276" s="7" t="s">
        <v>1209</v>
      </c>
      <c r="K276" s="25" t="s">
        <v>225</v>
      </c>
      <c r="L276" s="1"/>
    </row>
    <row r="277" spans="1:12" x14ac:dyDescent="0.25">
      <c r="A277" s="12"/>
      <c r="B277" s="7" t="s">
        <v>231</v>
      </c>
      <c r="C277" s="25">
        <v>20027788</v>
      </c>
      <c r="D277" s="7" t="s">
        <v>1879</v>
      </c>
      <c r="E277" s="26">
        <v>1</v>
      </c>
      <c r="F277" s="7" t="s">
        <v>225</v>
      </c>
      <c r="G277" s="7" t="s">
        <v>219</v>
      </c>
      <c r="H277" s="19" t="str">
        <f t="shared" si="4"/>
        <v/>
      </c>
      <c r="I277" s="19" t="s">
        <v>1006</v>
      </c>
      <c r="J277" s="7" t="s">
        <v>347</v>
      </c>
      <c r="K277" s="25" t="s">
        <v>225</v>
      </c>
      <c r="L277" s="1"/>
    </row>
    <row r="278" spans="1:12" x14ac:dyDescent="0.25">
      <c r="A278" s="12"/>
      <c r="B278" s="7" t="s">
        <v>222</v>
      </c>
      <c r="C278" s="25">
        <v>20027866</v>
      </c>
      <c r="D278" s="7" t="s">
        <v>1880</v>
      </c>
      <c r="E278" s="26">
        <v>1</v>
      </c>
      <c r="F278" s="7" t="s">
        <v>225</v>
      </c>
      <c r="G278" s="7" t="s">
        <v>219</v>
      </c>
      <c r="H278" s="19" t="str">
        <f t="shared" si="4"/>
        <v/>
      </c>
      <c r="I278" s="19" t="s">
        <v>221</v>
      </c>
      <c r="J278" s="7" t="s">
        <v>347</v>
      </c>
      <c r="K278" s="25" t="s">
        <v>225</v>
      </c>
      <c r="L278" s="1"/>
    </row>
    <row r="279" spans="1:12" x14ac:dyDescent="0.25">
      <c r="A279" s="12"/>
      <c r="B279" s="7" t="s">
        <v>222</v>
      </c>
      <c r="C279" s="25">
        <v>20027867</v>
      </c>
      <c r="D279" s="7" t="s">
        <v>1881</v>
      </c>
      <c r="E279" s="26">
        <v>1</v>
      </c>
      <c r="F279" s="7" t="s">
        <v>225</v>
      </c>
      <c r="G279" s="7" t="s">
        <v>219</v>
      </c>
      <c r="H279" s="19" t="str">
        <f t="shared" si="4"/>
        <v/>
      </c>
      <c r="I279" s="19" t="s">
        <v>221</v>
      </c>
      <c r="J279" s="7" t="s">
        <v>347</v>
      </c>
      <c r="K279" s="25" t="s">
        <v>225</v>
      </c>
      <c r="L279" s="1"/>
    </row>
    <row r="280" spans="1:12" x14ac:dyDescent="0.25">
      <c r="A280" s="12"/>
      <c r="B280" s="7" t="s">
        <v>227</v>
      </c>
      <c r="C280" s="25">
        <v>20027905</v>
      </c>
      <c r="D280" s="7" t="s">
        <v>1883</v>
      </c>
      <c r="E280" s="26">
        <v>1</v>
      </c>
      <c r="F280" s="7" t="s">
        <v>225</v>
      </c>
      <c r="G280" s="7" t="s">
        <v>219</v>
      </c>
      <c r="H280" s="19" t="str">
        <f t="shared" si="4"/>
        <v/>
      </c>
      <c r="I280" s="19" t="s">
        <v>37</v>
      </c>
      <c r="J280" s="7" t="s">
        <v>942</v>
      </c>
      <c r="K280" s="25" t="s">
        <v>225</v>
      </c>
      <c r="L280" s="1"/>
    </row>
    <row r="281" spans="1:12" x14ac:dyDescent="0.25">
      <c r="A281" s="12"/>
      <c r="B281" s="7" t="s">
        <v>1177</v>
      </c>
      <c r="C281" s="25">
        <v>20027989</v>
      </c>
      <c r="D281" s="7" t="s">
        <v>1886</v>
      </c>
      <c r="E281" s="26">
        <v>500</v>
      </c>
      <c r="F281" s="7" t="s">
        <v>225</v>
      </c>
      <c r="G281" s="7" t="s">
        <v>219</v>
      </c>
      <c r="H281" s="19" t="str">
        <f t="shared" si="4"/>
        <v/>
      </c>
      <c r="I281" s="19" t="s">
        <v>37</v>
      </c>
      <c r="J281" s="7" t="s">
        <v>942</v>
      </c>
      <c r="K281" s="25" t="s">
        <v>225</v>
      </c>
      <c r="L281" s="1"/>
    </row>
    <row r="282" spans="1:12" x14ac:dyDescent="0.25">
      <c r="A282" s="12"/>
      <c r="B282" s="7" t="s">
        <v>1177</v>
      </c>
      <c r="C282" s="25">
        <v>20027992</v>
      </c>
      <c r="D282" s="7" t="s">
        <v>1887</v>
      </c>
      <c r="E282" s="26">
        <v>1000</v>
      </c>
      <c r="F282" s="7" t="s">
        <v>225</v>
      </c>
      <c r="G282" s="7" t="s">
        <v>219</v>
      </c>
      <c r="H282" s="19" t="str">
        <f t="shared" si="4"/>
        <v/>
      </c>
      <c r="I282" s="19" t="s">
        <v>37</v>
      </c>
      <c r="J282" s="7" t="s">
        <v>942</v>
      </c>
      <c r="K282" s="25" t="s">
        <v>225</v>
      </c>
      <c r="L282" s="1"/>
    </row>
    <row r="283" spans="1:12" x14ac:dyDescent="0.25">
      <c r="A283" s="12"/>
      <c r="B283" s="7" t="s">
        <v>222</v>
      </c>
      <c r="C283" s="25">
        <v>20028047</v>
      </c>
      <c r="D283" s="7" t="s">
        <v>1894</v>
      </c>
      <c r="E283" s="26">
        <v>1</v>
      </c>
      <c r="F283" s="7" t="s">
        <v>225</v>
      </c>
      <c r="G283" s="7" t="s">
        <v>219</v>
      </c>
      <c r="H283" s="19" t="str">
        <f t="shared" si="4"/>
        <v/>
      </c>
      <c r="I283" s="19" t="s">
        <v>221</v>
      </c>
      <c r="J283" s="7" t="s">
        <v>235</v>
      </c>
      <c r="K283" s="25" t="s">
        <v>225</v>
      </c>
      <c r="L283" s="1"/>
    </row>
    <row r="284" spans="1:12" x14ac:dyDescent="0.25">
      <c r="A284" s="12"/>
      <c r="B284" s="7" t="s">
        <v>222</v>
      </c>
      <c r="C284" s="25">
        <v>20028108</v>
      </c>
      <c r="D284" s="7" t="s">
        <v>1904</v>
      </c>
      <c r="E284" s="26">
        <v>1</v>
      </c>
      <c r="F284" s="7" t="s">
        <v>225</v>
      </c>
      <c r="G284" s="7" t="s">
        <v>219</v>
      </c>
      <c r="H284" s="19" t="str">
        <f t="shared" si="4"/>
        <v/>
      </c>
      <c r="I284" s="19" t="s">
        <v>221</v>
      </c>
      <c r="J284" s="7" t="s">
        <v>309</v>
      </c>
      <c r="K284" s="25" t="s">
        <v>225</v>
      </c>
      <c r="L284" s="1"/>
    </row>
    <row r="285" spans="1:12" x14ac:dyDescent="0.25">
      <c r="A285" s="12"/>
      <c r="B285" s="7" t="s">
        <v>222</v>
      </c>
      <c r="C285" s="25">
        <v>20028299</v>
      </c>
      <c r="D285" s="7" t="s">
        <v>1910</v>
      </c>
      <c r="E285" s="26">
        <v>1</v>
      </c>
      <c r="F285" s="7" t="s">
        <v>225</v>
      </c>
      <c r="G285" s="7" t="s">
        <v>219</v>
      </c>
      <c r="H285" s="19" t="str">
        <f t="shared" si="4"/>
        <v/>
      </c>
      <c r="I285" s="19" t="s">
        <v>221</v>
      </c>
      <c r="J285" s="7" t="s">
        <v>309</v>
      </c>
      <c r="K285" s="25" t="s">
        <v>225</v>
      </c>
      <c r="L285" s="1"/>
    </row>
    <row r="286" spans="1:12" x14ac:dyDescent="0.25">
      <c r="A286" s="12"/>
      <c r="B286" s="7" t="s">
        <v>222</v>
      </c>
      <c r="C286" s="25">
        <v>20028374</v>
      </c>
      <c r="D286" s="7" t="s">
        <v>1911</v>
      </c>
      <c r="E286" s="26">
        <v>1</v>
      </c>
      <c r="F286" s="7" t="s">
        <v>225</v>
      </c>
      <c r="G286" s="7" t="s">
        <v>219</v>
      </c>
      <c r="H286" s="19" t="str">
        <f t="shared" si="4"/>
        <v/>
      </c>
      <c r="I286" s="19" t="s">
        <v>221</v>
      </c>
      <c r="J286" s="7" t="s">
        <v>347</v>
      </c>
      <c r="K286" s="25" t="s">
        <v>225</v>
      </c>
      <c r="L286" s="1"/>
    </row>
    <row r="287" spans="1:12" x14ac:dyDescent="0.25">
      <c r="A287" s="12"/>
      <c r="B287" s="7" t="s">
        <v>222</v>
      </c>
      <c r="C287" s="25">
        <v>20028375</v>
      </c>
      <c r="D287" s="7" t="s">
        <v>1912</v>
      </c>
      <c r="E287" s="26">
        <v>1</v>
      </c>
      <c r="F287" s="7" t="s">
        <v>225</v>
      </c>
      <c r="G287" s="7" t="s">
        <v>219</v>
      </c>
      <c r="H287" s="19" t="str">
        <f t="shared" si="4"/>
        <v/>
      </c>
      <c r="I287" s="19" t="s">
        <v>221</v>
      </c>
      <c r="J287" s="7" t="s">
        <v>347</v>
      </c>
      <c r="K287" s="25" t="s">
        <v>225</v>
      </c>
      <c r="L287" s="1"/>
    </row>
    <row r="288" spans="1:12" x14ac:dyDescent="0.25">
      <c r="A288" s="12"/>
      <c r="B288" s="7" t="s">
        <v>343</v>
      </c>
      <c r="C288" s="25">
        <v>20028618</v>
      </c>
      <c r="D288" s="7" t="s">
        <v>1927</v>
      </c>
      <c r="E288" s="26">
        <v>1</v>
      </c>
      <c r="F288" s="7" t="s">
        <v>225</v>
      </c>
      <c r="G288" s="7" t="s">
        <v>219</v>
      </c>
      <c r="H288" s="19" t="str">
        <f t="shared" si="4"/>
        <v/>
      </c>
      <c r="I288" s="19" t="s">
        <v>912</v>
      </c>
      <c r="J288" s="7" t="s">
        <v>345</v>
      </c>
      <c r="K288" s="25" t="s">
        <v>225</v>
      </c>
      <c r="L288" s="1"/>
    </row>
    <row r="289" spans="1:12" x14ac:dyDescent="0.25">
      <c r="A289" s="12"/>
      <c r="B289" s="7" t="s">
        <v>343</v>
      </c>
      <c r="C289" s="25">
        <v>20028640</v>
      </c>
      <c r="D289" s="7" t="s">
        <v>1944</v>
      </c>
      <c r="E289" s="26">
        <v>1</v>
      </c>
      <c r="F289" s="7" t="s">
        <v>225</v>
      </c>
      <c r="G289" s="7" t="s">
        <v>219</v>
      </c>
      <c r="H289" s="19" t="str">
        <f t="shared" si="4"/>
        <v/>
      </c>
      <c r="I289" s="19" t="s">
        <v>912</v>
      </c>
      <c r="J289" s="7" t="s">
        <v>1945</v>
      </c>
      <c r="K289" s="25" t="s">
        <v>225</v>
      </c>
      <c r="L289" s="1"/>
    </row>
    <row r="290" spans="1:12" x14ac:dyDescent="0.25">
      <c r="A290" s="12"/>
      <c r="B290" s="7" t="s">
        <v>222</v>
      </c>
      <c r="C290" s="25">
        <v>20028753</v>
      </c>
      <c r="D290" s="7" t="s">
        <v>11603</v>
      </c>
      <c r="E290" s="26">
        <v>1</v>
      </c>
      <c r="F290" s="7" t="s">
        <v>225</v>
      </c>
      <c r="G290" s="7" t="s">
        <v>219</v>
      </c>
      <c r="H290" s="19" t="str">
        <f t="shared" si="4"/>
        <v/>
      </c>
      <c r="I290" s="19" t="s">
        <v>221</v>
      </c>
      <c r="J290" s="7" t="s">
        <v>954</v>
      </c>
      <c r="K290" s="25" t="s">
        <v>225</v>
      </c>
      <c r="L290" s="1"/>
    </row>
    <row r="291" spans="1:12" x14ac:dyDescent="0.25">
      <c r="A291" s="12"/>
      <c r="B291" s="7" t="s">
        <v>1177</v>
      </c>
      <c r="C291" s="25">
        <v>20028838</v>
      </c>
      <c r="D291" s="7" t="s">
        <v>1952</v>
      </c>
      <c r="E291" s="26">
        <v>500</v>
      </c>
      <c r="F291" s="7" t="s">
        <v>225</v>
      </c>
      <c r="G291" s="7" t="s">
        <v>219</v>
      </c>
      <c r="H291" s="19" t="str">
        <f t="shared" si="4"/>
        <v/>
      </c>
      <c r="I291" s="19" t="s">
        <v>37</v>
      </c>
      <c r="J291" s="7" t="s">
        <v>402</v>
      </c>
      <c r="K291" s="25" t="s">
        <v>225</v>
      </c>
      <c r="L291" s="1"/>
    </row>
    <row r="292" spans="1:12" x14ac:dyDescent="0.25">
      <c r="A292" s="12"/>
      <c r="B292" s="7" t="s">
        <v>1177</v>
      </c>
      <c r="C292" s="25">
        <v>20028839</v>
      </c>
      <c r="D292" s="7" t="s">
        <v>1953</v>
      </c>
      <c r="E292" s="26">
        <v>500</v>
      </c>
      <c r="F292" s="7" t="s">
        <v>225</v>
      </c>
      <c r="G292" s="7" t="s">
        <v>219</v>
      </c>
      <c r="H292" s="19" t="str">
        <f t="shared" si="4"/>
        <v/>
      </c>
      <c r="I292" s="19" t="s">
        <v>37</v>
      </c>
      <c r="J292" s="7" t="s">
        <v>402</v>
      </c>
      <c r="K292" s="25" t="s">
        <v>225</v>
      </c>
      <c r="L292" s="1"/>
    </row>
    <row r="293" spans="1:12" x14ac:dyDescent="0.25">
      <c r="A293" s="12"/>
      <c r="B293" s="7" t="s">
        <v>227</v>
      </c>
      <c r="C293" s="25">
        <v>20028840</v>
      </c>
      <c r="D293" s="7" t="s">
        <v>1954</v>
      </c>
      <c r="E293" s="26">
        <v>1</v>
      </c>
      <c r="F293" s="7" t="s">
        <v>225</v>
      </c>
      <c r="G293" s="7" t="s">
        <v>219</v>
      </c>
      <c r="H293" s="19" t="str">
        <f t="shared" si="4"/>
        <v/>
      </c>
      <c r="I293" s="19" t="s">
        <v>37</v>
      </c>
      <c r="J293" s="7" t="s">
        <v>402</v>
      </c>
      <c r="K293" s="25" t="s">
        <v>225</v>
      </c>
      <c r="L293" s="1"/>
    </row>
    <row r="294" spans="1:12" x14ac:dyDescent="0.25">
      <c r="A294" s="12"/>
      <c r="B294" s="7" t="s">
        <v>223</v>
      </c>
      <c r="C294" s="25">
        <v>20029213</v>
      </c>
      <c r="D294" s="7" t="s">
        <v>1969</v>
      </c>
      <c r="E294" s="26">
        <v>1</v>
      </c>
      <c r="F294" s="7" t="s">
        <v>225</v>
      </c>
      <c r="G294" s="7" t="s">
        <v>219</v>
      </c>
      <c r="H294" s="19" t="str">
        <f t="shared" si="4"/>
        <v/>
      </c>
      <c r="I294" s="19" t="s">
        <v>399</v>
      </c>
      <c r="J294" s="7" t="s">
        <v>311</v>
      </c>
      <c r="K294" s="25" t="s">
        <v>225</v>
      </c>
      <c r="L294" s="1"/>
    </row>
    <row r="295" spans="1:12" x14ac:dyDescent="0.25">
      <c r="A295" s="12"/>
      <c r="B295" s="7" t="s">
        <v>223</v>
      </c>
      <c r="C295" s="25">
        <v>20029214</v>
      </c>
      <c r="D295" s="7" t="s">
        <v>1970</v>
      </c>
      <c r="E295" s="26">
        <v>1</v>
      </c>
      <c r="F295" s="7" t="s">
        <v>225</v>
      </c>
      <c r="G295" s="7" t="s">
        <v>219</v>
      </c>
      <c r="H295" s="19" t="str">
        <f t="shared" si="4"/>
        <v/>
      </c>
      <c r="I295" s="19" t="s">
        <v>399</v>
      </c>
      <c r="J295" s="7" t="s">
        <v>311</v>
      </c>
      <c r="K295" s="25" t="s">
        <v>225</v>
      </c>
      <c r="L295" s="1"/>
    </row>
    <row r="296" spans="1:12" x14ac:dyDescent="0.25">
      <c r="A296" s="12"/>
      <c r="B296" s="7" t="s">
        <v>343</v>
      </c>
      <c r="C296" s="25">
        <v>20029218</v>
      </c>
      <c r="D296" s="7" t="s">
        <v>1973</v>
      </c>
      <c r="E296" s="26">
        <v>1</v>
      </c>
      <c r="F296" s="7" t="s">
        <v>225</v>
      </c>
      <c r="G296" s="7" t="s">
        <v>219</v>
      </c>
      <c r="H296" s="19" t="str">
        <f t="shared" si="4"/>
        <v/>
      </c>
      <c r="I296" s="19" t="s">
        <v>912</v>
      </c>
      <c r="J296" s="7" t="s">
        <v>311</v>
      </c>
      <c r="K296" s="25" t="s">
        <v>225</v>
      </c>
      <c r="L296" s="1"/>
    </row>
    <row r="297" spans="1:12" x14ac:dyDescent="0.25">
      <c r="A297" s="12"/>
      <c r="B297" s="7" t="s">
        <v>343</v>
      </c>
      <c r="C297" s="25">
        <v>20029219</v>
      </c>
      <c r="D297" s="7" t="s">
        <v>1974</v>
      </c>
      <c r="E297" s="26">
        <v>1</v>
      </c>
      <c r="F297" s="7" t="s">
        <v>225</v>
      </c>
      <c r="G297" s="7" t="s">
        <v>219</v>
      </c>
      <c r="H297" s="19" t="str">
        <f t="shared" si="4"/>
        <v/>
      </c>
      <c r="I297" s="19" t="s">
        <v>912</v>
      </c>
      <c r="J297" s="7" t="s">
        <v>311</v>
      </c>
      <c r="K297" s="25" t="s">
        <v>225</v>
      </c>
      <c r="L297" s="1"/>
    </row>
    <row r="298" spans="1:12" x14ac:dyDescent="0.25">
      <c r="A298" s="12"/>
      <c r="B298" s="7" t="s">
        <v>343</v>
      </c>
      <c r="C298" s="25">
        <v>20029220</v>
      </c>
      <c r="D298" s="7" t="s">
        <v>1975</v>
      </c>
      <c r="E298" s="26">
        <v>1</v>
      </c>
      <c r="F298" s="7" t="s">
        <v>225</v>
      </c>
      <c r="G298" s="7" t="s">
        <v>219</v>
      </c>
      <c r="H298" s="19" t="str">
        <f t="shared" si="4"/>
        <v/>
      </c>
      <c r="I298" s="19" t="s">
        <v>912</v>
      </c>
      <c r="J298" s="7" t="s">
        <v>311</v>
      </c>
      <c r="K298" s="25" t="s">
        <v>225</v>
      </c>
      <c r="L298" s="1"/>
    </row>
    <row r="299" spans="1:12" x14ac:dyDescent="0.25">
      <c r="A299" s="12"/>
      <c r="B299" s="7" t="s">
        <v>343</v>
      </c>
      <c r="C299" s="25">
        <v>20029222</v>
      </c>
      <c r="D299" s="7" t="s">
        <v>1977</v>
      </c>
      <c r="E299" s="26">
        <v>1</v>
      </c>
      <c r="F299" s="7" t="s">
        <v>225</v>
      </c>
      <c r="G299" s="7" t="s">
        <v>219</v>
      </c>
      <c r="H299" s="19" t="str">
        <f t="shared" si="4"/>
        <v/>
      </c>
      <c r="I299" s="19" t="s">
        <v>912</v>
      </c>
      <c r="J299" s="7" t="s">
        <v>311</v>
      </c>
      <c r="K299" s="25" t="s">
        <v>225</v>
      </c>
      <c r="L299" s="1"/>
    </row>
    <row r="300" spans="1:12" x14ac:dyDescent="0.25">
      <c r="A300" s="12"/>
      <c r="B300" s="7" t="s">
        <v>223</v>
      </c>
      <c r="C300" s="25">
        <v>20029234</v>
      </c>
      <c r="D300" s="7" t="s">
        <v>1986</v>
      </c>
      <c r="E300" s="26">
        <v>1</v>
      </c>
      <c r="F300" s="7" t="s">
        <v>225</v>
      </c>
      <c r="G300" s="7" t="s">
        <v>219</v>
      </c>
      <c r="H300" s="19" t="str">
        <f t="shared" si="4"/>
        <v/>
      </c>
      <c r="I300" s="19" t="s">
        <v>399</v>
      </c>
      <c r="J300" s="7" t="s">
        <v>311</v>
      </c>
      <c r="K300" s="25" t="s">
        <v>225</v>
      </c>
    </row>
    <row r="301" spans="1:12" x14ac:dyDescent="0.25">
      <c r="A301" s="12"/>
      <c r="B301" s="7" t="s">
        <v>223</v>
      </c>
      <c r="C301" s="25">
        <v>20029235</v>
      </c>
      <c r="D301" s="7" t="s">
        <v>1987</v>
      </c>
      <c r="E301" s="26">
        <v>1</v>
      </c>
      <c r="F301" s="7" t="s">
        <v>225</v>
      </c>
      <c r="G301" s="7" t="s">
        <v>219</v>
      </c>
      <c r="H301" s="19" t="str">
        <f t="shared" si="4"/>
        <v/>
      </c>
      <c r="I301" s="19" t="s">
        <v>399</v>
      </c>
      <c r="J301" s="7" t="s">
        <v>311</v>
      </c>
      <c r="K301" s="25" t="s">
        <v>225</v>
      </c>
    </row>
    <row r="302" spans="1:12" x14ac:dyDescent="0.25">
      <c r="A302" s="12"/>
      <c r="B302" s="7" t="s">
        <v>223</v>
      </c>
      <c r="C302" s="25">
        <v>20029241</v>
      </c>
      <c r="D302" s="7" t="s">
        <v>1991</v>
      </c>
      <c r="E302" s="26">
        <v>25</v>
      </c>
      <c r="F302" s="7" t="s">
        <v>225</v>
      </c>
      <c r="G302" s="7" t="s">
        <v>219</v>
      </c>
      <c r="H302" s="19" t="str">
        <f t="shared" si="4"/>
        <v/>
      </c>
      <c r="I302" s="19" t="s">
        <v>221</v>
      </c>
      <c r="J302" s="7" t="s">
        <v>311</v>
      </c>
      <c r="K302" s="25" t="s">
        <v>225</v>
      </c>
    </row>
    <row r="303" spans="1:12" x14ac:dyDescent="0.25">
      <c r="A303" s="12"/>
      <c r="B303" s="7" t="s">
        <v>223</v>
      </c>
      <c r="C303" s="25">
        <v>20029245</v>
      </c>
      <c r="D303" s="7" t="s">
        <v>1993</v>
      </c>
      <c r="E303" s="26">
        <v>1</v>
      </c>
      <c r="F303" s="7" t="s">
        <v>225</v>
      </c>
      <c r="G303" s="7" t="s">
        <v>219</v>
      </c>
      <c r="H303" s="19" t="str">
        <f t="shared" si="4"/>
        <v/>
      </c>
      <c r="I303" s="19" t="s">
        <v>399</v>
      </c>
      <c r="J303" s="7" t="s">
        <v>311</v>
      </c>
      <c r="K303" s="25" t="s">
        <v>225</v>
      </c>
    </row>
    <row r="304" spans="1:12" x14ac:dyDescent="0.25">
      <c r="A304" s="12"/>
      <c r="B304" s="7" t="s">
        <v>223</v>
      </c>
      <c r="C304" s="25">
        <v>20029249</v>
      </c>
      <c r="D304" s="7" t="s">
        <v>1997</v>
      </c>
      <c r="E304" s="26">
        <v>1</v>
      </c>
      <c r="F304" s="7" t="s">
        <v>225</v>
      </c>
      <c r="G304" s="7" t="s">
        <v>219</v>
      </c>
      <c r="H304" s="19" t="str">
        <f t="shared" si="4"/>
        <v/>
      </c>
      <c r="I304" s="19" t="s">
        <v>399</v>
      </c>
      <c r="J304" s="7" t="s">
        <v>311</v>
      </c>
      <c r="K304" s="25" t="s">
        <v>225</v>
      </c>
    </row>
    <row r="305" spans="1:11" x14ac:dyDescent="0.25">
      <c r="A305" s="12"/>
      <c r="B305" s="7" t="s">
        <v>223</v>
      </c>
      <c r="C305" s="25">
        <v>20029250</v>
      </c>
      <c r="D305" s="7" t="s">
        <v>1998</v>
      </c>
      <c r="E305" s="26">
        <v>1</v>
      </c>
      <c r="F305" s="7" t="s">
        <v>225</v>
      </c>
      <c r="G305" s="7" t="s">
        <v>219</v>
      </c>
      <c r="H305" s="19" t="str">
        <f t="shared" si="4"/>
        <v/>
      </c>
      <c r="I305" s="19" t="s">
        <v>399</v>
      </c>
      <c r="J305" s="7" t="s">
        <v>311</v>
      </c>
      <c r="K305" s="25" t="s">
        <v>225</v>
      </c>
    </row>
    <row r="306" spans="1:11" x14ac:dyDescent="0.25">
      <c r="A306" s="12"/>
      <c r="B306" s="7" t="s">
        <v>223</v>
      </c>
      <c r="C306" s="25">
        <v>20029251</v>
      </c>
      <c r="D306" s="7" t="s">
        <v>1999</v>
      </c>
      <c r="E306" s="26">
        <v>1</v>
      </c>
      <c r="F306" s="7" t="s">
        <v>225</v>
      </c>
      <c r="G306" s="7" t="s">
        <v>219</v>
      </c>
      <c r="H306" s="19" t="str">
        <f t="shared" si="4"/>
        <v/>
      </c>
      <c r="I306" s="19" t="s">
        <v>399</v>
      </c>
      <c r="J306" s="7" t="s">
        <v>311</v>
      </c>
      <c r="K306" s="25" t="s">
        <v>225</v>
      </c>
    </row>
    <row r="307" spans="1:11" x14ac:dyDescent="0.25">
      <c r="A307" s="12"/>
      <c r="B307" s="7" t="s">
        <v>223</v>
      </c>
      <c r="C307" s="25">
        <v>20029269</v>
      </c>
      <c r="D307" s="7" t="s">
        <v>2006</v>
      </c>
      <c r="E307" s="26">
        <v>1</v>
      </c>
      <c r="F307" s="7" t="s">
        <v>352</v>
      </c>
      <c r="G307" s="7" t="s">
        <v>180</v>
      </c>
      <c r="H307" s="19" t="str">
        <f t="shared" si="4"/>
        <v/>
      </c>
      <c r="I307" s="19" t="s">
        <v>399</v>
      </c>
      <c r="J307" s="7" t="s">
        <v>311</v>
      </c>
      <c r="K307" s="25" t="s">
        <v>352</v>
      </c>
    </row>
    <row r="308" spans="1:11" x14ac:dyDescent="0.25">
      <c r="A308" s="12"/>
      <c r="B308" s="7" t="s">
        <v>223</v>
      </c>
      <c r="C308" s="25">
        <v>20029270</v>
      </c>
      <c r="D308" s="7" t="s">
        <v>2007</v>
      </c>
      <c r="E308" s="26">
        <v>1</v>
      </c>
      <c r="F308" s="7" t="s">
        <v>225</v>
      </c>
      <c r="G308" s="7" t="s">
        <v>219</v>
      </c>
      <c r="H308" s="19" t="str">
        <f t="shared" si="4"/>
        <v/>
      </c>
      <c r="I308" s="19" t="s">
        <v>399</v>
      </c>
      <c r="J308" s="7" t="s">
        <v>311</v>
      </c>
      <c r="K308" s="25" t="s">
        <v>225</v>
      </c>
    </row>
    <row r="309" spans="1:11" x14ac:dyDescent="0.25">
      <c r="A309" s="12"/>
      <c r="B309" s="7" t="s">
        <v>223</v>
      </c>
      <c r="C309" s="25">
        <v>20029272</v>
      </c>
      <c r="D309" s="7" t="s">
        <v>2008</v>
      </c>
      <c r="E309" s="26">
        <v>1</v>
      </c>
      <c r="F309" s="7" t="s">
        <v>225</v>
      </c>
      <c r="G309" s="7" t="s">
        <v>219</v>
      </c>
      <c r="H309" s="19" t="str">
        <f t="shared" si="4"/>
        <v/>
      </c>
      <c r="I309" s="19" t="s">
        <v>399</v>
      </c>
      <c r="J309" s="7" t="s">
        <v>311</v>
      </c>
      <c r="K309" s="25" t="s">
        <v>225</v>
      </c>
    </row>
    <row r="310" spans="1:11" x14ac:dyDescent="0.25">
      <c r="A310" s="12"/>
      <c r="B310" s="7" t="s">
        <v>223</v>
      </c>
      <c r="C310" s="25">
        <v>20029278</v>
      </c>
      <c r="D310" s="7" t="s">
        <v>2011</v>
      </c>
      <c r="E310" s="26">
        <v>100</v>
      </c>
      <c r="F310" s="7" t="s">
        <v>225</v>
      </c>
      <c r="G310" s="7" t="s">
        <v>219</v>
      </c>
      <c r="H310" s="19" t="str">
        <f t="shared" si="4"/>
        <v/>
      </c>
      <c r="I310" s="19" t="s">
        <v>221</v>
      </c>
      <c r="J310" s="7" t="s">
        <v>311</v>
      </c>
      <c r="K310" s="25" t="s">
        <v>225</v>
      </c>
    </row>
    <row r="311" spans="1:11" x14ac:dyDescent="0.25">
      <c r="A311" s="12"/>
      <c r="B311" s="7" t="s">
        <v>223</v>
      </c>
      <c r="C311" s="25">
        <v>20029280</v>
      </c>
      <c r="D311" s="7" t="s">
        <v>2013</v>
      </c>
      <c r="E311" s="26">
        <v>100</v>
      </c>
      <c r="F311" s="7" t="s">
        <v>225</v>
      </c>
      <c r="G311" s="7" t="s">
        <v>219</v>
      </c>
      <c r="H311" s="19" t="str">
        <f t="shared" si="4"/>
        <v/>
      </c>
      <c r="I311" s="19" t="s">
        <v>221</v>
      </c>
      <c r="J311" s="7" t="s">
        <v>311</v>
      </c>
      <c r="K311" s="25" t="s">
        <v>225</v>
      </c>
    </row>
    <row r="312" spans="1:11" x14ac:dyDescent="0.25">
      <c r="A312" s="12"/>
      <c r="B312" s="7" t="s">
        <v>223</v>
      </c>
      <c r="C312" s="25">
        <v>20029284</v>
      </c>
      <c r="D312" s="7" t="s">
        <v>2016</v>
      </c>
      <c r="E312" s="26">
        <v>1</v>
      </c>
      <c r="F312" s="7" t="s">
        <v>225</v>
      </c>
      <c r="G312" s="7" t="s">
        <v>219</v>
      </c>
      <c r="H312" s="19" t="str">
        <f t="shared" si="4"/>
        <v/>
      </c>
      <c r="I312" s="19" t="s">
        <v>399</v>
      </c>
      <c r="J312" s="7" t="s">
        <v>311</v>
      </c>
      <c r="K312" s="25" t="s">
        <v>225</v>
      </c>
    </row>
    <row r="313" spans="1:11" x14ac:dyDescent="0.25">
      <c r="A313" s="12"/>
      <c r="B313" s="7" t="s">
        <v>223</v>
      </c>
      <c r="C313" s="25">
        <v>20029285</v>
      </c>
      <c r="D313" s="7" t="s">
        <v>2017</v>
      </c>
      <c r="E313" s="26">
        <v>1</v>
      </c>
      <c r="F313" s="7" t="s">
        <v>225</v>
      </c>
      <c r="G313" s="7" t="s">
        <v>219</v>
      </c>
      <c r="H313" s="19" t="str">
        <f t="shared" si="4"/>
        <v/>
      </c>
      <c r="I313" s="19" t="s">
        <v>399</v>
      </c>
      <c r="J313" s="7" t="s">
        <v>311</v>
      </c>
      <c r="K313" s="25" t="s">
        <v>225</v>
      </c>
    </row>
    <row r="314" spans="1:11" x14ac:dyDescent="0.25">
      <c r="A314" s="12"/>
      <c r="B314" s="7" t="s">
        <v>223</v>
      </c>
      <c r="C314" s="25">
        <v>20029289</v>
      </c>
      <c r="D314" s="7" t="s">
        <v>2021</v>
      </c>
      <c r="E314" s="26">
        <v>1</v>
      </c>
      <c r="F314" s="7" t="s">
        <v>225</v>
      </c>
      <c r="G314" s="7" t="s">
        <v>219</v>
      </c>
      <c r="H314" s="19" t="str">
        <f t="shared" si="4"/>
        <v/>
      </c>
      <c r="I314" s="19" t="s">
        <v>399</v>
      </c>
      <c r="J314" s="7" t="s">
        <v>311</v>
      </c>
      <c r="K314" s="25" t="s">
        <v>225</v>
      </c>
    </row>
    <row r="315" spans="1:11" x14ac:dyDescent="0.25">
      <c r="A315" s="12"/>
      <c r="B315" s="7" t="s">
        <v>223</v>
      </c>
      <c r="C315" s="25">
        <v>20029295</v>
      </c>
      <c r="D315" s="7" t="s">
        <v>2027</v>
      </c>
      <c r="E315" s="26">
        <v>1</v>
      </c>
      <c r="F315" s="7" t="s">
        <v>225</v>
      </c>
      <c r="G315" s="7" t="s">
        <v>219</v>
      </c>
      <c r="H315" s="19" t="str">
        <f t="shared" si="4"/>
        <v/>
      </c>
      <c r="I315" s="19" t="s">
        <v>399</v>
      </c>
      <c r="J315" s="7" t="s">
        <v>311</v>
      </c>
      <c r="K315" s="25" t="s">
        <v>225</v>
      </c>
    </row>
    <row r="316" spans="1:11" x14ac:dyDescent="0.25">
      <c r="A316" s="12"/>
      <c r="B316" s="7" t="s">
        <v>223</v>
      </c>
      <c r="C316" s="25">
        <v>20029298</v>
      </c>
      <c r="D316" s="7" t="s">
        <v>2029</v>
      </c>
      <c r="E316" s="26">
        <v>1</v>
      </c>
      <c r="F316" s="7" t="s">
        <v>225</v>
      </c>
      <c r="G316" s="7" t="s">
        <v>219</v>
      </c>
      <c r="H316" s="19" t="str">
        <f t="shared" si="4"/>
        <v/>
      </c>
      <c r="I316" s="19" t="s">
        <v>399</v>
      </c>
      <c r="J316" s="7" t="s">
        <v>311</v>
      </c>
      <c r="K316" s="25" t="s">
        <v>225</v>
      </c>
    </row>
    <row r="317" spans="1:11" x14ac:dyDescent="0.25">
      <c r="A317" s="12"/>
      <c r="B317" s="7" t="s">
        <v>223</v>
      </c>
      <c r="C317" s="25">
        <v>20029299</v>
      </c>
      <c r="D317" s="7" t="s">
        <v>2030</v>
      </c>
      <c r="E317" s="26">
        <v>1</v>
      </c>
      <c r="F317" s="7" t="s">
        <v>225</v>
      </c>
      <c r="G317" s="7" t="s">
        <v>219</v>
      </c>
      <c r="H317" s="19" t="str">
        <f t="shared" si="4"/>
        <v/>
      </c>
      <c r="I317" s="19" t="s">
        <v>399</v>
      </c>
      <c r="J317" s="7" t="s">
        <v>311</v>
      </c>
      <c r="K317" s="25" t="s">
        <v>225</v>
      </c>
    </row>
    <row r="318" spans="1:11" x14ac:dyDescent="0.25">
      <c r="A318" s="12"/>
      <c r="B318" s="7" t="s">
        <v>223</v>
      </c>
      <c r="C318" s="25">
        <v>20029300</v>
      </c>
      <c r="D318" s="7" t="s">
        <v>2031</v>
      </c>
      <c r="E318" s="26">
        <v>1</v>
      </c>
      <c r="F318" s="7" t="s">
        <v>225</v>
      </c>
      <c r="G318" s="7" t="s">
        <v>219</v>
      </c>
      <c r="H318" s="19" t="str">
        <f t="shared" si="4"/>
        <v/>
      </c>
      <c r="I318" s="19" t="s">
        <v>399</v>
      </c>
      <c r="J318" s="7" t="s">
        <v>311</v>
      </c>
      <c r="K318" s="25" t="s">
        <v>225</v>
      </c>
    </row>
    <row r="319" spans="1:11" x14ac:dyDescent="0.25">
      <c r="A319" s="12"/>
      <c r="B319" s="7" t="s">
        <v>223</v>
      </c>
      <c r="C319" s="25">
        <v>20029302</v>
      </c>
      <c r="D319" s="7" t="s">
        <v>2033</v>
      </c>
      <c r="E319" s="26">
        <v>1</v>
      </c>
      <c r="F319" s="7" t="s">
        <v>225</v>
      </c>
      <c r="G319" s="7" t="s">
        <v>219</v>
      </c>
      <c r="H319" s="19" t="str">
        <f t="shared" si="4"/>
        <v/>
      </c>
      <c r="I319" s="19" t="s">
        <v>399</v>
      </c>
      <c r="J319" s="7" t="s">
        <v>311</v>
      </c>
      <c r="K319" s="25" t="s">
        <v>225</v>
      </c>
    </row>
    <row r="320" spans="1:11" x14ac:dyDescent="0.25">
      <c r="A320" s="12"/>
      <c r="B320" s="7" t="s">
        <v>223</v>
      </c>
      <c r="C320" s="25">
        <v>20029304</v>
      </c>
      <c r="D320" s="7" t="s">
        <v>2035</v>
      </c>
      <c r="E320" s="26">
        <v>1</v>
      </c>
      <c r="F320" s="7" t="s">
        <v>225</v>
      </c>
      <c r="G320" s="7" t="s">
        <v>219</v>
      </c>
      <c r="H320" s="19" t="str">
        <f t="shared" si="4"/>
        <v/>
      </c>
      <c r="I320" s="19" t="s">
        <v>399</v>
      </c>
      <c r="J320" s="7" t="s">
        <v>311</v>
      </c>
      <c r="K320" s="25" t="s">
        <v>225</v>
      </c>
    </row>
    <row r="321" spans="1:11" x14ac:dyDescent="0.25">
      <c r="A321" s="12"/>
      <c r="B321" s="7" t="s">
        <v>223</v>
      </c>
      <c r="C321" s="25">
        <v>20029305</v>
      </c>
      <c r="D321" s="7" t="s">
        <v>2036</v>
      </c>
      <c r="E321" s="26">
        <v>1</v>
      </c>
      <c r="F321" s="7" t="s">
        <v>225</v>
      </c>
      <c r="G321" s="7" t="s">
        <v>219</v>
      </c>
      <c r="H321" s="19" t="str">
        <f t="shared" si="4"/>
        <v/>
      </c>
      <c r="I321" s="19" t="s">
        <v>399</v>
      </c>
      <c r="J321" s="7" t="s">
        <v>311</v>
      </c>
      <c r="K321" s="25" t="s">
        <v>225</v>
      </c>
    </row>
    <row r="322" spans="1:11" x14ac:dyDescent="0.25">
      <c r="A322" s="12"/>
      <c r="B322" s="7" t="s">
        <v>223</v>
      </c>
      <c r="C322" s="25">
        <v>20029306</v>
      </c>
      <c r="D322" s="7" t="s">
        <v>2037</v>
      </c>
      <c r="E322" s="26">
        <v>1</v>
      </c>
      <c r="F322" s="7" t="s">
        <v>225</v>
      </c>
      <c r="G322" s="7" t="s">
        <v>219</v>
      </c>
      <c r="H322" s="19" t="str">
        <f t="shared" si="4"/>
        <v/>
      </c>
      <c r="I322" s="19" t="s">
        <v>399</v>
      </c>
      <c r="J322" s="7" t="s">
        <v>311</v>
      </c>
      <c r="K322" s="25" t="s">
        <v>225</v>
      </c>
    </row>
    <row r="323" spans="1:11" x14ac:dyDescent="0.25">
      <c r="A323" s="12"/>
      <c r="B323" s="7" t="s">
        <v>223</v>
      </c>
      <c r="C323" s="25">
        <v>20029328</v>
      </c>
      <c r="D323" s="7" t="s">
        <v>2049</v>
      </c>
      <c r="E323" s="26">
        <v>1</v>
      </c>
      <c r="F323" s="7" t="s">
        <v>225</v>
      </c>
      <c r="G323" s="7" t="s">
        <v>219</v>
      </c>
      <c r="H323" s="19" t="str">
        <f t="shared" si="4"/>
        <v/>
      </c>
      <c r="I323" s="19" t="s">
        <v>399</v>
      </c>
      <c r="J323" s="7" t="s">
        <v>311</v>
      </c>
      <c r="K323" s="25" t="s">
        <v>225</v>
      </c>
    </row>
    <row r="324" spans="1:11" x14ac:dyDescent="0.25">
      <c r="A324" s="12"/>
      <c r="B324" s="7" t="s">
        <v>223</v>
      </c>
      <c r="C324" s="25">
        <v>20029329</v>
      </c>
      <c r="D324" s="7" t="s">
        <v>2050</v>
      </c>
      <c r="E324" s="26">
        <v>1</v>
      </c>
      <c r="F324" s="7" t="s">
        <v>225</v>
      </c>
      <c r="G324" s="7" t="s">
        <v>219</v>
      </c>
      <c r="H324" s="19" t="str">
        <f t="shared" si="4"/>
        <v/>
      </c>
      <c r="I324" s="19" t="s">
        <v>399</v>
      </c>
      <c r="J324" s="7" t="s">
        <v>311</v>
      </c>
      <c r="K324" s="25" t="s">
        <v>225</v>
      </c>
    </row>
    <row r="325" spans="1:11" x14ac:dyDescent="0.25">
      <c r="A325" s="12"/>
      <c r="B325" s="7" t="s">
        <v>223</v>
      </c>
      <c r="C325" s="25">
        <v>20029330</v>
      </c>
      <c r="D325" s="7" t="s">
        <v>2051</v>
      </c>
      <c r="E325" s="26">
        <v>1</v>
      </c>
      <c r="F325" s="7" t="s">
        <v>225</v>
      </c>
      <c r="G325" s="7" t="s">
        <v>219</v>
      </c>
      <c r="H325" s="19" t="str">
        <f t="shared" si="4"/>
        <v/>
      </c>
      <c r="I325" s="19" t="s">
        <v>399</v>
      </c>
      <c r="J325" s="7" t="s">
        <v>311</v>
      </c>
      <c r="K325" s="25" t="s">
        <v>225</v>
      </c>
    </row>
    <row r="326" spans="1:11" x14ac:dyDescent="0.25">
      <c r="A326" s="12"/>
      <c r="B326" s="7" t="s">
        <v>223</v>
      </c>
      <c r="C326" s="25">
        <v>20029331</v>
      </c>
      <c r="D326" s="7" t="s">
        <v>2052</v>
      </c>
      <c r="E326" s="26">
        <v>1</v>
      </c>
      <c r="F326" s="7" t="s">
        <v>225</v>
      </c>
      <c r="G326" s="7" t="s">
        <v>219</v>
      </c>
      <c r="H326" s="19" t="str">
        <f t="shared" si="4"/>
        <v/>
      </c>
      <c r="I326" s="19" t="s">
        <v>399</v>
      </c>
      <c r="J326" s="7" t="s">
        <v>311</v>
      </c>
      <c r="K326" s="25" t="s">
        <v>225</v>
      </c>
    </row>
    <row r="327" spans="1:11" x14ac:dyDescent="0.25">
      <c r="A327" s="12"/>
      <c r="B327" s="7" t="s">
        <v>223</v>
      </c>
      <c r="C327" s="25">
        <v>20029332</v>
      </c>
      <c r="D327" s="7" t="s">
        <v>2053</v>
      </c>
      <c r="E327" s="26">
        <v>1</v>
      </c>
      <c r="F327" s="7" t="s">
        <v>225</v>
      </c>
      <c r="G327" s="7" t="s">
        <v>219</v>
      </c>
      <c r="H327" s="19" t="str">
        <f t="shared" si="4"/>
        <v/>
      </c>
      <c r="I327" s="19" t="s">
        <v>399</v>
      </c>
      <c r="J327" s="7" t="s">
        <v>311</v>
      </c>
      <c r="K327" s="25" t="s">
        <v>225</v>
      </c>
    </row>
    <row r="328" spans="1:11" x14ac:dyDescent="0.25">
      <c r="A328" s="12"/>
      <c r="B328" s="7" t="s">
        <v>223</v>
      </c>
      <c r="C328" s="25">
        <v>20029336</v>
      </c>
      <c r="D328" s="7" t="s">
        <v>2054</v>
      </c>
      <c r="E328" s="26">
        <v>1</v>
      </c>
      <c r="F328" s="7" t="s">
        <v>225</v>
      </c>
      <c r="G328" s="7" t="s">
        <v>219</v>
      </c>
      <c r="H328" s="19" t="str">
        <f t="shared" si="4"/>
        <v/>
      </c>
      <c r="I328" s="19" t="s">
        <v>399</v>
      </c>
      <c r="J328" s="7" t="s">
        <v>311</v>
      </c>
      <c r="K328" s="25" t="s">
        <v>225</v>
      </c>
    </row>
    <row r="329" spans="1:11" x14ac:dyDescent="0.25">
      <c r="A329" s="12"/>
      <c r="B329" s="7" t="s">
        <v>223</v>
      </c>
      <c r="C329" s="25">
        <v>20029337</v>
      </c>
      <c r="D329" s="7" t="s">
        <v>2055</v>
      </c>
      <c r="E329" s="26">
        <v>1</v>
      </c>
      <c r="F329" s="7" t="s">
        <v>225</v>
      </c>
      <c r="G329" s="7" t="s">
        <v>219</v>
      </c>
      <c r="H329" s="19" t="str">
        <f t="shared" si="4"/>
        <v/>
      </c>
      <c r="I329" s="19" t="s">
        <v>399</v>
      </c>
      <c r="J329" s="7" t="s">
        <v>311</v>
      </c>
      <c r="K329" s="25" t="s">
        <v>225</v>
      </c>
    </row>
    <row r="330" spans="1:11" x14ac:dyDescent="0.25">
      <c r="A330" s="12"/>
      <c r="B330" s="7" t="s">
        <v>223</v>
      </c>
      <c r="C330" s="25">
        <v>20029338</v>
      </c>
      <c r="D330" s="7" t="s">
        <v>2056</v>
      </c>
      <c r="E330" s="26">
        <v>1</v>
      </c>
      <c r="F330" s="7" t="s">
        <v>225</v>
      </c>
      <c r="G330" s="7" t="s">
        <v>219</v>
      </c>
      <c r="H330" s="19" t="str">
        <f t="shared" si="4"/>
        <v/>
      </c>
      <c r="I330" s="19" t="s">
        <v>399</v>
      </c>
      <c r="J330" s="7" t="s">
        <v>311</v>
      </c>
      <c r="K330" s="25" t="s">
        <v>225</v>
      </c>
    </row>
    <row r="331" spans="1:11" x14ac:dyDescent="0.25">
      <c r="A331" s="12"/>
      <c r="B331" s="7" t="s">
        <v>223</v>
      </c>
      <c r="C331" s="25">
        <v>20029342</v>
      </c>
      <c r="D331" s="7" t="s">
        <v>2060</v>
      </c>
      <c r="E331" s="26">
        <v>100</v>
      </c>
      <c r="F331" s="7" t="s">
        <v>225</v>
      </c>
      <c r="G331" s="7" t="s">
        <v>219</v>
      </c>
      <c r="H331" s="19" t="str">
        <f t="shared" si="4"/>
        <v/>
      </c>
      <c r="I331" s="19" t="s">
        <v>221</v>
      </c>
      <c r="J331" s="7" t="s">
        <v>311</v>
      </c>
      <c r="K331" s="25" t="s">
        <v>225</v>
      </c>
    </row>
    <row r="332" spans="1:11" x14ac:dyDescent="0.25">
      <c r="A332" s="12"/>
      <c r="B332" s="7" t="s">
        <v>223</v>
      </c>
      <c r="C332" s="25">
        <v>20029343</v>
      </c>
      <c r="D332" s="7" t="s">
        <v>2061</v>
      </c>
      <c r="E332" s="26">
        <v>100</v>
      </c>
      <c r="F332" s="7" t="s">
        <v>225</v>
      </c>
      <c r="G332" s="7" t="s">
        <v>219</v>
      </c>
      <c r="H332" s="19" t="str">
        <f t="shared" si="4"/>
        <v/>
      </c>
      <c r="I332" s="19" t="s">
        <v>221</v>
      </c>
      <c r="J332" s="7" t="s">
        <v>311</v>
      </c>
      <c r="K332" s="25" t="s">
        <v>225</v>
      </c>
    </row>
    <row r="333" spans="1:11" x14ac:dyDescent="0.25">
      <c r="A333" s="12"/>
      <c r="B333" s="7" t="s">
        <v>223</v>
      </c>
      <c r="C333" s="25">
        <v>20029344</v>
      </c>
      <c r="D333" s="7" t="s">
        <v>2062</v>
      </c>
      <c r="E333" s="26">
        <v>100</v>
      </c>
      <c r="F333" s="7" t="s">
        <v>225</v>
      </c>
      <c r="G333" s="7" t="s">
        <v>219</v>
      </c>
      <c r="H333" s="19" t="str">
        <f t="shared" si="4"/>
        <v/>
      </c>
      <c r="I333" s="19" t="s">
        <v>221</v>
      </c>
      <c r="J333" s="7" t="s">
        <v>311</v>
      </c>
      <c r="K333" s="25" t="s">
        <v>225</v>
      </c>
    </row>
    <row r="334" spans="1:11" x14ac:dyDescent="0.25">
      <c r="A334" s="12"/>
      <c r="B334" s="7" t="s">
        <v>223</v>
      </c>
      <c r="C334" s="25">
        <v>20029353</v>
      </c>
      <c r="D334" s="7" t="s">
        <v>2065</v>
      </c>
      <c r="E334" s="26">
        <v>100</v>
      </c>
      <c r="F334" s="7" t="s">
        <v>225</v>
      </c>
      <c r="G334" s="7" t="s">
        <v>219</v>
      </c>
      <c r="H334" s="19" t="str">
        <f t="shared" si="4"/>
        <v/>
      </c>
      <c r="I334" s="19" t="s">
        <v>221</v>
      </c>
      <c r="J334" s="7" t="s">
        <v>311</v>
      </c>
      <c r="K334" s="25" t="s">
        <v>225</v>
      </c>
    </row>
    <row r="335" spans="1:11" x14ac:dyDescent="0.25">
      <c r="A335" s="12"/>
      <c r="B335" s="7" t="s">
        <v>223</v>
      </c>
      <c r="C335" s="25">
        <v>20029380</v>
      </c>
      <c r="D335" s="7" t="s">
        <v>2070</v>
      </c>
      <c r="E335" s="26">
        <v>1</v>
      </c>
      <c r="F335" s="7" t="s">
        <v>225</v>
      </c>
      <c r="G335" s="7" t="s">
        <v>219</v>
      </c>
      <c r="H335" s="19" t="str">
        <f t="shared" ref="H335:H398" si="5">IF(A335="", "", A335*E335)</f>
        <v/>
      </c>
      <c r="I335" s="19" t="s">
        <v>399</v>
      </c>
      <c r="J335" s="7" t="s">
        <v>311</v>
      </c>
      <c r="K335" s="25" t="s">
        <v>225</v>
      </c>
    </row>
    <row r="336" spans="1:11" x14ac:dyDescent="0.25">
      <c r="A336" s="12"/>
      <c r="B336" s="7" t="s">
        <v>223</v>
      </c>
      <c r="C336" s="25">
        <v>20029383</v>
      </c>
      <c r="D336" s="7" t="s">
        <v>2073</v>
      </c>
      <c r="E336" s="26">
        <v>1</v>
      </c>
      <c r="F336" s="7" t="s">
        <v>225</v>
      </c>
      <c r="G336" s="7" t="s">
        <v>219</v>
      </c>
      <c r="H336" s="19" t="str">
        <f t="shared" si="5"/>
        <v/>
      </c>
      <c r="I336" s="19" t="s">
        <v>399</v>
      </c>
      <c r="J336" s="7" t="s">
        <v>311</v>
      </c>
      <c r="K336" s="25" t="s">
        <v>225</v>
      </c>
    </row>
    <row r="337" spans="1:11" x14ac:dyDescent="0.25">
      <c r="A337" s="12"/>
      <c r="B337" s="7" t="s">
        <v>223</v>
      </c>
      <c r="C337" s="25">
        <v>20029384</v>
      </c>
      <c r="D337" s="7" t="s">
        <v>2074</v>
      </c>
      <c r="E337" s="26">
        <v>1</v>
      </c>
      <c r="F337" s="7" t="s">
        <v>225</v>
      </c>
      <c r="G337" s="7" t="s">
        <v>219</v>
      </c>
      <c r="H337" s="19" t="str">
        <f t="shared" si="5"/>
        <v/>
      </c>
      <c r="I337" s="19" t="s">
        <v>399</v>
      </c>
      <c r="J337" s="7" t="s">
        <v>311</v>
      </c>
      <c r="K337" s="25" t="s">
        <v>225</v>
      </c>
    </row>
    <row r="338" spans="1:11" x14ac:dyDescent="0.25">
      <c r="A338" s="12"/>
      <c r="B338" s="7" t="s">
        <v>223</v>
      </c>
      <c r="C338" s="25">
        <v>20029385</v>
      </c>
      <c r="D338" s="7" t="s">
        <v>2075</v>
      </c>
      <c r="E338" s="26">
        <v>100</v>
      </c>
      <c r="F338" s="7" t="s">
        <v>225</v>
      </c>
      <c r="G338" s="7" t="s">
        <v>219</v>
      </c>
      <c r="H338" s="19" t="str">
        <f t="shared" si="5"/>
        <v/>
      </c>
      <c r="I338" s="19" t="s">
        <v>221</v>
      </c>
      <c r="J338" s="7" t="s">
        <v>311</v>
      </c>
      <c r="K338" s="25" t="s">
        <v>225</v>
      </c>
    </row>
    <row r="339" spans="1:11" x14ac:dyDescent="0.25">
      <c r="A339" s="12"/>
      <c r="B339" s="7" t="s">
        <v>223</v>
      </c>
      <c r="C339" s="25">
        <v>20029479</v>
      </c>
      <c r="D339" s="7" t="s">
        <v>2081</v>
      </c>
      <c r="E339" s="26">
        <v>100</v>
      </c>
      <c r="F339" s="7" t="s">
        <v>225</v>
      </c>
      <c r="G339" s="7" t="s">
        <v>219</v>
      </c>
      <c r="H339" s="19" t="str">
        <f t="shared" si="5"/>
        <v/>
      </c>
      <c r="I339" s="19" t="s">
        <v>221</v>
      </c>
      <c r="J339" s="7" t="s">
        <v>311</v>
      </c>
      <c r="K339" s="25" t="s">
        <v>225</v>
      </c>
    </row>
    <row r="340" spans="1:11" x14ac:dyDescent="0.25">
      <c r="A340" s="12"/>
      <c r="B340" s="7" t="s">
        <v>222</v>
      </c>
      <c r="C340" s="25">
        <v>20029566</v>
      </c>
      <c r="D340" s="7" t="s">
        <v>2095</v>
      </c>
      <c r="E340" s="26">
        <v>1</v>
      </c>
      <c r="F340" s="7" t="s">
        <v>225</v>
      </c>
      <c r="G340" s="7" t="s">
        <v>219</v>
      </c>
      <c r="H340" s="19" t="str">
        <f t="shared" si="5"/>
        <v/>
      </c>
      <c r="I340" s="19" t="s">
        <v>221</v>
      </c>
      <c r="J340" s="7" t="s">
        <v>313</v>
      </c>
      <c r="K340" s="25" t="s">
        <v>225</v>
      </c>
    </row>
    <row r="341" spans="1:11" x14ac:dyDescent="0.25">
      <c r="A341" s="12"/>
      <c r="B341" s="7" t="s">
        <v>223</v>
      </c>
      <c r="C341" s="25">
        <v>20029619</v>
      </c>
      <c r="D341" s="7" t="s">
        <v>2097</v>
      </c>
      <c r="E341" s="26">
        <v>100</v>
      </c>
      <c r="F341" s="7" t="s">
        <v>225</v>
      </c>
      <c r="G341" s="7" t="s">
        <v>219</v>
      </c>
      <c r="H341" s="19" t="str">
        <f t="shared" si="5"/>
        <v/>
      </c>
      <c r="I341" s="19" t="s">
        <v>221</v>
      </c>
      <c r="J341" s="7" t="s">
        <v>311</v>
      </c>
      <c r="K341" s="25" t="s">
        <v>225</v>
      </c>
    </row>
    <row r="342" spans="1:11" x14ac:dyDescent="0.25">
      <c r="A342" s="12"/>
      <c r="B342" s="7" t="s">
        <v>223</v>
      </c>
      <c r="C342" s="25">
        <v>20029620</v>
      </c>
      <c r="D342" s="7" t="s">
        <v>2098</v>
      </c>
      <c r="E342" s="26">
        <v>100</v>
      </c>
      <c r="F342" s="7" t="s">
        <v>225</v>
      </c>
      <c r="G342" s="7" t="s">
        <v>219</v>
      </c>
      <c r="H342" s="19" t="str">
        <f t="shared" si="5"/>
        <v/>
      </c>
      <c r="I342" s="19" t="s">
        <v>221</v>
      </c>
      <c r="J342" s="7" t="s">
        <v>311</v>
      </c>
      <c r="K342" s="25" t="s">
        <v>225</v>
      </c>
    </row>
    <row r="343" spans="1:11" x14ac:dyDescent="0.25">
      <c r="A343" s="12"/>
      <c r="B343" s="7" t="s">
        <v>1177</v>
      </c>
      <c r="C343" s="25">
        <v>20029657</v>
      </c>
      <c r="D343" s="7" t="s">
        <v>2106</v>
      </c>
      <c r="E343" s="26">
        <v>500</v>
      </c>
      <c r="F343" s="7" t="s">
        <v>225</v>
      </c>
      <c r="G343" s="7" t="s">
        <v>219</v>
      </c>
      <c r="H343" s="19" t="str">
        <f t="shared" si="5"/>
        <v/>
      </c>
      <c r="I343" s="19" t="s">
        <v>37</v>
      </c>
      <c r="J343" s="7" t="s">
        <v>402</v>
      </c>
      <c r="K343" s="25" t="s">
        <v>225</v>
      </c>
    </row>
    <row r="344" spans="1:11" x14ac:dyDescent="0.25">
      <c r="A344" s="12"/>
      <c r="B344" s="7" t="s">
        <v>230</v>
      </c>
      <c r="C344" s="25">
        <v>20029904</v>
      </c>
      <c r="D344" s="7" t="s">
        <v>2129</v>
      </c>
      <c r="E344" s="26">
        <v>1</v>
      </c>
      <c r="F344" s="7" t="s">
        <v>225</v>
      </c>
      <c r="G344" s="7" t="s">
        <v>219</v>
      </c>
      <c r="H344" s="19" t="str">
        <f t="shared" si="5"/>
        <v/>
      </c>
      <c r="I344" s="19" t="s">
        <v>910</v>
      </c>
      <c r="J344" s="7" t="s">
        <v>397</v>
      </c>
      <c r="K344" s="25" t="s">
        <v>225</v>
      </c>
    </row>
    <row r="345" spans="1:11" x14ac:dyDescent="0.25">
      <c r="A345" s="12"/>
      <c r="B345" s="7" t="s">
        <v>230</v>
      </c>
      <c r="C345" s="25">
        <v>20029905</v>
      </c>
      <c r="D345" s="7" t="s">
        <v>2130</v>
      </c>
      <c r="E345" s="26">
        <v>1</v>
      </c>
      <c r="F345" s="7" t="s">
        <v>225</v>
      </c>
      <c r="G345" s="7" t="s">
        <v>219</v>
      </c>
      <c r="H345" s="19" t="str">
        <f t="shared" si="5"/>
        <v/>
      </c>
      <c r="I345" s="19" t="s">
        <v>910</v>
      </c>
      <c r="J345" s="7" t="s">
        <v>397</v>
      </c>
      <c r="K345" s="25" t="s">
        <v>225</v>
      </c>
    </row>
    <row r="346" spans="1:11" x14ac:dyDescent="0.25">
      <c r="A346" s="12"/>
      <c r="B346" s="7" t="s">
        <v>228</v>
      </c>
      <c r="C346" s="25">
        <v>20030245</v>
      </c>
      <c r="D346" s="7" t="s">
        <v>2174</v>
      </c>
      <c r="E346" s="26">
        <v>1</v>
      </c>
      <c r="F346" s="7" t="s">
        <v>225</v>
      </c>
      <c r="G346" s="7" t="s">
        <v>219</v>
      </c>
      <c r="H346" s="19" t="str">
        <f t="shared" si="5"/>
        <v/>
      </c>
      <c r="I346" s="19" t="s">
        <v>1115</v>
      </c>
      <c r="J346" s="7" t="s">
        <v>246</v>
      </c>
      <c r="K346" s="25" t="s">
        <v>225</v>
      </c>
    </row>
    <row r="347" spans="1:11" x14ac:dyDescent="0.25">
      <c r="A347" s="12"/>
      <c r="B347" s="7" t="s">
        <v>223</v>
      </c>
      <c r="C347" s="25">
        <v>20030246</v>
      </c>
      <c r="D347" s="7" t="s">
        <v>2175</v>
      </c>
      <c r="E347" s="26">
        <v>1</v>
      </c>
      <c r="F347" s="7" t="s">
        <v>225</v>
      </c>
      <c r="G347" s="7" t="s">
        <v>219</v>
      </c>
      <c r="H347" s="19" t="str">
        <f t="shared" si="5"/>
        <v/>
      </c>
      <c r="I347" s="19" t="s">
        <v>399</v>
      </c>
      <c r="J347" s="7" t="s">
        <v>246</v>
      </c>
      <c r="K347" s="25" t="s">
        <v>225</v>
      </c>
    </row>
    <row r="348" spans="1:11" x14ac:dyDescent="0.25">
      <c r="A348" s="12"/>
      <c r="B348" s="7" t="s">
        <v>222</v>
      </c>
      <c r="C348" s="25">
        <v>20030251</v>
      </c>
      <c r="D348" s="7" t="s">
        <v>2178</v>
      </c>
      <c r="E348" s="26">
        <v>1</v>
      </c>
      <c r="F348" s="7" t="s">
        <v>225</v>
      </c>
      <c r="G348" s="7" t="s">
        <v>219</v>
      </c>
      <c r="H348" s="19" t="str">
        <f t="shared" si="5"/>
        <v/>
      </c>
      <c r="I348" s="19" t="s">
        <v>221</v>
      </c>
      <c r="J348" s="7" t="s">
        <v>721</v>
      </c>
      <c r="K348" s="25" t="s">
        <v>225</v>
      </c>
    </row>
    <row r="349" spans="1:11" x14ac:dyDescent="0.25">
      <c r="A349" s="12"/>
      <c r="B349" s="7" t="s">
        <v>222</v>
      </c>
      <c r="C349" s="25">
        <v>20030252</v>
      </c>
      <c r="D349" s="7" t="s">
        <v>2179</v>
      </c>
      <c r="E349" s="26">
        <v>1</v>
      </c>
      <c r="F349" s="7" t="s">
        <v>225</v>
      </c>
      <c r="G349" s="7" t="s">
        <v>219</v>
      </c>
      <c r="H349" s="19" t="str">
        <f t="shared" si="5"/>
        <v/>
      </c>
      <c r="I349" s="19" t="s">
        <v>221</v>
      </c>
      <c r="J349" s="7" t="s">
        <v>721</v>
      </c>
      <c r="K349" s="25" t="s">
        <v>225</v>
      </c>
    </row>
    <row r="350" spans="1:11" x14ac:dyDescent="0.25">
      <c r="A350" s="12"/>
      <c r="B350" s="7" t="s">
        <v>222</v>
      </c>
      <c r="C350" s="25">
        <v>20030278</v>
      </c>
      <c r="D350" s="7" t="s">
        <v>2181</v>
      </c>
      <c r="E350" s="26">
        <v>1</v>
      </c>
      <c r="F350" s="7" t="s">
        <v>225</v>
      </c>
      <c r="G350" s="7" t="s">
        <v>219</v>
      </c>
      <c r="H350" s="19" t="str">
        <f t="shared" si="5"/>
        <v/>
      </c>
      <c r="I350" s="19" t="s">
        <v>221</v>
      </c>
      <c r="J350" s="7" t="s">
        <v>327</v>
      </c>
      <c r="K350" s="25" t="s">
        <v>225</v>
      </c>
    </row>
    <row r="351" spans="1:11" x14ac:dyDescent="0.25">
      <c r="A351" s="12"/>
      <c r="B351" s="7" t="s">
        <v>222</v>
      </c>
      <c r="C351" s="25">
        <v>20030290</v>
      </c>
      <c r="D351" s="7" t="s">
        <v>2182</v>
      </c>
      <c r="E351" s="26">
        <v>1</v>
      </c>
      <c r="F351" s="7" t="s">
        <v>225</v>
      </c>
      <c r="G351" s="7" t="s">
        <v>219</v>
      </c>
      <c r="H351" s="19" t="str">
        <f t="shared" si="5"/>
        <v/>
      </c>
      <c r="I351" s="19" t="s">
        <v>221</v>
      </c>
      <c r="J351" s="7" t="s">
        <v>315</v>
      </c>
      <c r="K351" s="25" t="s">
        <v>225</v>
      </c>
    </row>
    <row r="352" spans="1:11" x14ac:dyDescent="0.25">
      <c r="A352" s="12"/>
      <c r="B352" s="7" t="s">
        <v>1177</v>
      </c>
      <c r="C352" s="25">
        <v>20030299</v>
      </c>
      <c r="D352" s="7" t="s">
        <v>2183</v>
      </c>
      <c r="E352" s="26">
        <v>250</v>
      </c>
      <c r="F352" s="7" t="s">
        <v>225</v>
      </c>
      <c r="G352" s="7" t="s">
        <v>219</v>
      </c>
      <c r="H352" s="19" t="str">
        <f t="shared" si="5"/>
        <v/>
      </c>
      <c r="I352" s="19" t="s">
        <v>37</v>
      </c>
      <c r="J352" s="7" t="s">
        <v>402</v>
      </c>
      <c r="K352" s="25" t="s">
        <v>225</v>
      </c>
    </row>
    <row r="353" spans="1:11" x14ac:dyDescent="0.25">
      <c r="A353" s="12"/>
      <c r="B353" s="7" t="s">
        <v>1177</v>
      </c>
      <c r="C353" s="25">
        <v>20030300</v>
      </c>
      <c r="D353" s="7" t="s">
        <v>2184</v>
      </c>
      <c r="E353" s="26">
        <v>250</v>
      </c>
      <c r="F353" s="7" t="s">
        <v>225</v>
      </c>
      <c r="G353" s="7" t="s">
        <v>219</v>
      </c>
      <c r="H353" s="19" t="str">
        <f t="shared" si="5"/>
        <v/>
      </c>
      <c r="I353" s="19" t="s">
        <v>37</v>
      </c>
      <c r="J353" s="7" t="s">
        <v>402</v>
      </c>
      <c r="K353" s="25" t="s">
        <v>225</v>
      </c>
    </row>
    <row r="354" spans="1:11" x14ac:dyDescent="0.25">
      <c r="A354" s="12"/>
      <c r="B354" s="7" t="s">
        <v>222</v>
      </c>
      <c r="C354" s="25">
        <v>20030770</v>
      </c>
      <c r="D354" s="7" t="s">
        <v>2220</v>
      </c>
      <c r="E354" s="26">
        <v>1</v>
      </c>
      <c r="F354" s="7" t="s">
        <v>225</v>
      </c>
      <c r="G354" s="7" t="s">
        <v>219</v>
      </c>
      <c r="H354" s="19" t="str">
        <f t="shared" si="5"/>
        <v/>
      </c>
      <c r="I354" s="19" t="s">
        <v>221</v>
      </c>
      <c r="J354" s="7" t="s">
        <v>327</v>
      </c>
      <c r="K354" s="25" t="s">
        <v>225</v>
      </c>
    </row>
    <row r="355" spans="1:11" x14ac:dyDescent="0.25">
      <c r="A355" s="12"/>
      <c r="B355" s="7" t="s">
        <v>222</v>
      </c>
      <c r="C355" s="25">
        <v>20030788</v>
      </c>
      <c r="D355" s="7" t="s">
        <v>2224</v>
      </c>
      <c r="E355" s="26">
        <v>1</v>
      </c>
      <c r="F355" s="7" t="s">
        <v>225</v>
      </c>
      <c r="G355" s="7" t="s">
        <v>219</v>
      </c>
      <c r="H355" s="19" t="str">
        <f t="shared" si="5"/>
        <v/>
      </c>
      <c r="I355" s="19" t="s">
        <v>221</v>
      </c>
      <c r="J355" s="7" t="s">
        <v>721</v>
      </c>
      <c r="K355" s="25" t="s">
        <v>225</v>
      </c>
    </row>
    <row r="356" spans="1:11" x14ac:dyDescent="0.25">
      <c r="A356" s="12"/>
      <c r="B356" s="7" t="s">
        <v>222</v>
      </c>
      <c r="C356" s="25">
        <v>20030822</v>
      </c>
      <c r="D356" s="7" t="s">
        <v>2226</v>
      </c>
      <c r="E356" s="26">
        <v>1</v>
      </c>
      <c r="F356" s="7" t="s">
        <v>225</v>
      </c>
      <c r="G356" s="7" t="s">
        <v>219</v>
      </c>
      <c r="H356" s="19" t="str">
        <f t="shared" si="5"/>
        <v/>
      </c>
      <c r="I356" s="19" t="s">
        <v>221</v>
      </c>
      <c r="J356" s="7" t="s">
        <v>721</v>
      </c>
      <c r="K356" s="25" t="s">
        <v>225</v>
      </c>
    </row>
    <row r="357" spans="1:11" x14ac:dyDescent="0.25">
      <c r="A357" s="12"/>
      <c r="B357" s="7" t="s">
        <v>222</v>
      </c>
      <c r="C357" s="25">
        <v>20030824</v>
      </c>
      <c r="D357" s="7" t="s">
        <v>2228</v>
      </c>
      <c r="E357" s="26">
        <v>1</v>
      </c>
      <c r="F357" s="7" t="s">
        <v>225</v>
      </c>
      <c r="G357" s="7" t="s">
        <v>219</v>
      </c>
      <c r="H357" s="19" t="str">
        <f t="shared" si="5"/>
        <v/>
      </c>
      <c r="I357" s="19" t="s">
        <v>221</v>
      </c>
      <c r="J357" s="7" t="s">
        <v>721</v>
      </c>
      <c r="K357" s="25" t="s">
        <v>225</v>
      </c>
    </row>
    <row r="358" spans="1:11" x14ac:dyDescent="0.25">
      <c r="A358" s="12"/>
      <c r="B358" s="7" t="s">
        <v>222</v>
      </c>
      <c r="C358" s="25">
        <v>20030826</v>
      </c>
      <c r="D358" s="7" t="s">
        <v>2230</v>
      </c>
      <c r="E358" s="26">
        <v>1</v>
      </c>
      <c r="F358" s="7" t="s">
        <v>225</v>
      </c>
      <c r="G358" s="7" t="s">
        <v>219</v>
      </c>
      <c r="H358" s="19" t="str">
        <f t="shared" si="5"/>
        <v/>
      </c>
      <c r="I358" s="19" t="s">
        <v>221</v>
      </c>
      <c r="J358" s="7" t="s">
        <v>721</v>
      </c>
      <c r="K358" s="25" t="s">
        <v>225</v>
      </c>
    </row>
    <row r="359" spans="1:11" x14ac:dyDescent="0.25">
      <c r="A359" s="12"/>
      <c r="B359" s="7" t="s">
        <v>222</v>
      </c>
      <c r="C359" s="25">
        <v>20030827</v>
      </c>
      <c r="D359" s="7" t="s">
        <v>2231</v>
      </c>
      <c r="E359" s="26">
        <v>1</v>
      </c>
      <c r="F359" s="7" t="s">
        <v>225</v>
      </c>
      <c r="G359" s="7" t="s">
        <v>219</v>
      </c>
      <c r="H359" s="19" t="str">
        <f t="shared" si="5"/>
        <v/>
      </c>
      <c r="I359" s="19" t="s">
        <v>221</v>
      </c>
      <c r="J359" s="7" t="s">
        <v>721</v>
      </c>
      <c r="K359" s="25" t="s">
        <v>225</v>
      </c>
    </row>
    <row r="360" spans="1:11" x14ac:dyDescent="0.25">
      <c r="A360" s="12"/>
      <c r="B360" s="7" t="s">
        <v>222</v>
      </c>
      <c r="C360" s="25">
        <v>20030829</v>
      </c>
      <c r="D360" s="7" t="s">
        <v>2233</v>
      </c>
      <c r="E360" s="26">
        <v>1</v>
      </c>
      <c r="F360" s="7" t="s">
        <v>225</v>
      </c>
      <c r="G360" s="7" t="s">
        <v>219</v>
      </c>
      <c r="H360" s="19" t="str">
        <f t="shared" si="5"/>
        <v/>
      </c>
      <c r="I360" s="19" t="s">
        <v>221</v>
      </c>
      <c r="J360" s="7" t="s">
        <v>721</v>
      </c>
      <c r="K360" s="25" t="s">
        <v>225</v>
      </c>
    </row>
    <row r="361" spans="1:11" x14ac:dyDescent="0.25">
      <c r="A361" s="12"/>
      <c r="B361" s="7" t="s">
        <v>222</v>
      </c>
      <c r="C361" s="25">
        <v>20030833</v>
      </c>
      <c r="D361" s="7" t="s">
        <v>2237</v>
      </c>
      <c r="E361" s="26">
        <v>1</v>
      </c>
      <c r="F361" s="7" t="s">
        <v>225</v>
      </c>
      <c r="G361" s="7" t="s">
        <v>219</v>
      </c>
      <c r="H361" s="19" t="str">
        <f t="shared" si="5"/>
        <v/>
      </c>
      <c r="I361" s="19" t="s">
        <v>221</v>
      </c>
      <c r="J361" s="7" t="s">
        <v>721</v>
      </c>
      <c r="K361" s="25" t="s">
        <v>225</v>
      </c>
    </row>
    <row r="362" spans="1:11" x14ac:dyDescent="0.25">
      <c r="A362" s="12"/>
      <c r="B362" s="7" t="s">
        <v>222</v>
      </c>
      <c r="C362" s="25">
        <v>20030876</v>
      </c>
      <c r="D362" s="7" t="s">
        <v>2260</v>
      </c>
      <c r="E362" s="26">
        <v>1</v>
      </c>
      <c r="F362" s="7" t="s">
        <v>225</v>
      </c>
      <c r="G362" s="7" t="s">
        <v>219</v>
      </c>
      <c r="H362" s="19" t="str">
        <f t="shared" si="5"/>
        <v/>
      </c>
      <c r="I362" s="19" t="s">
        <v>221</v>
      </c>
      <c r="J362" s="7" t="s">
        <v>327</v>
      </c>
      <c r="K362" s="25" t="s">
        <v>225</v>
      </c>
    </row>
    <row r="363" spans="1:11" x14ac:dyDescent="0.25">
      <c r="A363" s="12"/>
      <c r="B363" s="7" t="s">
        <v>233</v>
      </c>
      <c r="C363" s="25">
        <v>20031029</v>
      </c>
      <c r="D363" s="7" t="s">
        <v>2269</v>
      </c>
      <c r="E363" s="26">
        <v>1</v>
      </c>
      <c r="F363" s="7" t="s">
        <v>225</v>
      </c>
      <c r="G363" s="7" t="s">
        <v>219</v>
      </c>
      <c r="H363" s="19" t="str">
        <f t="shared" si="5"/>
        <v/>
      </c>
      <c r="I363" s="19" t="s">
        <v>328</v>
      </c>
      <c r="J363" s="7" t="s">
        <v>313</v>
      </c>
      <c r="K363" s="25" t="s">
        <v>225</v>
      </c>
    </row>
    <row r="364" spans="1:11" x14ac:dyDescent="0.25">
      <c r="A364" s="12"/>
      <c r="B364" s="7" t="s">
        <v>222</v>
      </c>
      <c r="C364" s="25">
        <v>20031718</v>
      </c>
      <c r="D364" s="7" t="s">
        <v>2331</v>
      </c>
      <c r="E364" s="26">
        <v>1</v>
      </c>
      <c r="F364" s="7" t="s">
        <v>225</v>
      </c>
      <c r="G364" s="7" t="s">
        <v>219</v>
      </c>
      <c r="H364" s="19" t="str">
        <f t="shared" si="5"/>
        <v/>
      </c>
      <c r="I364" s="19" t="s">
        <v>221</v>
      </c>
      <c r="J364" s="7" t="s">
        <v>347</v>
      </c>
      <c r="K364" s="25" t="s">
        <v>225</v>
      </c>
    </row>
    <row r="365" spans="1:11" x14ac:dyDescent="0.25">
      <c r="A365" s="12"/>
      <c r="B365" s="7" t="s">
        <v>222</v>
      </c>
      <c r="C365" s="25">
        <v>20031719</v>
      </c>
      <c r="D365" s="7" t="s">
        <v>2332</v>
      </c>
      <c r="E365" s="26">
        <v>1</v>
      </c>
      <c r="F365" s="7" t="s">
        <v>225</v>
      </c>
      <c r="G365" s="7" t="s">
        <v>219</v>
      </c>
      <c r="H365" s="19" t="str">
        <f t="shared" si="5"/>
        <v/>
      </c>
      <c r="I365" s="19" t="s">
        <v>221</v>
      </c>
      <c r="J365" s="7" t="s">
        <v>347</v>
      </c>
      <c r="K365" s="25" t="s">
        <v>225</v>
      </c>
    </row>
    <row r="366" spans="1:11" x14ac:dyDescent="0.25">
      <c r="A366" s="12"/>
      <c r="B366" s="7" t="s">
        <v>227</v>
      </c>
      <c r="C366" s="25">
        <v>20031720</v>
      </c>
      <c r="D366" s="7" t="s">
        <v>2333</v>
      </c>
      <c r="E366" s="26">
        <v>1</v>
      </c>
      <c r="F366" s="7" t="s">
        <v>225</v>
      </c>
      <c r="G366" s="7" t="s">
        <v>219</v>
      </c>
      <c r="H366" s="19" t="str">
        <f t="shared" si="5"/>
        <v/>
      </c>
      <c r="I366" s="19" t="s">
        <v>37</v>
      </c>
      <c r="J366" s="7" t="s">
        <v>238</v>
      </c>
      <c r="K366" s="25" t="s">
        <v>225</v>
      </c>
    </row>
    <row r="367" spans="1:11" x14ac:dyDescent="0.25">
      <c r="A367" s="12"/>
      <c r="B367" s="7" t="s">
        <v>222</v>
      </c>
      <c r="C367" s="25">
        <v>20031735</v>
      </c>
      <c r="D367" s="7" t="s">
        <v>2335</v>
      </c>
      <c r="E367" s="26">
        <v>1</v>
      </c>
      <c r="F367" s="7" t="s">
        <v>225</v>
      </c>
      <c r="G367" s="7" t="s">
        <v>219</v>
      </c>
      <c r="H367" s="19" t="str">
        <f t="shared" si="5"/>
        <v/>
      </c>
      <c r="I367" s="19" t="s">
        <v>221</v>
      </c>
      <c r="J367" s="7" t="s">
        <v>333</v>
      </c>
      <c r="K367" s="25" t="s">
        <v>225</v>
      </c>
    </row>
    <row r="368" spans="1:11" x14ac:dyDescent="0.25">
      <c r="A368" s="12"/>
      <c r="B368" s="7" t="s">
        <v>222</v>
      </c>
      <c r="C368" s="25">
        <v>20031894</v>
      </c>
      <c r="D368" s="7" t="s">
        <v>2382</v>
      </c>
      <c r="E368" s="26">
        <v>1</v>
      </c>
      <c r="F368" s="7" t="s">
        <v>225</v>
      </c>
      <c r="G368" s="7" t="s">
        <v>219</v>
      </c>
      <c r="H368" s="19" t="str">
        <f t="shared" si="5"/>
        <v/>
      </c>
      <c r="I368" s="19" t="s">
        <v>221</v>
      </c>
      <c r="J368" s="7" t="s">
        <v>348</v>
      </c>
      <c r="K368" s="25" t="s">
        <v>225</v>
      </c>
    </row>
    <row r="369" spans="1:11" x14ac:dyDescent="0.25">
      <c r="A369" s="12"/>
      <c r="B369" s="7" t="s">
        <v>222</v>
      </c>
      <c r="C369" s="25">
        <v>20031987</v>
      </c>
      <c r="D369" s="7" t="s">
        <v>2389</v>
      </c>
      <c r="E369" s="26">
        <v>1</v>
      </c>
      <c r="F369" s="7" t="s">
        <v>225</v>
      </c>
      <c r="G369" s="7" t="s">
        <v>219</v>
      </c>
      <c r="H369" s="19" t="str">
        <f t="shared" si="5"/>
        <v/>
      </c>
      <c r="I369" s="19" t="s">
        <v>221</v>
      </c>
      <c r="J369" s="7" t="s">
        <v>309</v>
      </c>
      <c r="K369" s="25" t="s">
        <v>225</v>
      </c>
    </row>
    <row r="370" spans="1:11" x14ac:dyDescent="0.25">
      <c r="A370" s="12"/>
      <c r="B370" s="7" t="s">
        <v>222</v>
      </c>
      <c r="C370" s="25">
        <v>20032101</v>
      </c>
      <c r="D370" s="7" t="s">
        <v>2409</v>
      </c>
      <c r="E370" s="26">
        <v>1</v>
      </c>
      <c r="F370" s="7" t="s">
        <v>225</v>
      </c>
      <c r="G370" s="7" t="s">
        <v>219</v>
      </c>
      <c r="H370" s="19" t="str">
        <f t="shared" si="5"/>
        <v/>
      </c>
      <c r="I370" s="19" t="s">
        <v>221</v>
      </c>
      <c r="J370" s="7" t="s">
        <v>327</v>
      </c>
      <c r="K370" s="25" t="s">
        <v>225</v>
      </c>
    </row>
    <row r="371" spans="1:11" x14ac:dyDescent="0.25">
      <c r="A371" s="12"/>
      <c r="B371" s="7" t="s">
        <v>223</v>
      </c>
      <c r="C371" s="25">
        <v>20032102</v>
      </c>
      <c r="D371" s="7" t="s">
        <v>2410</v>
      </c>
      <c r="E371" s="26">
        <v>3</v>
      </c>
      <c r="F371" s="7" t="s">
        <v>225</v>
      </c>
      <c r="G371" s="7" t="s">
        <v>219</v>
      </c>
      <c r="H371" s="19" t="str">
        <f t="shared" si="5"/>
        <v/>
      </c>
      <c r="I371" s="19" t="s">
        <v>221</v>
      </c>
      <c r="J371" s="7" t="s">
        <v>315</v>
      </c>
      <c r="K371" s="25" t="s">
        <v>225</v>
      </c>
    </row>
    <row r="372" spans="1:11" x14ac:dyDescent="0.25">
      <c r="A372" s="12"/>
      <c r="B372" s="7" t="s">
        <v>222</v>
      </c>
      <c r="C372" s="25">
        <v>20032124</v>
      </c>
      <c r="D372" s="7" t="s">
        <v>2417</v>
      </c>
      <c r="E372" s="26">
        <v>1</v>
      </c>
      <c r="F372" s="7" t="s">
        <v>225</v>
      </c>
      <c r="G372" s="7" t="s">
        <v>219</v>
      </c>
      <c r="H372" s="19" t="str">
        <f t="shared" si="5"/>
        <v/>
      </c>
      <c r="I372" s="19" t="s">
        <v>221</v>
      </c>
      <c r="J372" s="7" t="s">
        <v>347</v>
      </c>
      <c r="K372" s="25" t="s">
        <v>225</v>
      </c>
    </row>
    <row r="373" spans="1:11" x14ac:dyDescent="0.25">
      <c r="A373" s="12"/>
      <c r="B373" s="7" t="s">
        <v>233</v>
      </c>
      <c r="C373" s="25">
        <v>20032144</v>
      </c>
      <c r="D373" s="7" t="s">
        <v>2421</v>
      </c>
      <c r="E373" s="26">
        <v>1</v>
      </c>
      <c r="F373" s="7" t="s">
        <v>225</v>
      </c>
      <c r="G373" s="7" t="s">
        <v>219</v>
      </c>
      <c r="H373" s="19" t="str">
        <f t="shared" si="5"/>
        <v/>
      </c>
      <c r="I373" s="19" t="s">
        <v>328</v>
      </c>
      <c r="J373" s="7" t="s">
        <v>313</v>
      </c>
      <c r="K373" s="25" t="s">
        <v>225</v>
      </c>
    </row>
    <row r="374" spans="1:11" x14ac:dyDescent="0.25">
      <c r="A374" s="12"/>
      <c r="B374" s="7" t="s">
        <v>230</v>
      </c>
      <c r="C374" s="25">
        <v>20032274</v>
      </c>
      <c r="D374" s="7" t="s">
        <v>2432</v>
      </c>
      <c r="E374" s="26">
        <v>1</v>
      </c>
      <c r="F374" s="7" t="s">
        <v>225</v>
      </c>
      <c r="G374" s="7" t="s">
        <v>219</v>
      </c>
      <c r="H374" s="19" t="str">
        <f t="shared" si="5"/>
        <v/>
      </c>
      <c r="I374" s="19" t="s">
        <v>910</v>
      </c>
      <c r="J374" s="7" t="s">
        <v>313</v>
      </c>
      <c r="K374" s="25" t="s">
        <v>225</v>
      </c>
    </row>
    <row r="375" spans="1:11" x14ac:dyDescent="0.25">
      <c r="A375" s="12"/>
      <c r="B375" s="7" t="s">
        <v>230</v>
      </c>
      <c r="C375" s="25">
        <v>20032532</v>
      </c>
      <c r="D375" s="7" t="s">
        <v>2443</v>
      </c>
      <c r="E375" s="26">
        <v>1</v>
      </c>
      <c r="F375" s="7" t="s">
        <v>225</v>
      </c>
      <c r="G375" s="7" t="s">
        <v>219</v>
      </c>
      <c r="H375" s="19" t="str">
        <f t="shared" si="5"/>
        <v/>
      </c>
      <c r="I375" s="19" t="s">
        <v>910</v>
      </c>
      <c r="J375" s="7" t="s">
        <v>942</v>
      </c>
      <c r="K375" s="25" t="s">
        <v>225</v>
      </c>
    </row>
    <row r="376" spans="1:11" x14ac:dyDescent="0.25">
      <c r="A376" s="12"/>
      <c r="B376" s="7" t="s">
        <v>230</v>
      </c>
      <c r="C376" s="25">
        <v>20032539</v>
      </c>
      <c r="D376" s="7" t="s">
        <v>2444</v>
      </c>
      <c r="E376" s="26">
        <v>1</v>
      </c>
      <c r="F376" s="7" t="s">
        <v>225</v>
      </c>
      <c r="G376" s="7" t="s">
        <v>219</v>
      </c>
      <c r="H376" s="19" t="str">
        <f t="shared" si="5"/>
        <v/>
      </c>
      <c r="I376" s="19" t="s">
        <v>910</v>
      </c>
      <c r="J376" s="7" t="s">
        <v>942</v>
      </c>
      <c r="K376" s="25" t="s">
        <v>225</v>
      </c>
    </row>
    <row r="377" spans="1:11" x14ac:dyDescent="0.25">
      <c r="A377" s="12"/>
      <c r="B377" s="7" t="s">
        <v>230</v>
      </c>
      <c r="C377" s="25">
        <v>20032541</v>
      </c>
      <c r="D377" s="7" t="s">
        <v>2445</v>
      </c>
      <c r="E377" s="26">
        <v>1</v>
      </c>
      <c r="F377" s="7" t="s">
        <v>225</v>
      </c>
      <c r="G377" s="7" t="s">
        <v>219</v>
      </c>
      <c r="H377" s="19" t="str">
        <f t="shared" si="5"/>
        <v/>
      </c>
      <c r="I377" s="19" t="s">
        <v>910</v>
      </c>
      <c r="J377" s="7" t="s">
        <v>942</v>
      </c>
      <c r="K377" s="25" t="s">
        <v>225</v>
      </c>
    </row>
    <row r="378" spans="1:11" x14ac:dyDescent="0.25">
      <c r="A378" s="12"/>
      <c r="B378" s="7" t="s">
        <v>222</v>
      </c>
      <c r="C378" s="25">
        <v>20032820</v>
      </c>
      <c r="D378" s="7" t="s">
        <v>2491</v>
      </c>
      <c r="E378" s="26">
        <v>1</v>
      </c>
      <c r="F378" s="7" t="s">
        <v>225</v>
      </c>
      <c r="G378" s="7" t="s">
        <v>219</v>
      </c>
      <c r="H378" s="19" t="str">
        <f t="shared" si="5"/>
        <v/>
      </c>
      <c r="I378" s="19" t="s">
        <v>221</v>
      </c>
      <c r="J378" s="7" t="s">
        <v>397</v>
      </c>
      <c r="K378" s="25" t="s">
        <v>225</v>
      </c>
    </row>
    <row r="379" spans="1:11" x14ac:dyDescent="0.25">
      <c r="A379" s="12"/>
      <c r="B379" s="7" t="s">
        <v>230</v>
      </c>
      <c r="C379" s="25">
        <v>20033293</v>
      </c>
      <c r="D379" s="7" t="s">
        <v>2529</v>
      </c>
      <c r="E379" s="26">
        <v>1</v>
      </c>
      <c r="F379" s="7" t="s">
        <v>225</v>
      </c>
      <c r="G379" s="7" t="s">
        <v>219</v>
      </c>
      <c r="H379" s="19" t="str">
        <f t="shared" si="5"/>
        <v/>
      </c>
      <c r="I379" s="19" t="s">
        <v>910</v>
      </c>
      <c r="J379" s="7" t="s">
        <v>309</v>
      </c>
      <c r="K379" s="25" t="s">
        <v>225</v>
      </c>
    </row>
    <row r="380" spans="1:11" x14ac:dyDescent="0.25">
      <c r="A380" s="12"/>
      <c r="B380" s="7" t="s">
        <v>222</v>
      </c>
      <c r="C380" s="25">
        <v>20033505</v>
      </c>
      <c r="D380" s="7" t="s">
        <v>2543</v>
      </c>
      <c r="E380" s="26">
        <v>1</v>
      </c>
      <c r="F380" s="7" t="s">
        <v>225</v>
      </c>
      <c r="G380" s="7" t="s">
        <v>219</v>
      </c>
      <c r="H380" s="19" t="str">
        <f t="shared" si="5"/>
        <v/>
      </c>
      <c r="I380" s="19" t="s">
        <v>221</v>
      </c>
      <c r="J380" s="7" t="s">
        <v>327</v>
      </c>
      <c r="K380" s="25" t="s">
        <v>225</v>
      </c>
    </row>
    <row r="381" spans="1:11" x14ac:dyDescent="0.25">
      <c r="A381" s="12"/>
      <c r="B381" s="7" t="s">
        <v>230</v>
      </c>
      <c r="C381" s="25">
        <v>20033584</v>
      </c>
      <c r="D381" s="7" t="s">
        <v>2548</v>
      </c>
      <c r="E381" s="26">
        <v>1</v>
      </c>
      <c r="F381" s="7" t="s">
        <v>352</v>
      </c>
      <c r="G381" s="7" t="s">
        <v>202</v>
      </c>
      <c r="H381" s="19" t="str">
        <f t="shared" si="5"/>
        <v/>
      </c>
      <c r="I381" s="19" t="s">
        <v>910</v>
      </c>
      <c r="J381" s="7" t="s">
        <v>397</v>
      </c>
      <c r="K381" s="25" t="s">
        <v>352</v>
      </c>
    </row>
    <row r="382" spans="1:11" x14ac:dyDescent="0.25">
      <c r="A382" s="12"/>
      <c r="B382" s="7" t="s">
        <v>230</v>
      </c>
      <c r="C382" s="25">
        <v>20033585</v>
      </c>
      <c r="D382" s="7" t="s">
        <v>2549</v>
      </c>
      <c r="E382" s="26">
        <v>1</v>
      </c>
      <c r="F382" s="7" t="s">
        <v>352</v>
      </c>
      <c r="G382" s="7" t="s">
        <v>202</v>
      </c>
      <c r="H382" s="19" t="str">
        <f t="shared" si="5"/>
        <v/>
      </c>
      <c r="I382" s="19" t="s">
        <v>910</v>
      </c>
      <c r="J382" s="7" t="s">
        <v>397</v>
      </c>
      <c r="K382" s="25" t="s">
        <v>352</v>
      </c>
    </row>
    <row r="383" spans="1:11" x14ac:dyDescent="0.25">
      <c r="A383" s="12"/>
      <c r="B383" s="7" t="s">
        <v>223</v>
      </c>
      <c r="C383" s="25">
        <v>20033593</v>
      </c>
      <c r="D383" s="7" t="s">
        <v>2551</v>
      </c>
      <c r="E383" s="26">
        <v>50</v>
      </c>
      <c r="F383" s="7" t="s">
        <v>225</v>
      </c>
      <c r="G383" s="7" t="s">
        <v>219</v>
      </c>
      <c r="H383" s="19" t="str">
        <f t="shared" si="5"/>
        <v/>
      </c>
      <c r="I383" s="19" t="s">
        <v>221</v>
      </c>
      <c r="J383" s="7" t="s">
        <v>311</v>
      </c>
      <c r="K383" s="25" t="s">
        <v>225</v>
      </c>
    </row>
    <row r="384" spans="1:11" x14ac:dyDescent="0.25">
      <c r="A384" s="12"/>
      <c r="B384" s="7" t="s">
        <v>222</v>
      </c>
      <c r="C384" s="25">
        <v>20033773</v>
      </c>
      <c r="D384" s="7" t="s">
        <v>2592</v>
      </c>
      <c r="E384" s="26">
        <v>1</v>
      </c>
      <c r="F384" s="7" t="s">
        <v>225</v>
      </c>
      <c r="G384" s="7" t="s">
        <v>219</v>
      </c>
      <c r="H384" s="19" t="str">
        <f t="shared" si="5"/>
        <v/>
      </c>
      <c r="I384" s="19" t="s">
        <v>221</v>
      </c>
      <c r="J384" s="7" t="s">
        <v>1096</v>
      </c>
      <c r="K384" s="25" t="s">
        <v>225</v>
      </c>
    </row>
    <row r="385" spans="1:11" x14ac:dyDescent="0.25">
      <c r="A385" s="12"/>
      <c r="B385" s="7" t="s">
        <v>228</v>
      </c>
      <c r="C385" s="25">
        <v>20033800</v>
      </c>
      <c r="D385" s="7" t="s">
        <v>2603</v>
      </c>
      <c r="E385" s="26">
        <v>1</v>
      </c>
      <c r="F385" s="7" t="s">
        <v>225</v>
      </c>
      <c r="G385" s="7" t="s">
        <v>219</v>
      </c>
      <c r="H385" s="19" t="str">
        <f t="shared" si="5"/>
        <v/>
      </c>
      <c r="I385" s="19" t="s">
        <v>1115</v>
      </c>
      <c r="J385" s="7" t="s">
        <v>337</v>
      </c>
      <c r="K385" s="25" t="s">
        <v>225</v>
      </c>
    </row>
    <row r="386" spans="1:11" x14ac:dyDescent="0.25">
      <c r="A386" s="12"/>
      <c r="B386" s="7" t="s">
        <v>228</v>
      </c>
      <c r="C386" s="25">
        <v>20033801</v>
      </c>
      <c r="D386" s="7" t="s">
        <v>2604</v>
      </c>
      <c r="E386" s="26">
        <v>1</v>
      </c>
      <c r="F386" s="7" t="s">
        <v>225</v>
      </c>
      <c r="G386" s="7" t="s">
        <v>219</v>
      </c>
      <c r="H386" s="19" t="str">
        <f t="shared" si="5"/>
        <v/>
      </c>
      <c r="I386" s="19" t="s">
        <v>1115</v>
      </c>
      <c r="J386" s="7" t="s">
        <v>337</v>
      </c>
      <c r="K386" s="25" t="s">
        <v>225</v>
      </c>
    </row>
    <row r="387" spans="1:11" x14ac:dyDescent="0.25">
      <c r="A387" s="12"/>
      <c r="B387" s="7" t="s">
        <v>228</v>
      </c>
      <c r="C387" s="25">
        <v>20033803</v>
      </c>
      <c r="D387" s="7" t="s">
        <v>2606</v>
      </c>
      <c r="E387" s="26">
        <v>1</v>
      </c>
      <c r="F387" s="7" t="s">
        <v>225</v>
      </c>
      <c r="G387" s="7" t="s">
        <v>219</v>
      </c>
      <c r="H387" s="19" t="str">
        <f t="shared" si="5"/>
        <v/>
      </c>
      <c r="I387" s="19" t="s">
        <v>1115</v>
      </c>
      <c r="J387" s="7" t="s">
        <v>337</v>
      </c>
      <c r="K387" s="25" t="s">
        <v>225</v>
      </c>
    </row>
    <row r="388" spans="1:11" x14ac:dyDescent="0.25">
      <c r="A388" s="12"/>
      <c r="B388" s="7" t="s">
        <v>222</v>
      </c>
      <c r="C388" s="25">
        <v>20033818</v>
      </c>
      <c r="D388" s="7" t="s">
        <v>2612</v>
      </c>
      <c r="E388" s="26">
        <v>1</v>
      </c>
      <c r="F388" s="7" t="s">
        <v>225</v>
      </c>
      <c r="G388" s="7" t="s">
        <v>219</v>
      </c>
      <c r="H388" s="19" t="str">
        <f t="shared" si="5"/>
        <v/>
      </c>
      <c r="I388" s="19" t="s">
        <v>221</v>
      </c>
      <c r="J388" s="7" t="s">
        <v>315</v>
      </c>
      <c r="K388" s="25" t="s">
        <v>225</v>
      </c>
    </row>
    <row r="389" spans="1:11" x14ac:dyDescent="0.25">
      <c r="A389" s="12"/>
      <c r="B389" s="7" t="s">
        <v>222</v>
      </c>
      <c r="C389" s="25">
        <v>20033948</v>
      </c>
      <c r="D389" s="7" t="s">
        <v>2630</v>
      </c>
      <c r="E389" s="26">
        <v>1</v>
      </c>
      <c r="F389" s="7" t="s">
        <v>225</v>
      </c>
      <c r="G389" s="7" t="s">
        <v>219</v>
      </c>
      <c r="H389" s="19" t="str">
        <f t="shared" si="5"/>
        <v/>
      </c>
      <c r="I389" s="19" t="s">
        <v>221</v>
      </c>
      <c r="J389" s="7" t="s">
        <v>721</v>
      </c>
      <c r="K389" s="25" t="s">
        <v>225</v>
      </c>
    </row>
    <row r="390" spans="1:11" x14ac:dyDescent="0.25">
      <c r="A390" s="12"/>
      <c r="B390" s="7" t="s">
        <v>233</v>
      </c>
      <c r="C390" s="25">
        <v>20033999</v>
      </c>
      <c r="D390" s="7" t="s">
        <v>2655</v>
      </c>
      <c r="E390" s="26">
        <v>1</v>
      </c>
      <c r="F390" s="7" t="s">
        <v>225</v>
      </c>
      <c r="G390" s="7" t="s">
        <v>219</v>
      </c>
      <c r="H390" s="19" t="str">
        <f t="shared" si="5"/>
        <v/>
      </c>
      <c r="I390" s="19" t="s">
        <v>328</v>
      </c>
      <c r="J390" s="7" t="s">
        <v>313</v>
      </c>
      <c r="K390" s="25" t="s">
        <v>225</v>
      </c>
    </row>
    <row r="391" spans="1:11" x14ac:dyDescent="0.25">
      <c r="A391" s="12"/>
      <c r="B391" s="7" t="s">
        <v>222</v>
      </c>
      <c r="C391" s="25">
        <v>20034090</v>
      </c>
      <c r="D391" s="7" t="s">
        <v>2662</v>
      </c>
      <c r="E391" s="26">
        <v>1</v>
      </c>
      <c r="F391" s="7" t="s">
        <v>225</v>
      </c>
      <c r="G391" s="7" t="s">
        <v>219</v>
      </c>
      <c r="H391" s="19" t="str">
        <f t="shared" si="5"/>
        <v/>
      </c>
      <c r="I391" s="19" t="s">
        <v>221</v>
      </c>
      <c r="J391" s="7" t="s">
        <v>347</v>
      </c>
      <c r="K391" s="25" t="s">
        <v>225</v>
      </c>
    </row>
    <row r="392" spans="1:11" x14ac:dyDescent="0.25">
      <c r="A392" s="12"/>
      <c r="B392" s="7" t="s">
        <v>222</v>
      </c>
      <c r="C392" s="25">
        <v>20034209</v>
      </c>
      <c r="D392" s="7" t="s">
        <v>2677</v>
      </c>
      <c r="E392" s="26">
        <v>1</v>
      </c>
      <c r="F392" s="7" t="s">
        <v>225</v>
      </c>
      <c r="G392" s="7" t="s">
        <v>219</v>
      </c>
      <c r="H392" s="19" t="str">
        <f t="shared" si="5"/>
        <v/>
      </c>
      <c r="I392" s="19" t="s">
        <v>221</v>
      </c>
      <c r="J392" s="7" t="s">
        <v>721</v>
      </c>
      <c r="K392" s="25" t="s">
        <v>225</v>
      </c>
    </row>
    <row r="393" spans="1:11" x14ac:dyDescent="0.25">
      <c r="A393" s="12"/>
      <c r="B393" s="7" t="s">
        <v>223</v>
      </c>
      <c r="C393" s="25">
        <v>20034246</v>
      </c>
      <c r="D393" s="7" t="s">
        <v>2686</v>
      </c>
      <c r="E393" s="26">
        <v>1</v>
      </c>
      <c r="F393" s="7" t="s">
        <v>225</v>
      </c>
      <c r="G393" s="7" t="s">
        <v>219</v>
      </c>
      <c r="H393" s="19" t="str">
        <f t="shared" si="5"/>
        <v/>
      </c>
      <c r="I393" s="19" t="s">
        <v>399</v>
      </c>
      <c r="J393" s="7" t="s">
        <v>311</v>
      </c>
      <c r="K393" s="25" t="s">
        <v>225</v>
      </c>
    </row>
    <row r="394" spans="1:11" x14ac:dyDescent="0.25">
      <c r="A394" s="12"/>
      <c r="B394" s="7" t="s">
        <v>228</v>
      </c>
      <c r="C394" s="25">
        <v>20034269</v>
      </c>
      <c r="D394" s="7" t="s">
        <v>2687</v>
      </c>
      <c r="E394" s="26">
        <v>1</v>
      </c>
      <c r="F394" s="7" t="s">
        <v>225</v>
      </c>
      <c r="G394" s="7" t="s">
        <v>219</v>
      </c>
      <c r="H394" s="19" t="str">
        <f t="shared" si="5"/>
        <v/>
      </c>
      <c r="I394" s="19" t="s">
        <v>1115</v>
      </c>
      <c r="J394" s="7" t="s">
        <v>337</v>
      </c>
      <c r="K394" s="25" t="s">
        <v>225</v>
      </c>
    </row>
    <row r="395" spans="1:11" x14ac:dyDescent="0.25">
      <c r="A395" s="12"/>
      <c r="B395" s="7" t="s">
        <v>231</v>
      </c>
      <c r="C395" s="25">
        <v>20034498</v>
      </c>
      <c r="D395" s="7" t="s">
        <v>2722</v>
      </c>
      <c r="E395" s="26">
        <v>1</v>
      </c>
      <c r="F395" s="7" t="s">
        <v>225</v>
      </c>
      <c r="G395" s="7" t="s">
        <v>219</v>
      </c>
      <c r="H395" s="19" t="str">
        <f t="shared" si="5"/>
        <v/>
      </c>
      <c r="I395" s="19" t="s">
        <v>1006</v>
      </c>
      <c r="J395" s="7" t="s">
        <v>337</v>
      </c>
      <c r="K395" s="25" t="s">
        <v>225</v>
      </c>
    </row>
    <row r="396" spans="1:11" x14ac:dyDescent="0.25">
      <c r="A396" s="12"/>
      <c r="B396" s="7" t="s">
        <v>231</v>
      </c>
      <c r="C396" s="25">
        <v>20034499</v>
      </c>
      <c r="D396" s="7" t="s">
        <v>2723</v>
      </c>
      <c r="E396" s="26">
        <v>1</v>
      </c>
      <c r="F396" s="7" t="s">
        <v>225</v>
      </c>
      <c r="G396" s="7" t="s">
        <v>219</v>
      </c>
      <c r="H396" s="19" t="str">
        <f t="shared" si="5"/>
        <v/>
      </c>
      <c r="I396" s="19" t="s">
        <v>1006</v>
      </c>
      <c r="J396" s="7" t="s">
        <v>337</v>
      </c>
      <c r="K396" s="25" t="s">
        <v>225</v>
      </c>
    </row>
    <row r="397" spans="1:11" x14ac:dyDescent="0.25">
      <c r="A397" s="12"/>
      <c r="B397" s="7" t="s">
        <v>222</v>
      </c>
      <c r="C397" s="25">
        <v>20034508</v>
      </c>
      <c r="D397" s="7" t="s">
        <v>2724</v>
      </c>
      <c r="E397" s="26">
        <v>1</v>
      </c>
      <c r="F397" s="7" t="s">
        <v>225</v>
      </c>
      <c r="G397" s="7" t="s">
        <v>219</v>
      </c>
      <c r="H397" s="19" t="str">
        <f t="shared" si="5"/>
        <v/>
      </c>
      <c r="I397" s="19" t="s">
        <v>221</v>
      </c>
      <c r="J397" s="7" t="s">
        <v>397</v>
      </c>
      <c r="K397" s="25" t="s">
        <v>225</v>
      </c>
    </row>
    <row r="398" spans="1:11" x14ac:dyDescent="0.25">
      <c r="A398" s="12"/>
      <c r="B398" s="7" t="s">
        <v>223</v>
      </c>
      <c r="C398" s="25">
        <v>20034560</v>
      </c>
      <c r="D398" s="7" t="s">
        <v>2735</v>
      </c>
      <c r="E398" s="26">
        <v>3</v>
      </c>
      <c r="F398" s="7" t="s">
        <v>225</v>
      </c>
      <c r="G398" s="7" t="s">
        <v>219</v>
      </c>
      <c r="H398" s="19" t="str">
        <f t="shared" si="5"/>
        <v/>
      </c>
      <c r="I398" s="19" t="s">
        <v>221</v>
      </c>
      <c r="J398" s="7" t="s">
        <v>315</v>
      </c>
      <c r="K398" s="25" t="s">
        <v>225</v>
      </c>
    </row>
    <row r="399" spans="1:11" x14ac:dyDescent="0.25">
      <c r="A399" s="12"/>
      <c r="B399" s="7" t="s">
        <v>2744</v>
      </c>
      <c r="C399" s="25">
        <v>20034708</v>
      </c>
      <c r="D399" s="7" t="s">
        <v>2743</v>
      </c>
      <c r="E399" s="26">
        <v>250</v>
      </c>
      <c r="F399" s="7" t="s">
        <v>225</v>
      </c>
      <c r="G399" s="7" t="s">
        <v>219</v>
      </c>
      <c r="H399" s="19" t="str">
        <f t="shared" ref="H399:H462" si="6">IF(A399="", "", A399*E399)</f>
        <v/>
      </c>
      <c r="I399" s="19" t="s">
        <v>37</v>
      </c>
      <c r="J399" s="7" t="s">
        <v>942</v>
      </c>
      <c r="K399" s="25" t="s">
        <v>225</v>
      </c>
    </row>
    <row r="400" spans="1:11" x14ac:dyDescent="0.25">
      <c r="A400" s="12"/>
      <c r="B400" s="7" t="s">
        <v>230</v>
      </c>
      <c r="C400" s="25">
        <v>20034719</v>
      </c>
      <c r="D400" s="7" t="s">
        <v>2747</v>
      </c>
      <c r="E400" s="26">
        <v>1</v>
      </c>
      <c r="F400" s="7" t="s">
        <v>225</v>
      </c>
      <c r="G400" s="7" t="s">
        <v>219</v>
      </c>
      <c r="H400" s="19" t="str">
        <f t="shared" si="6"/>
        <v/>
      </c>
      <c r="I400" s="19" t="s">
        <v>910</v>
      </c>
      <c r="J400" s="7" t="s">
        <v>327</v>
      </c>
      <c r="K400" s="25" t="s">
        <v>225</v>
      </c>
    </row>
    <row r="401" spans="1:11" x14ac:dyDescent="0.25">
      <c r="A401" s="12"/>
      <c r="B401" s="7" t="s">
        <v>223</v>
      </c>
      <c r="C401" s="25">
        <v>20034828</v>
      </c>
      <c r="D401" s="7" t="s">
        <v>2770</v>
      </c>
      <c r="E401" s="26">
        <v>1</v>
      </c>
      <c r="F401" s="7" t="s">
        <v>225</v>
      </c>
      <c r="G401" s="7" t="s">
        <v>219</v>
      </c>
      <c r="H401" s="19" t="str">
        <f t="shared" si="6"/>
        <v/>
      </c>
      <c r="I401" s="19" t="s">
        <v>399</v>
      </c>
      <c r="J401" s="7" t="s">
        <v>311</v>
      </c>
      <c r="K401" s="25" t="s">
        <v>225</v>
      </c>
    </row>
    <row r="402" spans="1:11" x14ac:dyDescent="0.25">
      <c r="A402" s="12"/>
      <c r="B402" s="7" t="s">
        <v>222</v>
      </c>
      <c r="C402" s="25">
        <v>20034840</v>
      </c>
      <c r="D402" s="7" t="s">
        <v>2773</v>
      </c>
      <c r="E402" s="26">
        <v>1</v>
      </c>
      <c r="F402" s="7" t="s">
        <v>352</v>
      </c>
      <c r="G402" s="7" t="s">
        <v>202</v>
      </c>
      <c r="H402" s="19" t="str">
        <f t="shared" si="6"/>
        <v/>
      </c>
      <c r="I402" s="19" t="s">
        <v>221</v>
      </c>
      <c r="J402" s="7" t="s">
        <v>397</v>
      </c>
      <c r="K402" s="25" t="s">
        <v>352</v>
      </c>
    </row>
    <row r="403" spans="1:11" x14ac:dyDescent="0.25">
      <c r="A403" s="12"/>
      <c r="B403" s="7" t="s">
        <v>222</v>
      </c>
      <c r="C403" s="25">
        <v>20034876</v>
      </c>
      <c r="D403" s="7" t="s">
        <v>2783</v>
      </c>
      <c r="E403" s="26">
        <v>1</v>
      </c>
      <c r="F403" s="7" t="s">
        <v>225</v>
      </c>
      <c r="G403" s="7" t="s">
        <v>219</v>
      </c>
      <c r="H403" s="19" t="str">
        <f t="shared" si="6"/>
        <v/>
      </c>
      <c r="I403" s="19" t="s">
        <v>221</v>
      </c>
      <c r="J403" s="7" t="s">
        <v>721</v>
      </c>
      <c r="K403" s="25" t="s">
        <v>225</v>
      </c>
    </row>
    <row r="404" spans="1:11" x14ac:dyDescent="0.25">
      <c r="A404" s="12"/>
      <c r="B404" s="7" t="s">
        <v>222</v>
      </c>
      <c r="C404" s="25">
        <v>20034878</v>
      </c>
      <c r="D404" s="7" t="s">
        <v>2784</v>
      </c>
      <c r="E404" s="26">
        <v>1</v>
      </c>
      <c r="F404" s="7" t="s">
        <v>225</v>
      </c>
      <c r="G404" s="7" t="s">
        <v>219</v>
      </c>
      <c r="H404" s="19" t="str">
        <f t="shared" si="6"/>
        <v/>
      </c>
      <c r="I404" s="19" t="s">
        <v>221</v>
      </c>
      <c r="J404" s="7" t="s">
        <v>721</v>
      </c>
      <c r="K404" s="25" t="s">
        <v>225</v>
      </c>
    </row>
    <row r="405" spans="1:11" x14ac:dyDescent="0.25">
      <c r="A405" s="12"/>
      <c r="B405" s="7" t="s">
        <v>233</v>
      </c>
      <c r="C405" s="25">
        <v>20035066</v>
      </c>
      <c r="D405" s="7" t="s">
        <v>2862</v>
      </c>
      <c r="E405" s="26">
        <v>1</v>
      </c>
      <c r="F405" s="7" t="s">
        <v>225</v>
      </c>
      <c r="G405" s="7" t="s">
        <v>219</v>
      </c>
      <c r="H405" s="19" t="str">
        <f t="shared" si="6"/>
        <v/>
      </c>
      <c r="I405" s="19" t="s">
        <v>328</v>
      </c>
      <c r="J405" s="7" t="s">
        <v>313</v>
      </c>
      <c r="K405" s="25" t="s">
        <v>225</v>
      </c>
    </row>
    <row r="406" spans="1:11" x14ac:dyDescent="0.25">
      <c r="A406" s="12"/>
      <c r="B406" s="7" t="s">
        <v>223</v>
      </c>
      <c r="C406" s="25">
        <v>20035089</v>
      </c>
      <c r="D406" s="7" t="s">
        <v>2863</v>
      </c>
      <c r="E406" s="26">
        <v>3</v>
      </c>
      <c r="F406" s="7" t="s">
        <v>225</v>
      </c>
      <c r="G406" s="7" t="s">
        <v>219</v>
      </c>
      <c r="H406" s="19" t="str">
        <f t="shared" si="6"/>
        <v/>
      </c>
      <c r="I406" s="19" t="s">
        <v>221</v>
      </c>
      <c r="J406" s="7" t="s">
        <v>315</v>
      </c>
      <c r="K406" s="25" t="s">
        <v>225</v>
      </c>
    </row>
    <row r="407" spans="1:11" x14ac:dyDescent="0.25">
      <c r="A407" s="12"/>
      <c r="B407" s="7" t="s">
        <v>233</v>
      </c>
      <c r="C407" s="25">
        <v>20035639</v>
      </c>
      <c r="D407" s="7" t="s">
        <v>2990</v>
      </c>
      <c r="E407" s="26">
        <v>1</v>
      </c>
      <c r="F407" s="7" t="s">
        <v>225</v>
      </c>
      <c r="G407" s="7" t="s">
        <v>219</v>
      </c>
      <c r="H407" s="19" t="str">
        <f t="shared" si="6"/>
        <v/>
      </c>
      <c r="I407" s="19" t="s">
        <v>328</v>
      </c>
      <c r="J407" s="7" t="s">
        <v>313</v>
      </c>
      <c r="K407" s="25" t="s">
        <v>225</v>
      </c>
    </row>
    <row r="408" spans="1:11" x14ac:dyDescent="0.25">
      <c r="A408" s="12"/>
      <c r="B408" s="7" t="s">
        <v>233</v>
      </c>
      <c r="C408" s="25">
        <v>20035640</v>
      </c>
      <c r="D408" s="7" t="s">
        <v>2991</v>
      </c>
      <c r="E408" s="26">
        <v>1</v>
      </c>
      <c r="F408" s="7" t="s">
        <v>225</v>
      </c>
      <c r="G408" s="7" t="s">
        <v>219</v>
      </c>
      <c r="H408" s="19" t="str">
        <f t="shared" si="6"/>
        <v/>
      </c>
      <c r="I408" s="19" t="s">
        <v>328</v>
      </c>
      <c r="J408" s="7" t="s">
        <v>313</v>
      </c>
      <c r="K408" s="25" t="s">
        <v>225</v>
      </c>
    </row>
    <row r="409" spans="1:11" x14ac:dyDescent="0.25">
      <c r="A409" s="12"/>
      <c r="B409" s="7" t="s">
        <v>233</v>
      </c>
      <c r="C409" s="25">
        <v>20035641</v>
      </c>
      <c r="D409" s="7" t="s">
        <v>2992</v>
      </c>
      <c r="E409" s="26">
        <v>1</v>
      </c>
      <c r="F409" s="7" t="s">
        <v>352</v>
      </c>
      <c r="G409" s="7" t="s">
        <v>184</v>
      </c>
      <c r="H409" s="19" t="str">
        <f t="shared" si="6"/>
        <v/>
      </c>
      <c r="I409" s="19" t="s">
        <v>328</v>
      </c>
      <c r="J409" s="7" t="s">
        <v>313</v>
      </c>
      <c r="K409" s="25" t="s">
        <v>352</v>
      </c>
    </row>
    <row r="410" spans="1:11" x14ac:dyDescent="0.25">
      <c r="A410" s="12"/>
      <c r="B410" s="7" t="s">
        <v>230</v>
      </c>
      <c r="C410" s="25">
        <v>20035678</v>
      </c>
      <c r="D410" s="7" t="s">
        <v>3000</v>
      </c>
      <c r="E410" s="26">
        <v>1</v>
      </c>
      <c r="F410" s="7" t="s">
        <v>225</v>
      </c>
      <c r="G410" s="7" t="s">
        <v>219</v>
      </c>
      <c r="H410" s="19" t="str">
        <f t="shared" si="6"/>
        <v/>
      </c>
      <c r="I410" s="19" t="s">
        <v>910</v>
      </c>
      <c r="J410" s="7" t="s">
        <v>327</v>
      </c>
      <c r="K410" s="25" t="s">
        <v>225</v>
      </c>
    </row>
    <row r="411" spans="1:11" x14ac:dyDescent="0.25">
      <c r="A411" s="12"/>
      <c r="B411" s="7" t="s">
        <v>222</v>
      </c>
      <c r="C411" s="25">
        <v>20035838</v>
      </c>
      <c r="D411" s="7" t="s">
        <v>3032</v>
      </c>
      <c r="E411" s="26">
        <v>1</v>
      </c>
      <c r="F411" s="7" t="s">
        <v>225</v>
      </c>
      <c r="G411" s="7" t="s">
        <v>219</v>
      </c>
      <c r="H411" s="19" t="str">
        <f t="shared" si="6"/>
        <v/>
      </c>
      <c r="I411" s="19" t="s">
        <v>221</v>
      </c>
      <c r="J411" s="7" t="s">
        <v>327</v>
      </c>
      <c r="K411" s="25" t="s">
        <v>225</v>
      </c>
    </row>
    <row r="412" spans="1:11" x14ac:dyDescent="0.25">
      <c r="A412" s="12"/>
      <c r="B412" s="7" t="s">
        <v>222</v>
      </c>
      <c r="C412" s="25">
        <v>20035878</v>
      </c>
      <c r="D412" s="7" t="s">
        <v>3036</v>
      </c>
      <c r="E412" s="26">
        <v>1</v>
      </c>
      <c r="F412" s="7" t="s">
        <v>225</v>
      </c>
      <c r="G412" s="7" t="s">
        <v>219</v>
      </c>
      <c r="H412" s="19" t="str">
        <f t="shared" si="6"/>
        <v/>
      </c>
      <c r="I412" s="19" t="s">
        <v>221</v>
      </c>
      <c r="J412" s="7" t="s">
        <v>397</v>
      </c>
      <c r="K412" s="25" t="s">
        <v>225</v>
      </c>
    </row>
    <row r="413" spans="1:11" x14ac:dyDescent="0.25">
      <c r="A413" s="12"/>
      <c r="B413" s="7" t="s">
        <v>233</v>
      </c>
      <c r="C413" s="25">
        <v>20035990</v>
      </c>
      <c r="D413" s="7" t="s">
        <v>3062</v>
      </c>
      <c r="E413" s="26">
        <v>1</v>
      </c>
      <c r="F413" s="7" t="s">
        <v>225</v>
      </c>
      <c r="G413" s="7" t="s">
        <v>219</v>
      </c>
      <c r="H413" s="19" t="str">
        <f t="shared" si="6"/>
        <v/>
      </c>
      <c r="I413" s="19" t="s">
        <v>328</v>
      </c>
      <c r="J413" s="7" t="s">
        <v>313</v>
      </c>
      <c r="K413" s="25" t="s">
        <v>225</v>
      </c>
    </row>
    <row r="414" spans="1:11" x14ac:dyDescent="0.25">
      <c r="A414" s="12"/>
      <c r="B414" s="7" t="s">
        <v>343</v>
      </c>
      <c r="C414" s="25">
        <v>20036049</v>
      </c>
      <c r="D414" s="7" t="s">
        <v>3065</v>
      </c>
      <c r="E414" s="26">
        <v>1</v>
      </c>
      <c r="F414" s="7" t="s">
        <v>225</v>
      </c>
      <c r="G414" s="7" t="s">
        <v>219</v>
      </c>
      <c r="H414" s="19" t="str">
        <f t="shared" si="6"/>
        <v/>
      </c>
      <c r="I414" s="19" t="s">
        <v>912</v>
      </c>
      <c r="J414" s="7" t="s">
        <v>1945</v>
      </c>
      <c r="K414" s="25" t="s">
        <v>225</v>
      </c>
    </row>
    <row r="415" spans="1:11" x14ac:dyDescent="0.25">
      <c r="A415" s="12"/>
      <c r="B415" s="7" t="s">
        <v>222</v>
      </c>
      <c r="C415" s="25">
        <v>20036071</v>
      </c>
      <c r="D415" s="7" t="s">
        <v>3068</v>
      </c>
      <c r="E415" s="26">
        <v>1</v>
      </c>
      <c r="F415" s="7" t="s">
        <v>225</v>
      </c>
      <c r="G415" s="7" t="s">
        <v>219</v>
      </c>
      <c r="H415" s="19" t="str">
        <f t="shared" si="6"/>
        <v/>
      </c>
      <c r="I415" s="19" t="s">
        <v>221</v>
      </c>
      <c r="J415" s="7" t="s">
        <v>220</v>
      </c>
      <c r="K415" s="25" t="s">
        <v>225</v>
      </c>
    </row>
    <row r="416" spans="1:11" x14ac:dyDescent="0.25">
      <c r="A416" s="12"/>
      <c r="B416" s="7" t="s">
        <v>222</v>
      </c>
      <c r="C416" s="25">
        <v>20036072</v>
      </c>
      <c r="D416" s="7" t="s">
        <v>3069</v>
      </c>
      <c r="E416" s="26">
        <v>1</v>
      </c>
      <c r="F416" s="7" t="s">
        <v>225</v>
      </c>
      <c r="G416" s="7" t="s">
        <v>219</v>
      </c>
      <c r="H416" s="19" t="str">
        <f t="shared" si="6"/>
        <v/>
      </c>
      <c r="I416" s="19" t="s">
        <v>221</v>
      </c>
      <c r="J416" s="7" t="s">
        <v>220</v>
      </c>
      <c r="K416" s="25" t="s">
        <v>225</v>
      </c>
    </row>
    <row r="417" spans="1:11" x14ac:dyDescent="0.25">
      <c r="A417" s="12"/>
      <c r="B417" s="7" t="s">
        <v>230</v>
      </c>
      <c r="C417" s="25">
        <v>20036158</v>
      </c>
      <c r="D417" s="7" t="s">
        <v>3077</v>
      </c>
      <c r="E417" s="26">
        <v>1</v>
      </c>
      <c r="F417" s="7" t="s">
        <v>225</v>
      </c>
      <c r="G417" s="7" t="s">
        <v>219</v>
      </c>
      <c r="H417" s="19" t="str">
        <f t="shared" si="6"/>
        <v/>
      </c>
      <c r="I417" s="19" t="s">
        <v>910</v>
      </c>
      <c r="J417" s="7" t="s">
        <v>347</v>
      </c>
      <c r="K417" s="25" t="s">
        <v>225</v>
      </c>
    </row>
    <row r="418" spans="1:11" x14ac:dyDescent="0.25">
      <c r="A418" s="12"/>
      <c r="B418" s="7" t="s">
        <v>222</v>
      </c>
      <c r="C418" s="25">
        <v>20036181</v>
      </c>
      <c r="D418" s="7" t="s">
        <v>11025</v>
      </c>
      <c r="E418" s="26">
        <v>1</v>
      </c>
      <c r="F418" s="7" t="s">
        <v>225</v>
      </c>
      <c r="G418" s="7" t="s">
        <v>219</v>
      </c>
      <c r="H418" s="19" t="str">
        <f t="shared" si="6"/>
        <v/>
      </c>
      <c r="I418" s="19" t="s">
        <v>221</v>
      </c>
      <c r="J418" s="7" t="s">
        <v>347</v>
      </c>
      <c r="K418" s="25" t="s">
        <v>225</v>
      </c>
    </row>
    <row r="419" spans="1:11" x14ac:dyDescent="0.25">
      <c r="A419" s="12"/>
      <c r="B419" s="7" t="s">
        <v>1177</v>
      </c>
      <c r="C419" s="25">
        <v>20036268</v>
      </c>
      <c r="D419" s="7" t="s">
        <v>3103</v>
      </c>
      <c r="E419" s="26">
        <v>500</v>
      </c>
      <c r="F419" s="7" t="s">
        <v>225</v>
      </c>
      <c r="G419" s="7" t="s">
        <v>219</v>
      </c>
      <c r="H419" s="19" t="str">
        <f t="shared" si="6"/>
        <v/>
      </c>
      <c r="I419" s="19" t="s">
        <v>37</v>
      </c>
      <c r="J419" s="7" t="s">
        <v>402</v>
      </c>
      <c r="K419" s="25" t="s">
        <v>225</v>
      </c>
    </row>
    <row r="420" spans="1:11" x14ac:dyDescent="0.25">
      <c r="A420" s="12"/>
      <c r="B420" s="7" t="s">
        <v>1177</v>
      </c>
      <c r="C420" s="25">
        <v>20036269</v>
      </c>
      <c r="D420" s="7" t="s">
        <v>3104</v>
      </c>
      <c r="E420" s="26">
        <v>500</v>
      </c>
      <c r="F420" s="7" t="s">
        <v>225</v>
      </c>
      <c r="G420" s="7" t="s">
        <v>219</v>
      </c>
      <c r="H420" s="19" t="str">
        <f t="shared" si="6"/>
        <v/>
      </c>
      <c r="I420" s="19" t="s">
        <v>37</v>
      </c>
      <c r="J420" s="7" t="s">
        <v>402</v>
      </c>
      <c r="K420" s="25" t="s">
        <v>225</v>
      </c>
    </row>
    <row r="421" spans="1:11" x14ac:dyDescent="0.25">
      <c r="A421" s="12"/>
      <c r="B421" s="7" t="s">
        <v>227</v>
      </c>
      <c r="C421" s="25">
        <v>20036315</v>
      </c>
      <c r="D421" s="7" t="s">
        <v>3117</v>
      </c>
      <c r="E421" s="26">
        <v>1</v>
      </c>
      <c r="F421" s="7" t="s">
        <v>225</v>
      </c>
      <c r="G421" s="7" t="s">
        <v>219</v>
      </c>
      <c r="H421" s="19" t="str">
        <f t="shared" si="6"/>
        <v/>
      </c>
      <c r="I421" s="19" t="s">
        <v>37</v>
      </c>
      <c r="J421" s="7" t="s">
        <v>313</v>
      </c>
      <c r="K421" s="25" t="s">
        <v>225</v>
      </c>
    </row>
    <row r="422" spans="1:11" x14ac:dyDescent="0.25">
      <c r="A422" s="12"/>
      <c r="B422" s="7" t="s">
        <v>227</v>
      </c>
      <c r="C422" s="25">
        <v>20036316</v>
      </c>
      <c r="D422" s="7" t="s">
        <v>3118</v>
      </c>
      <c r="E422" s="26">
        <v>1</v>
      </c>
      <c r="F422" s="7" t="s">
        <v>225</v>
      </c>
      <c r="G422" s="7" t="s">
        <v>219</v>
      </c>
      <c r="H422" s="19" t="str">
        <f t="shared" si="6"/>
        <v/>
      </c>
      <c r="I422" s="19" t="s">
        <v>37</v>
      </c>
      <c r="J422" s="7" t="s">
        <v>313</v>
      </c>
      <c r="K422" s="25" t="s">
        <v>225</v>
      </c>
    </row>
    <row r="423" spans="1:11" x14ac:dyDescent="0.25">
      <c r="A423" s="12"/>
      <c r="B423" s="7" t="s">
        <v>229</v>
      </c>
      <c r="C423" s="25">
        <v>20036317</v>
      </c>
      <c r="D423" s="7" t="s">
        <v>3119</v>
      </c>
      <c r="E423" s="26">
        <v>50</v>
      </c>
      <c r="F423" s="7" t="s">
        <v>225</v>
      </c>
      <c r="G423" s="7" t="s">
        <v>219</v>
      </c>
      <c r="H423" s="19" t="str">
        <f t="shared" si="6"/>
        <v/>
      </c>
      <c r="I423" s="19" t="s">
        <v>37</v>
      </c>
      <c r="J423" s="7" t="s">
        <v>313</v>
      </c>
      <c r="K423" s="25" t="s">
        <v>225</v>
      </c>
    </row>
    <row r="424" spans="1:11" x14ac:dyDescent="0.25">
      <c r="A424" s="12"/>
      <c r="B424" s="7" t="s">
        <v>229</v>
      </c>
      <c r="C424" s="25">
        <v>20036328</v>
      </c>
      <c r="D424" s="7" t="s">
        <v>3121</v>
      </c>
      <c r="E424" s="26">
        <v>25</v>
      </c>
      <c r="F424" s="7" t="s">
        <v>225</v>
      </c>
      <c r="G424" s="7" t="s">
        <v>219</v>
      </c>
      <c r="H424" s="19" t="str">
        <f t="shared" si="6"/>
        <v/>
      </c>
      <c r="I424" s="19" t="s">
        <v>37</v>
      </c>
      <c r="J424" s="7" t="s">
        <v>313</v>
      </c>
      <c r="K424" s="25" t="s">
        <v>225</v>
      </c>
    </row>
    <row r="425" spans="1:11" x14ac:dyDescent="0.25">
      <c r="A425" s="12"/>
      <c r="B425" s="7" t="s">
        <v>222</v>
      </c>
      <c r="C425" s="25">
        <v>20036380</v>
      </c>
      <c r="D425" s="7" t="s">
        <v>3130</v>
      </c>
      <c r="E425" s="26">
        <v>1</v>
      </c>
      <c r="F425" s="7" t="s">
        <v>225</v>
      </c>
      <c r="G425" s="7" t="s">
        <v>219</v>
      </c>
      <c r="H425" s="19" t="str">
        <f t="shared" si="6"/>
        <v/>
      </c>
      <c r="I425" s="19" t="s">
        <v>221</v>
      </c>
      <c r="J425" s="7" t="s">
        <v>313</v>
      </c>
      <c r="K425" s="25" t="s">
        <v>225</v>
      </c>
    </row>
    <row r="426" spans="1:11" x14ac:dyDescent="0.25">
      <c r="A426" s="12"/>
      <c r="B426" s="7" t="s">
        <v>222</v>
      </c>
      <c r="C426" s="25">
        <v>20036408</v>
      </c>
      <c r="D426" s="7" t="s">
        <v>3135</v>
      </c>
      <c r="E426" s="26">
        <v>1</v>
      </c>
      <c r="F426" s="7" t="s">
        <v>225</v>
      </c>
      <c r="G426" s="7" t="s">
        <v>219</v>
      </c>
      <c r="H426" s="19" t="str">
        <f t="shared" si="6"/>
        <v/>
      </c>
      <c r="I426" s="19" t="s">
        <v>221</v>
      </c>
      <c r="J426" s="7" t="s">
        <v>309</v>
      </c>
      <c r="K426" s="25" t="s">
        <v>225</v>
      </c>
    </row>
    <row r="427" spans="1:11" x14ac:dyDescent="0.25">
      <c r="A427" s="12"/>
      <c r="B427" s="7" t="s">
        <v>223</v>
      </c>
      <c r="C427" s="25">
        <v>20036622</v>
      </c>
      <c r="D427" s="7" t="s">
        <v>3142</v>
      </c>
      <c r="E427" s="26">
        <v>3</v>
      </c>
      <c r="F427" s="7" t="s">
        <v>225</v>
      </c>
      <c r="G427" s="7" t="s">
        <v>219</v>
      </c>
      <c r="H427" s="19" t="str">
        <f t="shared" si="6"/>
        <v/>
      </c>
      <c r="I427" s="19" t="s">
        <v>221</v>
      </c>
      <c r="J427" s="7" t="s">
        <v>315</v>
      </c>
      <c r="K427" s="25" t="s">
        <v>225</v>
      </c>
    </row>
    <row r="428" spans="1:11" x14ac:dyDescent="0.25">
      <c r="A428" s="12"/>
      <c r="B428" s="7" t="s">
        <v>223</v>
      </c>
      <c r="C428" s="25">
        <v>20036623</v>
      </c>
      <c r="D428" s="7" t="s">
        <v>3143</v>
      </c>
      <c r="E428" s="26">
        <v>3</v>
      </c>
      <c r="F428" s="7" t="s">
        <v>225</v>
      </c>
      <c r="G428" s="7" t="s">
        <v>219</v>
      </c>
      <c r="H428" s="19" t="str">
        <f t="shared" si="6"/>
        <v/>
      </c>
      <c r="I428" s="19" t="s">
        <v>221</v>
      </c>
      <c r="J428" s="7" t="s">
        <v>315</v>
      </c>
      <c r="K428" s="25" t="s">
        <v>225</v>
      </c>
    </row>
    <row r="429" spans="1:11" x14ac:dyDescent="0.25">
      <c r="A429" s="12"/>
      <c r="B429" s="7" t="s">
        <v>223</v>
      </c>
      <c r="C429" s="25">
        <v>20036624</v>
      </c>
      <c r="D429" s="7" t="s">
        <v>3144</v>
      </c>
      <c r="E429" s="26">
        <v>3</v>
      </c>
      <c r="F429" s="7" t="s">
        <v>225</v>
      </c>
      <c r="G429" s="7" t="s">
        <v>219</v>
      </c>
      <c r="H429" s="19" t="str">
        <f t="shared" si="6"/>
        <v/>
      </c>
      <c r="I429" s="19" t="s">
        <v>221</v>
      </c>
      <c r="J429" s="7" t="s">
        <v>315</v>
      </c>
      <c r="K429" s="25" t="s">
        <v>225</v>
      </c>
    </row>
    <row r="430" spans="1:11" x14ac:dyDescent="0.25">
      <c r="A430" s="12"/>
      <c r="B430" s="7" t="s">
        <v>223</v>
      </c>
      <c r="C430" s="25">
        <v>20036796</v>
      </c>
      <c r="D430" s="7" t="s">
        <v>3206</v>
      </c>
      <c r="E430" s="26">
        <v>1</v>
      </c>
      <c r="F430" s="7" t="s">
        <v>225</v>
      </c>
      <c r="G430" s="7" t="s">
        <v>219</v>
      </c>
      <c r="H430" s="19" t="str">
        <f t="shared" si="6"/>
        <v/>
      </c>
      <c r="I430" s="19" t="s">
        <v>399</v>
      </c>
      <c r="J430" s="7" t="s">
        <v>311</v>
      </c>
      <c r="K430" s="25" t="s">
        <v>225</v>
      </c>
    </row>
    <row r="431" spans="1:11" x14ac:dyDescent="0.25">
      <c r="A431" s="12"/>
      <c r="B431" s="7" t="s">
        <v>223</v>
      </c>
      <c r="C431" s="25">
        <v>20036797</v>
      </c>
      <c r="D431" s="7" t="s">
        <v>3207</v>
      </c>
      <c r="E431" s="26">
        <v>1</v>
      </c>
      <c r="F431" s="7" t="s">
        <v>225</v>
      </c>
      <c r="G431" s="7" t="s">
        <v>219</v>
      </c>
      <c r="H431" s="19" t="str">
        <f t="shared" si="6"/>
        <v/>
      </c>
      <c r="I431" s="19" t="s">
        <v>399</v>
      </c>
      <c r="J431" s="7" t="s">
        <v>311</v>
      </c>
      <c r="K431" s="25" t="s">
        <v>225</v>
      </c>
    </row>
    <row r="432" spans="1:11" x14ac:dyDescent="0.25">
      <c r="A432" s="12"/>
      <c r="B432" s="7" t="s">
        <v>230</v>
      </c>
      <c r="C432" s="25">
        <v>20036820</v>
      </c>
      <c r="D432" s="7" t="s">
        <v>3171</v>
      </c>
      <c r="E432" s="26">
        <v>1</v>
      </c>
      <c r="F432" s="7" t="s">
        <v>225</v>
      </c>
      <c r="G432" s="7" t="s">
        <v>219</v>
      </c>
      <c r="H432" s="19" t="str">
        <f t="shared" si="6"/>
        <v/>
      </c>
      <c r="I432" s="19" t="s">
        <v>910</v>
      </c>
      <c r="J432" s="7" t="s">
        <v>440</v>
      </c>
      <c r="K432" s="25" t="s">
        <v>225</v>
      </c>
    </row>
    <row r="433" spans="1:11" x14ac:dyDescent="0.25">
      <c r="A433" s="12"/>
      <c r="B433" s="7" t="s">
        <v>223</v>
      </c>
      <c r="C433" s="25">
        <v>20036821</v>
      </c>
      <c r="D433" s="7" t="s">
        <v>3182</v>
      </c>
      <c r="E433" s="26">
        <v>1</v>
      </c>
      <c r="F433" s="7" t="s">
        <v>225</v>
      </c>
      <c r="G433" s="7" t="s">
        <v>219</v>
      </c>
      <c r="H433" s="19" t="str">
        <f t="shared" si="6"/>
        <v/>
      </c>
      <c r="I433" s="19" t="s">
        <v>399</v>
      </c>
      <c r="J433" s="7" t="s">
        <v>311</v>
      </c>
      <c r="K433" s="25" t="s">
        <v>225</v>
      </c>
    </row>
    <row r="434" spans="1:11" x14ac:dyDescent="0.25">
      <c r="A434" s="12"/>
      <c r="B434" s="7" t="s">
        <v>223</v>
      </c>
      <c r="C434" s="25">
        <v>20036822</v>
      </c>
      <c r="D434" s="7" t="s">
        <v>3183</v>
      </c>
      <c r="E434" s="26">
        <v>1</v>
      </c>
      <c r="F434" s="7" t="s">
        <v>225</v>
      </c>
      <c r="G434" s="7" t="s">
        <v>219</v>
      </c>
      <c r="H434" s="19" t="str">
        <f t="shared" si="6"/>
        <v/>
      </c>
      <c r="I434" s="19" t="s">
        <v>399</v>
      </c>
      <c r="J434" s="7" t="s">
        <v>311</v>
      </c>
      <c r="K434" s="25" t="s">
        <v>225</v>
      </c>
    </row>
    <row r="435" spans="1:11" x14ac:dyDescent="0.25">
      <c r="A435" s="12"/>
      <c r="B435" s="7" t="s">
        <v>223</v>
      </c>
      <c r="C435" s="25">
        <v>20036823</v>
      </c>
      <c r="D435" s="7" t="s">
        <v>3184</v>
      </c>
      <c r="E435" s="26">
        <v>1</v>
      </c>
      <c r="F435" s="7" t="s">
        <v>225</v>
      </c>
      <c r="G435" s="7" t="s">
        <v>219</v>
      </c>
      <c r="H435" s="19" t="str">
        <f t="shared" si="6"/>
        <v/>
      </c>
      <c r="I435" s="19" t="s">
        <v>399</v>
      </c>
      <c r="J435" s="7" t="s">
        <v>311</v>
      </c>
      <c r="K435" s="25" t="s">
        <v>225</v>
      </c>
    </row>
    <row r="436" spans="1:11" x14ac:dyDescent="0.25">
      <c r="A436" s="12"/>
      <c r="B436" s="7" t="s">
        <v>223</v>
      </c>
      <c r="C436" s="25">
        <v>20036824</v>
      </c>
      <c r="D436" s="7" t="s">
        <v>3185</v>
      </c>
      <c r="E436" s="26">
        <v>1</v>
      </c>
      <c r="F436" s="7" t="s">
        <v>225</v>
      </c>
      <c r="G436" s="7" t="s">
        <v>219</v>
      </c>
      <c r="H436" s="19" t="str">
        <f t="shared" si="6"/>
        <v/>
      </c>
      <c r="I436" s="19" t="s">
        <v>399</v>
      </c>
      <c r="J436" s="7" t="s">
        <v>311</v>
      </c>
      <c r="K436" s="25" t="s">
        <v>225</v>
      </c>
    </row>
    <row r="437" spans="1:11" x14ac:dyDescent="0.25">
      <c r="A437" s="12"/>
      <c r="B437" s="7" t="s">
        <v>223</v>
      </c>
      <c r="C437" s="25">
        <v>20036826</v>
      </c>
      <c r="D437" s="7" t="s">
        <v>3187</v>
      </c>
      <c r="E437" s="26">
        <v>1</v>
      </c>
      <c r="F437" s="7" t="s">
        <v>225</v>
      </c>
      <c r="G437" s="7" t="s">
        <v>219</v>
      </c>
      <c r="H437" s="19" t="str">
        <f t="shared" si="6"/>
        <v/>
      </c>
      <c r="I437" s="19" t="s">
        <v>399</v>
      </c>
      <c r="J437" s="7" t="s">
        <v>311</v>
      </c>
      <c r="K437" s="25" t="s">
        <v>225</v>
      </c>
    </row>
    <row r="438" spans="1:11" x14ac:dyDescent="0.25">
      <c r="A438" s="12"/>
      <c r="B438" s="7" t="s">
        <v>223</v>
      </c>
      <c r="C438" s="25">
        <v>20036848</v>
      </c>
      <c r="D438" s="7" t="s">
        <v>3189</v>
      </c>
      <c r="E438" s="26">
        <v>1</v>
      </c>
      <c r="F438" s="7" t="s">
        <v>225</v>
      </c>
      <c r="G438" s="7" t="s">
        <v>219</v>
      </c>
      <c r="H438" s="19" t="str">
        <f t="shared" si="6"/>
        <v/>
      </c>
      <c r="I438" s="19" t="s">
        <v>399</v>
      </c>
      <c r="J438" s="7" t="s">
        <v>311</v>
      </c>
      <c r="K438" s="25" t="s">
        <v>225</v>
      </c>
    </row>
    <row r="439" spans="1:11" x14ac:dyDescent="0.25">
      <c r="A439" s="12"/>
      <c r="B439" s="7" t="s">
        <v>233</v>
      </c>
      <c r="C439" s="25">
        <v>20036849</v>
      </c>
      <c r="D439" s="7" t="s">
        <v>3190</v>
      </c>
      <c r="E439" s="26">
        <v>1</v>
      </c>
      <c r="F439" s="7" t="s">
        <v>225</v>
      </c>
      <c r="G439" s="7" t="s">
        <v>219</v>
      </c>
      <c r="H439" s="19" t="str">
        <f t="shared" si="6"/>
        <v/>
      </c>
      <c r="I439" s="19" t="s">
        <v>328</v>
      </c>
      <c r="J439" s="7" t="s">
        <v>311</v>
      </c>
      <c r="K439" s="25" t="s">
        <v>225</v>
      </c>
    </row>
    <row r="440" spans="1:11" x14ac:dyDescent="0.25">
      <c r="A440" s="12"/>
      <c r="B440" s="7" t="s">
        <v>233</v>
      </c>
      <c r="C440" s="25">
        <v>20036850</v>
      </c>
      <c r="D440" s="7" t="s">
        <v>3191</v>
      </c>
      <c r="E440" s="26">
        <v>1</v>
      </c>
      <c r="F440" s="7" t="s">
        <v>225</v>
      </c>
      <c r="G440" s="7" t="s">
        <v>219</v>
      </c>
      <c r="H440" s="19" t="str">
        <f t="shared" si="6"/>
        <v/>
      </c>
      <c r="I440" s="19" t="s">
        <v>328</v>
      </c>
      <c r="J440" s="7" t="s">
        <v>311</v>
      </c>
      <c r="K440" s="25" t="s">
        <v>225</v>
      </c>
    </row>
    <row r="441" spans="1:11" x14ac:dyDescent="0.25">
      <c r="A441" s="12"/>
      <c r="B441" s="7" t="s">
        <v>223</v>
      </c>
      <c r="C441" s="25">
        <v>20036852</v>
      </c>
      <c r="D441" s="7" t="s">
        <v>3193</v>
      </c>
      <c r="E441" s="26">
        <v>1</v>
      </c>
      <c r="F441" s="7" t="s">
        <v>225</v>
      </c>
      <c r="G441" s="7" t="s">
        <v>219</v>
      </c>
      <c r="H441" s="19" t="str">
        <f t="shared" si="6"/>
        <v/>
      </c>
      <c r="I441" s="19" t="s">
        <v>399</v>
      </c>
      <c r="J441" s="7" t="s">
        <v>311</v>
      </c>
      <c r="K441" s="25" t="s">
        <v>225</v>
      </c>
    </row>
    <row r="442" spans="1:11" x14ac:dyDescent="0.25">
      <c r="A442" s="12"/>
      <c r="B442" s="7" t="s">
        <v>223</v>
      </c>
      <c r="C442" s="25">
        <v>20036853</v>
      </c>
      <c r="D442" s="7" t="s">
        <v>3194</v>
      </c>
      <c r="E442" s="26">
        <v>1</v>
      </c>
      <c r="F442" s="7" t="s">
        <v>225</v>
      </c>
      <c r="G442" s="7" t="s">
        <v>219</v>
      </c>
      <c r="H442" s="19" t="str">
        <f t="shared" si="6"/>
        <v/>
      </c>
      <c r="I442" s="19" t="s">
        <v>399</v>
      </c>
      <c r="J442" s="7" t="s">
        <v>311</v>
      </c>
      <c r="K442" s="25" t="s">
        <v>225</v>
      </c>
    </row>
    <row r="443" spans="1:11" x14ac:dyDescent="0.25">
      <c r="A443" s="12"/>
      <c r="B443" s="7" t="s">
        <v>223</v>
      </c>
      <c r="C443" s="25">
        <v>20036854</v>
      </c>
      <c r="D443" s="7" t="s">
        <v>3195</v>
      </c>
      <c r="E443" s="26">
        <v>1</v>
      </c>
      <c r="F443" s="7" t="s">
        <v>225</v>
      </c>
      <c r="G443" s="7" t="s">
        <v>219</v>
      </c>
      <c r="H443" s="19" t="str">
        <f t="shared" si="6"/>
        <v/>
      </c>
      <c r="I443" s="19" t="s">
        <v>399</v>
      </c>
      <c r="J443" s="7" t="s">
        <v>311</v>
      </c>
      <c r="K443" s="25" t="s">
        <v>225</v>
      </c>
    </row>
    <row r="444" spans="1:11" x14ac:dyDescent="0.25">
      <c r="A444" s="12"/>
      <c r="B444" s="7" t="s">
        <v>223</v>
      </c>
      <c r="C444" s="25">
        <v>20036859</v>
      </c>
      <c r="D444" s="7" t="s">
        <v>3200</v>
      </c>
      <c r="E444" s="26">
        <v>1</v>
      </c>
      <c r="F444" s="7" t="s">
        <v>225</v>
      </c>
      <c r="G444" s="7" t="s">
        <v>219</v>
      </c>
      <c r="H444" s="19" t="str">
        <f t="shared" si="6"/>
        <v/>
      </c>
      <c r="I444" s="19" t="s">
        <v>399</v>
      </c>
      <c r="J444" s="7" t="s">
        <v>311</v>
      </c>
      <c r="K444" s="25" t="s">
        <v>225</v>
      </c>
    </row>
    <row r="445" spans="1:11" x14ac:dyDescent="0.25">
      <c r="A445" s="12"/>
      <c r="B445" s="7" t="s">
        <v>223</v>
      </c>
      <c r="C445" s="25">
        <v>20036874</v>
      </c>
      <c r="D445" s="7" t="s">
        <v>3212</v>
      </c>
      <c r="E445" s="26">
        <v>1</v>
      </c>
      <c r="F445" s="7" t="s">
        <v>225</v>
      </c>
      <c r="G445" s="7" t="s">
        <v>219</v>
      </c>
      <c r="H445" s="19" t="str">
        <f t="shared" si="6"/>
        <v/>
      </c>
      <c r="I445" s="19" t="s">
        <v>399</v>
      </c>
      <c r="J445" s="7" t="s">
        <v>311</v>
      </c>
      <c r="K445" s="25" t="s">
        <v>225</v>
      </c>
    </row>
    <row r="446" spans="1:11" x14ac:dyDescent="0.25">
      <c r="A446" s="12"/>
      <c r="B446" s="7" t="s">
        <v>222</v>
      </c>
      <c r="C446" s="25">
        <v>20036958</v>
      </c>
      <c r="D446" s="7" t="s">
        <v>3245</v>
      </c>
      <c r="E446" s="26">
        <v>1</v>
      </c>
      <c r="F446" s="7" t="s">
        <v>225</v>
      </c>
      <c r="G446" s="7" t="s">
        <v>219</v>
      </c>
      <c r="H446" s="19" t="str">
        <f t="shared" si="6"/>
        <v/>
      </c>
      <c r="I446" s="19" t="s">
        <v>221</v>
      </c>
      <c r="J446" s="7" t="s">
        <v>348</v>
      </c>
      <c r="K446" s="25" t="s">
        <v>225</v>
      </c>
    </row>
    <row r="447" spans="1:11" x14ac:dyDescent="0.25">
      <c r="A447" s="12"/>
      <c r="B447" s="7" t="s">
        <v>222</v>
      </c>
      <c r="C447" s="25">
        <v>20036959</v>
      </c>
      <c r="D447" s="7" t="s">
        <v>3246</v>
      </c>
      <c r="E447" s="26">
        <v>1</v>
      </c>
      <c r="F447" s="7" t="s">
        <v>225</v>
      </c>
      <c r="G447" s="7" t="s">
        <v>219</v>
      </c>
      <c r="H447" s="19" t="str">
        <f t="shared" si="6"/>
        <v/>
      </c>
      <c r="I447" s="19" t="s">
        <v>221</v>
      </c>
      <c r="J447" s="7" t="s">
        <v>348</v>
      </c>
      <c r="K447" s="25" t="s">
        <v>225</v>
      </c>
    </row>
    <row r="448" spans="1:11" x14ac:dyDescent="0.25">
      <c r="A448" s="12"/>
      <c r="B448" s="7" t="s">
        <v>222</v>
      </c>
      <c r="C448" s="25">
        <v>20036979</v>
      </c>
      <c r="D448" s="7" t="s">
        <v>3249</v>
      </c>
      <c r="E448" s="26">
        <v>1</v>
      </c>
      <c r="F448" s="7" t="s">
        <v>225</v>
      </c>
      <c r="G448" s="7" t="s">
        <v>219</v>
      </c>
      <c r="H448" s="19" t="str">
        <f t="shared" si="6"/>
        <v/>
      </c>
      <c r="I448" s="19" t="s">
        <v>221</v>
      </c>
      <c r="J448" s="7" t="s">
        <v>397</v>
      </c>
      <c r="K448" s="25" t="s">
        <v>225</v>
      </c>
    </row>
    <row r="449" spans="1:11" x14ac:dyDescent="0.25">
      <c r="A449" s="12"/>
      <c r="B449" s="7" t="s">
        <v>222</v>
      </c>
      <c r="C449" s="25">
        <v>20037283</v>
      </c>
      <c r="D449" s="7" t="s">
        <v>3354</v>
      </c>
      <c r="E449" s="26">
        <v>1</v>
      </c>
      <c r="F449" s="7" t="s">
        <v>225</v>
      </c>
      <c r="G449" s="7" t="s">
        <v>219</v>
      </c>
      <c r="H449" s="19" t="str">
        <f t="shared" si="6"/>
        <v/>
      </c>
      <c r="I449" s="19" t="s">
        <v>221</v>
      </c>
      <c r="J449" s="7" t="s">
        <v>398</v>
      </c>
      <c r="K449" s="25" t="s">
        <v>225</v>
      </c>
    </row>
    <row r="450" spans="1:11" x14ac:dyDescent="0.25">
      <c r="A450" s="12"/>
      <c r="B450" s="7" t="s">
        <v>222</v>
      </c>
      <c r="C450" s="25">
        <v>20037390</v>
      </c>
      <c r="D450" s="7" t="s">
        <v>3378</v>
      </c>
      <c r="E450" s="26">
        <v>1</v>
      </c>
      <c r="F450" s="7" t="s">
        <v>225</v>
      </c>
      <c r="G450" s="7" t="s">
        <v>219</v>
      </c>
      <c r="H450" s="19" t="str">
        <f t="shared" si="6"/>
        <v/>
      </c>
      <c r="I450" s="19" t="s">
        <v>221</v>
      </c>
      <c r="J450" s="7" t="s">
        <v>954</v>
      </c>
      <c r="K450" s="25" t="s">
        <v>225</v>
      </c>
    </row>
    <row r="451" spans="1:11" x14ac:dyDescent="0.25">
      <c r="A451" s="12"/>
      <c r="B451" s="7" t="s">
        <v>222</v>
      </c>
      <c r="C451" s="25">
        <v>20037392</v>
      </c>
      <c r="D451" s="7" t="s">
        <v>11513</v>
      </c>
      <c r="E451" s="26">
        <v>1</v>
      </c>
      <c r="F451" s="7" t="s">
        <v>225</v>
      </c>
      <c r="G451" s="7" t="s">
        <v>219</v>
      </c>
      <c r="H451" s="19" t="str">
        <f t="shared" si="6"/>
        <v/>
      </c>
      <c r="I451" s="19" t="s">
        <v>221</v>
      </c>
      <c r="J451" s="7" t="s">
        <v>954</v>
      </c>
      <c r="K451" s="25" t="s">
        <v>225</v>
      </c>
    </row>
    <row r="452" spans="1:11" x14ac:dyDescent="0.25">
      <c r="A452" s="12"/>
      <c r="B452" s="7" t="s">
        <v>230</v>
      </c>
      <c r="C452" s="25">
        <v>20037531</v>
      </c>
      <c r="D452" s="7" t="s">
        <v>3401</v>
      </c>
      <c r="E452" s="26">
        <v>1</v>
      </c>
      <c r="F452" s="7" t="s">
        <v>225</v>
      </c>
      <c r="G452" s="7" t="s">
        <v>219</v>
      </c>
      <c r="H452" s="19" t="str">
        <f t="shared" si="6"/>
        <v/>
      </c>
      <c r="I452" s="19" t="s">
        <v>910</v>
      </c>
      <c r="J452" s="7" t="s">
        <v>309</v>
      </c>
      <c r="K452" s="25" t="s">
        <v>225</v>
      </c>
    </row>
    <row r="453" spans="1:11" x14ac:dyDescent="0.25">
      <c r="A453" s="12"/>
      <c r="B453" s="7" t="s">
        <v>222</v>
      </c>
      <c r="C453" s="25">
        <v>20037670</v>
      </c>
      <c r="D453" s="7" t="s">
        <v>3409</v>
      </c>
      <c r="E453" s="26">
        <v>1</v>
      </c>
      <c r="F453" s="7" t="s">
        <v>225</v>
      </c>
      <c r="G453" s="7" t="s">
        <v>219</v>
      </c>
      <c r="H453" s="19" t="str">
        <f t="shared" si="6"/>
        <v/>
      </c>
      <c r="I453" s="19" t="s">
        <v>221</v>
      </c>
      <c r="J453" s="7" t="s">
        <v>327</v>
      </c>
      <c r="K453" s="25" t="s">
        <v>225</v>
      </c>
    </row>
    <row r="454" spans="1:11" x14ac:dyDescent="0.25">
      <c r="A454" s="12"/>
      <c r="B454" s="7" t="s">
        <v>222</v>
      </c>
      <c r="C454" s="25">
        <v>20037708</v>
      </c>
      <c r="D454" s="7" t="s">
        <v>3413</v>
      </c>
      <c r="E454" s="26">
        <v>1</v>
      </c>
      <c r="F454" s="7" t="s">
        <v>225</v>
      </c>
      <c r="G454" s="7" t="s">
        <v>219</v>
      </c>
      <c r="H454" s="19" t="str">
        <f t="shared" si="6"/>
        <v/>
      </c>
      <c r="I454" s="19" t="s">
        <v>221</v>
      </c>
      <c r="J454" s="7" t="s">
        <v>397</v>
      </c>
      <c r="K454" s="25" t="s">
        <v>225</v>
      </c>
    </row>
    <row r="455" spans="1:11" x14ac:dyDescent="0.25">
      <c r="A455" s="12"/>
      <c r="B455" s="7" t="s">
        <v>229</v>
      </c>
      <c r="C455" s="25">
        <v>20037709</v>
      </c>
      <c r="D455" s="7" t="s">
        <v>3415</v>
      </c>
      <c r="E455" s="26">
        <v>44</v>
      </c>
      <c r="F455" s="7" t="s">
        <v>225</v>
      </c>
      <c r="G455" s="7" t="s">
        <v>219</v>
      </c>
      <c r="H455" s="19" t="str">
        <f t="shared" si="6"/>
        <v/>
      </c>
      <c r="I455" s="19" t="s">
        <v>37</v>
      </c>
      <c r="J455" s="7" t="s">
        <v>309</v>
      </c>
      <c r="K455" s="25" t="s">
        <v>225</v>
      </c>
    </row>
    <row r="456" spans="1:11" x14ac:dyDescent="0.25">
      <c r="A456" s="12"/>
      <c r="B456" s="7" t="s">
        <v>230</v>
      </c>
      <c r="C456" s="25">
        <v>20037879</v>
      </c>
      <c r="D456" s="7" t="s">
        <v>3422</v>
      </c>
      <c r="E456" s="26">
        <v>1</v>
      </c>
      <c r="F456" s="7" t="s">
        <v>225</v>
      </c>
      <c r="G456" s="7" t="s">
        <v>219</v>
      </c>
      <c r="H456" s="19" t="str">
        <f t="shared" si="6"/>
        <v/>
      </c>
      <c r="I456" s="19" t="s">
        <v>910</v>
      </c>
      <c r="J456" s="7" t="s">
        <v>440</v>
      </c>
      <c r="K456" s="25" t="s">
        <v>225</v>
      </c>
    </row>
    <row r="457" spans="1:11" x14ac:dyDescent="0.25">
      <c r="A457" s="12"/>
      <c r="B457" s="7" t="s">
        <v>222</v>
      </c>
      <c r="C457" s="25">
        <v>20037899</v>
      </c>
      <c r="D457" s="7" t="s">
        <v>3425</v>
      </c>
      <c r="E457" s="26">
        <v>1</v>
      </c>
      <c r="F457" s="7" t="s">
        <v>225</v>
      </c>
      <c r="G457" s="7" t="s">
        <v>219</v>
      </c>
      <c r="H457" s="19" t="str">
        <f t="shared" si="6"/>
        <v/>
      </c>
      <c r="I457" s="19" t="s">
        <v>221</v>
      </c>
      <c r="J457" s="7" t="s">
        <v>380</v>
      </c>
      <c r="K457" s="25" t="s">
        <v>225</v>
      </c>
    </row>
    <row r="458" spans="1:11" x14ac:dyDescent="0.25">
      <c r="A458" s="12"/>
      <c r="B458" s="7" t="s">
        <v>222</v>
      </c>
      <c r="C458" s="25">
        <v>20038289</v>
      </c>
      <c r="D458" s="7" t="s">
        <v>3501</v>
      </c>
      <c r="E458" s="26">
        <v>1</v>
      </c>
      <c r="F458" s="7" t="s">
        <v>225</v>
      </c>
      <c r="G458" s="7" t="s">
        <v>219</v>
      </c>
      <c r="H458" s="19" t="str">
        <f t="shared" si="6"/>
        <v/>
      </c>
      <c r="I458" s="19" t="s">
        <v>221</v>
      </c>
      <c r="J458" s="7" t="s">
        <v>345</v>
      </c>
      <c r="K458" s="25" t="s">
        <v>225</v>
      </c>
    </row>
    <row r="459" spans="1:11" x14ac:dyDescent="0.25">
      <c r="A459" s="12"/>
      <c r="B459" s="7" t="s">
        <v>222</v>
      </c>
      <c r="C459" s="25">
        <v>20038538</v>
      </c>
      <c r="D459" s="7" t="s">
        <v>3535</v>
      </c>
      <c r="E459" s="26">
        <v>1</v>
      </c>
      <c r="F459" s="7" t="s">
        <v>225</v>
      </c>
      <c r="G459" s="7" t="s">
        <v>219</v>
      </c>
      <c r="H459" s="19" t="str">
        <f t="shared" si="6"/>
        <v/>
      </c>
      <c r="I459" s="19" t="s">
        <v>221</v>
      </c>
      <c r="J459" s="7" t="s">
        <v>347</v>
      </c>
      <c r="K459" s="25" t="s">
        <v>225</v>
      </c>
    </row>
    <row r="460" spans="1:11" x14ac:dyDescent="0.25">
      <c r="A460" s="12"/>
      <c r="B460" s="7" t="s">
        <v>222</v>
      </c>
      <c r="C460" s="25">
        <v>20038558</v>
      </c>
      <c r="D460" s="7" t="s">
        <v>3537</v>
      </c>
      <c r="E460" s="26">
        <v>1</v>
      </c>
      <c r="F460" s="7" t="s">
        <v>225</v>
      </c>
      <c r="G460" s="7" t="s">
        <v>219</v>
      </c>
      <c r="H460" s="19" t="str">
        <f t="shared" si="6"/>
        <v/>
      </c>
      <c r="I460" s="19" t="s">
        <v>221</v>
      </c>
      <c r="J460" s="7" t="s">
        <v>246</v>
      </c>
      <c r="K460" s="25" t="s">
        <v>225</v>
      </c>
    </row>
    <row r="461" spans="1:11" x14ac:dyDescent="0.25">
      <c r="A461" s="12"/>
      <c r="B461" s="7" t="s">
        <v>222</v>
      </c>
      <c r="C461" s="25">
        <v>20038594</v>
      </c>
      <c r="D461" s="7" t="s">
        <v>3560</v>
      </c>
      <c r="E461" s="26">
        <v>1</v>
      </c>
      <c r="F461" s="7" t="s">
        <v>225</v>
      </c>
      <c r="G461" s="7" t="s">
        <v>219</v>
      </c>
      <c r="H461" s="19" t="str">
        <f t="shared" si="6"/>
        <v/>
      </c>
      <c r="I461" s="19" t="s">
        <v>221</v>
      </c>
      <c r="J461" s="7" t="s">
        <v>315</v>
      </c>
      <c r="K461" s="25" t="s">
        <v>225</v>
      </c>
    </row>
    <row r="462" spans="1:11" x14ac:dyDescent="0.25">
      <c r="A462" s="12"/>
      <c r="B462" s="7" t="s">
        <v>223</v>
      </c>
      <c r="C462" s="25">
        <v>20038729</v>
      </c>
      <c r="D462" s="7" t="s">
        <v>3581</v>
      </c>
      <c r="E462" s="26">
        <v>1</v>
      </c>
      <c r="F462" s="7" t="s">
        <v>225</v>
      </c>
      <c r="G462" s="7" t="s">
        <v>219</v>
      </c>
      <c r="H462" s="19" t="str">
        <f t="shared" si="6"/>
        <v/>
      </c>
      <c r="I462" s="19" t="s">
        <v>399</v>
      </c>
      <c r="J462" s="7" t="s">
        <v>311</v>
      </c>
      <c r="K462" s="25" t="s">
        <v>225</v>
      </c>
    </row>
    <row r="463" spans="1:11" x14ac:dyDescent="0.25">
      <c r="A463" s="12"/>
      <c r="B463" s="7" t="s">
        <v>230</v>
      </c>
      <c r="C463" s="25">
        <v>20038832</v>
      </c>
      <c r="D463" s="7" t="s">
        <v>3591</v>
      </c>
      <c r="E463" s="26">
        <v>1</v>
      </c>
      <c r="F463" s="7" t="s">
        <v>225</v>
      </c>
      <c r="G463" s="7" t="s">
        <v>219</v>
      </c>
      <c r="H463" s="19" t="str">
        <f t="shared" ref="H463:H526" si="7">IF(A463="", "", A463*E463)</f>
        <v/>
      </c>
      <c r="I463" s="19" t="s">
        <v>910</v>
      </c>
      <c r="J463" s="7" t="s">
        <v>440</v>
      </c>
      <c r="K463" s="25" t="s">
        <v>225</v>
      </c>
    </row>
    <row r="464" spans="1:11" x14ac:dyDescent="0.25">
      <c r="A464" s="12"/>
      <c r="B464" s="7" t="s">
        <v>222</v>
      </c>
      <c r="C464" s="25">
        <v>20039090</v>
      </c>
      <c r="D464" s="7" t="s">
        <v>3635</v>
      </c>
      <c r="E464" s="26">
        <v>1</v>
      </c>
      <c r="F464" s="7" t="s">
        <v>225</v>
      </c>
      <c r="G464" s="7" t="s">
        <v>219</v>
      </c>
      <c r="H464" s="19" t="str">
        <f t="shared" si="7"/>
        <v/>
      </c>
      <c r="I464" s="19" t="s">
        <v>221</v>
      </c>
      <c r="J464" s="7" t="s">
        <v>347</v>
      </c>
      <c r="K464" s="25" t="s">
        <v>225</v>
      </c>
    </row>
    <row r="465" spans="1:11" x14ac:dyDescent="0.25">
      <c r="A465" s="12"/>
      <c r="B465" s="7" t="s">
        <v>230</v>
      </c>
      <c r="C465" s="25">
        <v>20039275</v>
      </c>
      <c r="D465" s="7" t="s">
        <v>3702</v>
      </c>
      <c r="E465" s="26">
        <v>1</v>
      </c>
      <c r="F465" s="7" t="s">
        <v>225</v>
      </c>
      <c r="G465" s="7" t="s">
        <v>219</v>
      </c>
      <c r="H465" s="19" t="str">
        <f t="shared" si="7"/>
        <v/>
      </c>
      <c r="I465" s="19" t="s">
        <v>910</v>
      </c>
      <c r="J465" s="7" t="s">
        <v>309</v>
      </c>
      <c r="K465" s="25" t="s">
        <v>225</v>
      </c>
    </row>
    <row r="466" spans="1:11" x14ac:dyDescent="0.25">
      <c r="A466" s="12"/>
      <c r="B466" s="7" t="s">
        <v>230</v>
      </c>
      <c r="C466" s="25">
        <v>20039276</v>
      </c>
      <c r="D466" s="7" t="s">
        <v>3703</v>
      </c>
      <c r="E466" s="26">
        <v>1</v>
      </c>
      <c r="F466" s="7" t="s">
        <v>225</v>
      </c>
      <c r="G466" s="7" t="s">
        <v>219</v>
      </c>
      <c r="H466" s="19" t="str">
        <f t="shared" si="7"/>
        <v/>
      </c>
      <c r="I466" s="19" t="s">
        <v>910</v>
      </c>
      <c r="J466" s="7" t="s">
        <v>309</v>
      </c>
      <c r="K466" s="25" t="s">
        <v>225</v>
      </c>
    </row>
    <row r="467" spans="1:11" x14ac:dyDescent="0.25">
      <c r="A467" s="12"/>
      <c r="B467" s="7" t="s">
        <v>230</v>
      </c>
      <c r="C467" s="25">
        <v>20039299</v>
      </c>
      <c r="D467" s="7" t="s">
        <v>3713</v>
      </c>
      <c r="E467" s="26">
        <v>1</v>
      </c>
      <c r="F467" s="7" t="s">
        <v>225</v>
      </c>
      <c r="G467" s="7" t="s">
        <v>219</v>
      </c>
      <c r="H467" s="19" t="str">
        <f t="shared" si="7"/>
        <v/>
      </c>
      <c r="I467" s="19" t="s">
        <v>910</v>
      </c>
      <c r="J467" s="7" t="s">
        <v>309</v>
      </c>
      <c r="K467" s="25" t="s">
        <v>225</v>
      </c>
    </row>
    <row r="468" spans="1:11" x14ac:dyDescent="0.25">
      <c r="A468" s="12"/>
      <c r="B468" s="7" t="s">
        <v>230</v>
      </c>
      <c r="C468" s="25">
        <v>20039300</v>
      </c>
      <c r="D468" s="7" t="s">
        <v>3714</v>
      </c>
      <c r="E468" s="26">
        <v>1</v>
      </c>
      <c r="F468" s="7" t="s">
        <v>225</v>
      </c>
      <c r="G468" s="7" t="s">
        <v>219</v>
      </c>
      <c r="H468" s="19" t="str">
        <f t="shared" si="7"/>
        <v/>
      </c>
      <c r="I468" s="19" t="s">
        <v>910</v>
      </c>
      <c r="J468" s="7" t="s">
        <v>309</v>
      </c>
      <c r="K468" s="25" t="s">
        <v>225</v>
      </c>
    </row>
    <row r="469" spans="1:11" x14ac:dyDescent="0.25">
      <c r="A469" s="12"/>
      <c r="B469" s="7" t="s">
        <v>230</v>
      </c>
      <c r="C469" s="25">
        <v>20039301</v>
      </c>
      <c r="D469" s="7" t="s">
        <v>3715</v>
      </c>
      <c r="E469" s="26">
        <v>1</v>
      </c>
      <c r="F469" s="7" t="s">
        <v>225</v>
      </c>
      <c r="G469" s="7" t="s">
        <v>219</v>
      </c>
      <c r="H469" s="19" t="str">
        <f t="shared" si="7"/>
        <v/>
      </c>
      <c r="I469" s="19" t="s">
        <v>910</v>
      </c>
      <c r="J469" s="7" t="s">
        <v>309</v>
      </c>
      <c r="K469" s="25" t="s">
        <v>225</v>
      </c>
    </row>
    <row r="470" spans="1:11" x14ac:dyDescent="0.25">
      <c r="A470" s="12"/>
      <c r="B470" s="7" t="s">
        <v>230</v>
      </c>
      <c r="C470" s="25">
        <v>20039302</v>
      </c>
      <c r="D470" s="7" t="s">
        <v>3716</v>
      </c>
      <c r="E470" s="26">
        <v>1</v>
      </c>
      <c r="F470" s="7" t="s">
        <v>225</v>
      </c>
      <c r="G470" s="7" t="s">
        <v>219</v>
      </c>
      <c r="H470" s="19" t="str">
        <f t="shared" si="7"/>
        <v/>
      </c>
      <c r="I470" s="19" t="s">
        <v>910</v>
      </c>
      <c r="J470" s="7" t="s">
        <v>309</v>
      </c>
      <c r="K470" s="25" t="s">
        <v>225</v>
      </c>
    </row>
    <row r="471" spans="1:11" x14ac:dyDescent="0.25">
      <c r="A471" s="12"/>
      <c r="B471" s="7" t="s">
        <v>230</v>
      </c>
      <c r="C471" s="25">
        <v>20039303</v>
      </c>
      <c r="D471" s="7" t="s">
        <v>3717</v>
      </c>
      <c r="E471" s="26">
        <v>1</v>
      </c>
      <c r="F471" s="7" t="s">
        <v>225</v>
      </c>
      <c r="G471" s="7" t="s">
        <v>219</v>
      </c>
      <c r="H471" s="19" t="str">
        <f t="shared" si="7"/>
        <v/>
      </c>
      <c r="I471" s="19" t="s">
        <v>910</v>
      </c>
      <c r="J471" s="7" t="s">
        <v>309</v>
      </c>
      <c r="K471" s="25" t="s">
        <v>225</v>
      </c>
    </row>
    <row r="472" spans="1:11" x14ac:dyDescent="0.25">
      <c r="A472" s="12"/>
      <c r="B472" s="7" t="s">
        <v>230</v>
      </c>
      <c r="C472" s="25">
        <v>20039304</v>
      </c>
      <c r="D472" s="7" t="s">
        <v>3718</v>
      </c>
      <c r="E472" s="26">
        <v>1</v>
      </c>
      <c r="F472" s="7" t="s">
        <v>225</v>
      </c>
      <c r="G472" s="7" t="s">
        <v>219</v>
      </c>
      <c r="H472" s="19" t="str">
        <f t="shared" si="7"/>
        <v/>
      </c>
      <c r="I472" s="19" t="s">
        <v>910</v>
      </c>
      <c r="J472" s="7" t="s">
        <v>309</v>
      </c>
      <c r="K472" s="25" t="s">
        <v>225</v>
      </c>
    </row>
    <row r="473" spans="1:11" x14ac:dyDescent="0.25">
      <c r="A473" s="12"/>
      <c r="B473" s="7" t="s">
        <v>230</v>
      </c>
      <c r="C473" s="25">
        <v>20039305</v>
      </c>
      <c r="D473" s="7" t="s">
        <v>3719</v>
      </c>
      <c r="E473" s="26">
        <v>1</v>
      </c>
      <c r="F473" s="7" t="s">
        <v>225</v>
      </c>
      <c r="G473" s="7" t="s">
        <v>219</v>
      </c>
      <c r="H473" s="19" t="str">
        <f t="shared" si="7"/>
        <v/>
      </c>
      <c r="I473" s="19" t="s">
        <v>910</v>
      </c>
      <c r="J473" s="7" t="s">
        <v>309</v>
      </c>
      <c r="K473" s="25" t="s">
        <v>225</v>
      </c>
    </row>
    <row r="474" spans="1:11" x14ac:dyDescent="0.25">
      <c r="A474" s="12"/>
      <c r="B474" s="7" t="s">
        <v>230</v>
      </c>
      <c r="C474" s="25">
        <v>20039306</v>
      </c>
      <c r="D474" s="7" t="s">
        <v>3720</v>
      </c>
      <c r="E474" s="26">
        <v>1</v>
      </c>
      <c r="F474" s="7" t="s">
        <v>225</v>
      </c>
      <c r="G474" s="7" t="s">
        <v>219</v>
      </c>
      <c r="H474" s="19" t="str">
        <f t="shared" si="7"/>
        <v/>
      </c>
      <c r="I474" s="19" t="s">
        <v>910</v>
      </c>
      <c r="J474" s="7" t="s">
        <v>309</v>
      </c>
      <c r="K474" s="25" t="s">
        <v>225</v>
      </c>
    </row>
    <row r="475" spans="1:11" x14ac:dyDescent="0.25">
      <c r="A475" s="12"/>
      <c r="B475" s="7" t="s">
        <v>230</v>
      </c>
      <c r="C475" s="25">
        <v>20039307</v>
      </c>
      <c r="D475" s="7" t="s">
        <v>3721</v>
      </c>
      <c r="E475" s="26">
        <v>1</v>
      </c>
      <c r="F475" s="7" t="s">
        <v>225</v>
      </c>
      <c r="G475" s="7" t="s">
        <v>219</v>
      </c>
      <c r="H475" s="19" t="str">
        <f t="shared" si="7"/>
        <v/>
      </c>
      <c r="I475" s="19" t="s">
        <v>910</v>
      </c>
      <c r="J475" s="7" t="s">
        <v>309</v>
      </c>
      <c r="K475" s="25" t="s">
        <v>225</v>
      </c>
    </row>
    <row r="476" spans="1:11" x14ac:dyDescent="0.25">
      <c r="A476" s="12"/>
      <c r="B476" s="7" t="s">
        <v>230</v>
      </c>
      <c r="C476" s="25">
        <v>20039311</v>
      </c>
      <c r="D476" s="7" t="s">
        <v>3725</v>
      </c>
      <c r="E476" s="26">
        <v>1</v>
      </c>
      <c r="F476" s="7" t="s">
        <v>225</v>
      </c>
      <c r="G476" s="7" t="s">
        <v>219</v>
      </c>
      <c r="H476" s="19" t="str">
        <f t="shared" si="7"/>
        <v/>
      </c>
      <c r="I476" s="19" t="s">
        <v>910</v>
      </c>
      <c r="J476" s="7" t="s">
        <v>309</v>
      </c>
      <c r="K476" s="25" t="s">
        <v>225</v>
      </c>
    </row>
    <row r="477" spans="1:11" x14ac:dyDescent="0.25">
      <c r="A477" s="12"/>
      <c r="B477" s="7" t="s">
        <v>230</v>
      </c>
      <c r="C477" s="25">
        <v>20039312</v>
      </c>
      <c r="D477" s="7" t="s">
        <v>3726</v>
      </c>
      <c r="E477" s="26">
        <v>1</v>
      </c>
      <c r="F477" s="7" t="s">
        <v>225</v>
      </c>
      <c r="G477" s="7" t="s">
        <v>219</v>
      </c>
      <c r="H477" s="19" t="str">
        <f t="shared" si="7"/>
        <v/>
      </c>
      <c r="I477" s="19" t="s">
        <v>910</v>
      </c>
      <c r="J477" s="7" t="s">
        <v>309</v>
      </c>
      <c r="K477" s="25" t="s">
        <v>225</v>
      </c>
    </row>
    <row r="478" spans="1:11" x14ac:dyDescent="0.25">
      <c r="A478" s="12"/>
      <c r="B478" s="7" t="s">
        <v>222</v>
      </c>
      <c r="C478" s="25">
        <v>20039413</v>
      </c>
      <c r="D478" s="7" t="s">
        <v>3762</v>
      </c>
      <c r="E478" s="26">
        <v>1</v>
      </c>
      <c r="F478" s="7" t="s">
        <v>225</v>
      </c>
      <c r="G478" s="7" t="s">
        <v>219</v>
      </c>
      <c r="H478" s="19" t="str">
        <f t="shared" si="7"/>
        <v/>
      </c>
      <c r="I478" s="19" t="s">
        <v>221</v>
      </c>
      <c r="J478" s="7" t="s">
        <v>397</v>
      </c>
      <c r="K478" s="25" t="s">
        <v>225</v>
      </c>
    </row>
    <row r="479" spans="1:11" x14ac:dyDescent="0.25">
      <c r="A479" s="12"/>
      <c r="B479" s="7" t="s">
        <v>230</v>
      </c>
      <c r="C479" s="25">
        <v>20039421</v>
      </c>
      <c r="D479" s="7" t="s">
        <v>3761</v>
      </c>
      <c r="E479" s="26">
        <v>1</v>
      </c>
      <c r="F479" s="7" t="s">
        <v>225</v>
      </c>
      <c r="G479" s="7" t="s">
        <v>219</v>
      </c>
      <c r="H479" s="19" t="str">
        <f t="shared" si="7"/>
        <v/>
      </c>
      <c r="I479" s="19" t="s">
        <v>910</v>
      </c>
      <c r="J479" s="7" t="s">
        <v>309</v>
      </c>
      <c r="K479" s="25" t="s">
        <v>225</v>
      </c>
    </row>
    <row r="480" spans="1:11" x14ac:dyDescent="0.25">
      <c r="A480" s="12"/>
      <c r="B480" s="7" t="s">
        <v>222</v>
      </c>
      <c r="C480" s="25">
        <v>20039438</v>
      </c>
      <c r="D480" s="7" t="s">
        <v>3766</v>
      </c>
      <c r="E480" s="26">
        <v>1</v>
      </c>
      <c r="F480" s="7" t="s">
        <v>225</v>
      </c>
      <c r="G480" s="7" t="s">
        <v>219</v>
      </c>
      <c r="H480" s="19" t="str">
        <f t="shared" si="7"/>
        <v/>
      </c>
      <c r="I480" s="19" t="s">
        <v>221</v>
      </c>
      <c r="J480" s="7" t="s">
        <v>246</v>
      </c>
      <c r="K480" s="25" t="s">
        <v>225</v>
      </c>
    </row>
    <row r="481" spans="1:11" x14ac:dyDescent="0.25">
      <c r="A481" s="12"/>
      <c r="B481" s="7" t="s">
        <v>230</v>
      </c>
      <c r="C481" s="25">
        <v>20039448</v>
      </c>
      <c r="D481" s="7" t="s">
        <v>3767</v>
      </c>
      <c r="E481" s="26">
        <v>1</v>
      </c>
      <c r="F481" s="7" t="s">
        <v>225</v>
      </c>
      <c r="G481" s="7" t="s">
        <v>219</v>
      </c>
      <c r="H481" s="19" t="str">
        <f t="shared" si="7"/>
        <v/>
      </c>
      <c r="I481" s="19" t="s">
        <v>910</v>
      </c>
      <c r="J481" s="7" t="s">
        <v>397</v>
      </c>
      <c r="K481" s="25" t="s">
        <v>225</v>
      </c>
    </row>
    <row r="482" spans="1:11" x14ac:dyDescent="0.25">
      <c r="A482" s="12"/>
      <c r="B482" s="7" t="s">
        <v>227</v>
      </c>
      <c r="C482" s="25">
        <v>20039450</v>
      </c>
      <c r="D482" s="7" t="s">
        <v>3768</v>
      </c>
      <c r="E482" s="26">
        <v>1</v>
      </c>
      <c r="F482" s="7" t="s">
        <v>225</v>
      </c>
      <c r="G482" s="7" t="s">
        <v>219</v>
      </c>
      <c r="H482" s="19" t="str">
        <f t="shared" si="7"/>
        <v/>
      </c>
      <c r="I482" s="19" t="s">
        <v>37</v>
      </c>
      <c r="J482" s="7" t="s">
        <v>402</v>
      </c>
      <c r="K482" s="25" t="s">
        <v>225</v>
      </c>
    </row>
    <row r="483" spans="1:11" x14ac:dyDescent="0.25">
      <c r="A483" s="12"/>
      <c r="B483" s="7" t="s">
        <v>230</v>
      </c>
      <c r="C483" s="25">
        <v>20039469</v>
      </c>
      <c r="D483" s="7" t="s">
        <v>3770</v>
      </c>
      <c r="E483" s="26">
        <v>1</v>
      </c>
      <c r="F483" s="7" t="s">
        <v>225</v>
      </c>
      <c r="G483" s="7" t="s">
        <v>219</v>
      </c>
      <c r="H483" s="19" t="str">
        <f t="shared" si="7"/>
        <v/>
      </c>
      <c r="I483" s="19" t="s">
        <v>910</v>
      </c>
      <c r="J483" s="7" t="s">
        <v>440</v>
      </c>
      <c r="K483" s="25" t="s">
        <v>225</v>
      </c>
    </row>
    <row r="484" spans="1:11" x14ac:dyDescent="0.25">
      <c r="A484" s="12"/>
      <c r="B484" s="7" t="s">
        <v>227</v>
      </c>
      <c r="C484" s="25">
        <v>20039484</v>
      </c>
      <c r="D484" s="7" t="s">
        <v>3774</v>
      </c>
      <c r="E484" s="26">
        <v>1</v>
      </c>
      <c r="F484" s="7" t="s">
        <v>225</v>
      </c>
      <c r="G484" s="7" t="s">
        <v>219</v>
      </c>
      <c r="H484" s="19" t="str">
        <f t="shared" si="7"/>
        <v/>
      </c>
      <c r="I484" s="19" t="s">
        <v>37</v>
      </c>
      <c r="J484" s="7" t="s">
        <v>942</v>
      </c>
      <c r="K484" s="25" t="s">
        <v>225</v>
      </c>
    </row>
    <row r="485" spans="1:11" x14ac:dyDescent="0.25">
      <c r="A485" s="12"/>
      <c r="B485" s="7" t="s">
        <v>343</v>
      </c>
      <c r="C485" s="25">
        <v>20039485</v>
      </c>
      <c r="D485" s="7" t="s">
        <v>3775</v>
      </c>
      <c r="E485" s="26">
        <v>1</v>
      </c>
      <c r="F485" s="7" t="s">
        <v>225</v>
      </c>
      <c r="G485" s="7" t="s">
        <v>219</v>
      </c>
      <c r="H485" s="19" t="str">
        <f t="shared" si="7"/>
        <v/>
      </c>
      <c r="I485" s="19" t="s">
        <v>912</v>
      </c>
      <c r="J485" s="7" t="s">
        <v>347</v>
      </c>
      <c r="K485" s="25" t="s">
        <v>225</v>
      </c>
    </row>
    <row r="486" spans="1:11" x14ac:dyDescent="0.25">
      <c r="A486" s="12"/>
      <c r="B486" s="7" t="s">
        <v>222</v>
      </c>
      <c r="C486" s="25">
        <v>20039640</v>
      </c>
      <c r="D486" s="7" t="s">
        <v>3790</v>
      </c>
      <c r="E486" s="26">
        <v>1</v>
      </c>
      <c r="F486" s="7" t="s">
        <v>225</v>
      </c>
      <c r="G486" s="7" t="s">
        <v>219</v>
      </c>
      <c r="H486" s="19" t="str">
        <f t="shared" si="7"/>
        <v/>
      </c>
      <c r="I486" s="19" t="s">
        <v>221</v>
      </c>
      <c r="J486" s="7" t="s">
        <v>347</v>
      </c>
      <c r="K486" s="25" t="s">
        <v>225</v>
      </c>
    </row>
    <row r="487" spans="1:11" x14ac:dyDescent="0.25">
      <c r="A487" s="12"/>
      <c r="B487" s="7" t="s">
        <v>230</v>
      </c>
      <c r="C487" s="25">
        <v>20039648</v>
      </c>
      <c r="D487" s="7" t="s">
        <v>3791</v>
      </c>
      <c r="E487" s="26">
        <v>1</v>
      </c>
      <c r="F487" s="7" t="s">
        <v>225</v>
      </c>
      <c r="G487" s="7" t="s">
        <v>219</v>
      </c>
      <c r="H487" s="19" t="str">
        <f t="shared" si="7"/>
        <v/>
      </c>
      <c r="I487" s="19" t="s">
        <v>910</v>
      </c>
      <c r="J487" s="7" t="s">
        <v>309</v>
      </c>
      <c r="K487" s="25" t="s">
        <v>225</v>
      </c>
    </row>
    <row r="488" spans="1:11" x14ac:dyDescent="0.25">
      <c r="A488" s="12"/>
      <c r="B488" s="7" t="s">
        <v>222</v>
      </c>
      <c r="C488" s="25">
        <v>20039728</v>
      </c>
      <c r="D488" s="7" t="s">
        <v>3805</v>
      </c>
      <c r="E488" s="26">
        <v>1</v>
      </c>
      <c r="F488" s="7" t="s">
        <v>225</v>
      </c>
      <c r="G488" s="7" t="s">
        <v>219</v>
      </c>
      <c r="H488" s="19" t="str">
        <f t="shared" si="7"/>
        <v/>
      </c>
      <c r="I488" s="19" t="s">
        <v>221</v>
      </c>
      <c r="J488" s="7" t="s">
        <v>954</v>
      </c>
      <c r="K488" s="25" t="s">
        <v>225</v>
      </c>
    </row>
    <row r="489" spans="1:11" x14ac:dyDescent="0.25">
      <c r="A489" s="12"/>
      <c r="B489" s="7" t="s">
        <v>222</v>
      </c>
      <c r="C489" s="25">
        <v>20039760</v>
      </c>
      <c r="D489" s="7" t="s">
        <v>3818</v>
      </c>
      <c r="E489" s="26">
        <v>1</v>
      </c>
      <c r="F489" s="7" t="s">
        <v>225</v>
      </c>
      <c r="G489" s="7" t="s">
        <v>219</v>
      </c>
      <c r="H489" s="19" t="str">
        <f t="shared" si="7"/>
        <v/>
      </c>
      <c r="I489" s="19" t="s">
        <v>221</v>
      </c>
      <c r="J489" s="7" t="s">
        <v>347</v>
      </c>
      <c r="K489" s="25" t="s">
        <v>225</v>
      </c>
    </row>
    <row r="490" spans="1:11" x14ac:dyDescent="0.25">
      <c r="A490" s="12"/>
      <c r="B490" s="7" t="s">
        <v>222</v>
      </c>
      <c r="C490" s="25">
        <v>20039770</v>
      </c>
      <c r="D490" s="7" t="s">
        <v>3817</v>
      </c>
      <c r="E490" s="26">
        <v>1</v>
      </c>
      <c r="F490" s="7" t="s">
        <v>225</v>
      </c>
      <c r="G490" s="7" t="s">
        <v>219</v>
      </c>
      <c r="H490" s="19" t="str">
        <f t="shared" si="7"/>
        <v/>
      </c>
      <c r="I490" s="19" t="s">
        <v>221</v>
      </c>
      <c r="J490" s="7" t="s">
        <v>313</v>
      </c>
      <c r="K490" s="25" t="s">
        <v>225</v>
      </c>
    </row>
    <row r="491" spans="1:11" x14ac:dyDescent="0.25">
      <c r="A491" s="12"/>
      <c r="B491" s="7" t="s">
        <v>222</v>
      </c>
      <c r="C491" s="25">
        <v>20039779</v>
      </c>
      <c r="D491" s="7" t="s">
        <v>3825</v>
      </c>
      <c r="E491" s="26">
        <v>1</v>
      </c>
      <c r="F491" s="7" t="s">
        <v>225</v>
      </c>
      <c r="G491" s="7" t="s">
        <v>219</v>
      </c>
      <c r="H491" s="19" t="str">
        <f t="shared" si="7"/>
        <v/>
      </c>
      <c r="I491" s="19" t="s">
        <v>221</v>
      </c>
      <c r="J491" s="7" t="s">
        <v>347</v>
      </c>
      <c r="K491" s="25" t="s">
        <v>225</v>
      </c>
    </row>
    <row r="492" spans="1:11" x14ac:dyDescent="0.25">
      <c r="A492" s="12"/>
      <c r="B492" s="7" t="s">
        <v>223</v>
      </c>
      <c r="C492" s="25">
        <v>20039808</v>
      </c>
      <c r="D492" s="7" t="s">
        <v>3827</v>
      </c>
      <c r="E492" s="26">
        <v>1</v>
      </c>
      <c r="F492" s="7" t="s">
        <v>225</v>
      </c>
      <c r="G492" s="7" t="s">
        <v>219</v>
      </c>
      <c r="H492" s="19" t="str">
        <f t="shared" si="7"/>
        <v/>
      </c>
      <c r="I492" s="19" t="s">
        <v>399</v>
      </c>
      <c r="J492" s="7" t="s">
        <v>311</v>
      </c>
      <c r="K492" s="25" t="s">
        <v>225</v>
      </c>
    </row>
    <row r="493" spans="1:11" x14ac:dyDescent="0.25">
      <c r="A493" s="12"/>
      <c r="B493" s="7" t="s">
        <v>223</v>
      </c>
      <c r="C493" s="25">
        <v>20039810</v>
      </c>
      <c r="D493" s="7" t="s">
        <v>3832</v>
      </c>
      <c r="E493" s="26">
        <v>1</v>
      </c>
      <c r="F493" s="7" t="s">
        <v>225</v>
      </c>
      <c r="G493" s="7" t="s">
        <v>219</v>
      </c>
      <c r="H493" s="19" t="str">
        <f t="shared" si="7"/>
        <v/>
      </c>
      <c r="I493" s="19" t="s">
        <v>399</v>
      </c>
      <c r="J493" s="7" t="s">
        <v>337</v>
      </c>
      <c r="K493" s="25" t="s">
        <v>225</v>
      </c>
    </row>
    <row r="494" spans="1:11" x14ac:dyDescent="0.25">
      <c r="A494" s="12"/>
      <c r="B494" s="7" t="s">
        <v>222</v>
      </c>
      <c r="C494" s="25">
        <v>20039901</v>
      </c>
      <c r="D494" s="7" t="s">
        <v>3847</v>
      </c>
      <c r="E494" s="26">
        <v>1</v>
      </c>
      <c r="F494" s="7" t="s">
        <v>225</v>
      </c>
      <c r="G494" s="7" t="s">
        <v>219</v>
      </c>
      <c r="H494" s="19" t="str">
        <f t="shared" si="7"/>
        <v/>
      </c>
      <c r="I494" s="19" t="s">
        <v>221</v>
      </c>
      <c r="J494" s="7" t="s">
        <v>313</v>
      </c>
      <c r="K494" s="25" t="s">
        <v>225</v>
      </c>
    </row>
    <row r="495" spans="1:11" x14ac:dyDescent="0.25">
      <c r="A495" s="12"/>
      <c r="B495" s="7" t="s">
        <v>222</v>
      </c>
      <c r="C495" s="25">
        <v>20039902</v>
      </c>
      <c r="D495" s="7" t="s">
        <v>3848</v>
      </c>
      <c r="E495" s="26">
        <v>1</v>
      </c>
      <c r="F495" s="7" t="s">
        <v>225</v>
      </c>
      <c r="G495" s="7" t="s">
        <v>219</v>
      </c>
      <c r="H495" s="19" t="str">
        <f t="shared" si="7"/>
        <v/>
      </c>
      <c r="I495" s="19" t="s">
        <v>221</v>
      </c>
      <c r="J495" s="7" t="s">
        <v>313</v>
      </c>
      <c r="K495" s="25" t="s">
        <v>225</v>
      </c>
    </row>
    <row r="496" spans="1:11" x14ac:dyDescent="0.25">
      <c r="A496" s="12"/>
      <c r="B496" s="7" t="s">
        <v>222</v>
      </c>
      <c r="C496" s="25">
        <v>20039910</v>
      </c>
      <c r="D496" s="7" t="s">
        <v>3851</v>
      </c>
      <c r="E496" s="26">
        <v>1</v>
      </c>
      <c r="F496" s="7" t="s">
        <v>352</v>
      </c>
      <c r="G496" s="7" t="s">
        <v>202</v>
      </c>
      <c r="H496" s="19" t="str">
        <f t="shared" si="7"/>
        <v/>
      </c>
      <c r="I496" s="19" t="s">
        <v>221</v>
      </c>
      <c r="J496" s="7" t="s">
        <v>309</v>
      </c>
      <c r="K496" s="25" t="s">
        <v>352</v>
      </c>
    </row>
    <row r="497" spans="1:11" x14ac:dyDescent="0.25">
      <c r="A497" s="12"/>
      <c r="B497" s="7" t="s">
        <v>222</v>
      </c>
      <c r="C497" s="25">
        <v>20039911</v>
      </c>
      <c r="D497" s="7" t="s">
        <v>3852</v>
      </c>
      <c r="E497" s="26">
        <v>1</v>
      </c>
      <c r="F497" s="7" t="s">
        <v>352</v>
      </c>
      <c r="G497" s="7" t="s">
        <v>202</v>
      </c>
      <c r="H497" s="19" t="str">
        <f t="shared" si="7"/>
        <v/>
      </c>
      <c r="I497" s="19" t="s">
        <v>221</v>
      </c>
      <c r="J497" s="7" t="s">
        <v>309</v>
      </c>
      <c r="K497" s="25" t="s">
        <v>352</v>
      </c>
    </row>
    <row r="498" spans="1:11" x14ac:dyDescent="0.25">
      <c r="A498" s="12"/>
      <c r="B498" s="7" t="s">
        <v>222</v>
      </c>
      <c r="C498" s="25">
        <v>20039990</v>
      </c>
      <c r="D498" s="7" t="s">
        <v>3868</v>
      </c>
      <c r="E498" s="26">
        <v>1</v>
      </c>
      <c r="F498" s="7" t="s">
        <v>225</v>
      </c>
      <c r="G498" s="7" t="s">
        <v>219</v>
      </c>
      <c r="H498" s="19" t="str">
        <f t="shared" si="7"/>
        <v/>
      </c>
      <c r="I498" s="19" t="s">
        <v>221</v>
      </c>
      <c r="J498" s="7" t="s">
        <v>315</v>
      </c>
      <c r="K498" s="25" t="s">
        <v>225</v>
      </c>
    </row>
    <row r="499" spans="1:11" x14ac:dyDescent="0.25">
      <c r="A499" s="12"/>
      <c r="B499" s="7" t="s">
        <v>223</v>
      </c>
      <c r="C499" s="25">
        <v>20039991</v>
      </c>
      <c r="D499" s="7" t="s">
        <v>3869</v>
      </c>
      <c r="E499" s="26">
        <v>1</v>
      </c>
      <c r="F499" s="7" t="s">
        <v>225</v>
      </c>
      <c r="G499" s="7" t="s">
        <v>219</v>
      </c>
      <c r="H499" s="19" t="str">
        <f t="shared" si="7"/>
        <v/>
      </c>
      <c r="I499" s="19" t="s">
        <v>399</v>
      </c>
      <c r="J499" s="7" t="s">
        <v>315</v>
      </c>
      <c r="K499" s="25" t="s">
        <v>225</v>
      </c>
    </row>
    <row r="500" spans="1:11" x14ac:dyDescent="0.25">
      <c r="A500" s="12"/>
      <c r="B500" s="7" t="s">
        <v>222</v>
      </c>
      <c r="C500" s="25">
        <v>20039992</v>
      </c>
      <c r="D500" s="7" t="s">
        <v>3870</v>
      </c>
      <c r="E500" s="26">
        <v>1</v>
      </c>
      <c r="F500" s="7" t="s">
        <v>225</v>
      </c>
      <c r="G500" s="7" t="s">
        <v>219</v>
      </c>
      <c r="H500" s="19" t="str">
        <f t="shared" si="7"/>
        <v/>
      </c>
      <c r="I500" s="19" t="s">
        <v>221</v>
      </c>
      <c r="J500" s="7" t="s">
        <v>315</v>
      </c>
      <c r="K500" s="25" t="s">
        <v>225</v>
      </c>
    </row>
    <row r="501" spans="1:11" x14ac:dyDescent="0.25">
      <c r="A501" s="12"/>
      <c r="B501" s="7" t="s">
        <v>222</v>
      </c>
      <c r="C501" s="25">
        <v>20039993</v>
      </c>
      <c r="D501" s="7" t="s">
        <v>3871</v>
      </c>
      <c r="E501" s="26">
        <v>1</v>
      </c>
      <c r="F501" s="7" t="s">
        <v>225</v>
      </c>
      <c r="G501" s="7" t="s">
        <v>219</v>
      </c>
      <c r="H501" s="19" t="str">
        <f t="shared" si="7"/>
        <v/>
      </c>
      <c r="I501" s="19" t="s">
        <v>221</v>
      </c>
      <c r="J501" s="7" t="s">
        <v>1209</v>
      </c>
      <c r="K501" s="25" t="s">
        <v>225</v>
      </c>
    </row>
    <row r="502" spans="1:11" x14ac:dyDescent="0.25">
      <c r="A502" s="12"/>
      <c r="B502" s="7" t="s">
        <v>222</v>
      </c>
      <c r="C502" s="25">
        <v>20039994</v>
      </c>
      <c r="D502" s="7" t="s">
        <v>3872</v>
      </c>
      <c r="E502" s="26">
        <v>1</v>
      </c>
      <c r="F502" s="7" t="s">
        <v>225</v>
      </c>
      <c r="G502" s="7" t="s">
        <v>219</v>
      </c>
      <c r="H502" s="19" t="str">
        <f t="shared" si="7"/>
        <v/>
      </c>
      <c r="I502" s="19" t="s">
        <v>221</v>
      </c>
      <c r="J502" s="7" t="s">
        <v>1184</v>
      </c>
      <c r="K502" s="25" t="s">
        <v>225</v>
      </c>
    </row>
    <row r="503" spans="1:11" x14ac:dyDescent="0.25">
      <c r="A503" s="12"/>
      <c r="B503" s="7" t="s">
        <v>230</v>
      </c>
      <c r="C503" s="25">
        <v>20040018</v>
      </c>
      <c r="D503" s="7" t="s">
        <v>3873</v>
      </c>
      <c r="E503" s="26">
        <v>1</v>
      </c>
      <c r="F503" s="7" t="s">
        <v>225</v>
      </c>
      <c r="G503" s="7" t="s">
        <v>219</v>
      </c>
      <c r="H503" s="19" t="str">
        <f t="shared" si="7"/>
        <v/>
      </c>
      <c r="I503" s="19" t="s">
        <v>910</v>
      </c>
      <c r="J503" s="7" t="s">
        <v>309</v>
      </c>
      <c r="K503" s="25" t="s">
        <v>225</v>
      </c>
    </row>
    <row r="504" spans="1:11" x14ac:dyDescent="0.25">
      <c r="A504" s="12"/>
      <c r="B504" s="7" t="s">
        <v>222</v>
      </c>
      <c r="C504" s="25">
        <v>20040028</v>
      </c>
      <c r="D504" s="7" t="s">
        <v>3874</v>
      </c>
      <c r="E504" s="26">
        <v>1</v>
      </c>
      <c r="F504" s="7" t="s">
        <v>225</v>
      </c>
      <c r="G504" s="7" t="s">
        <v>219</v>
      </c>
      <c r="H504" s="19" t="str">
        <f t="shared" si="7"/>
        <v/>
      </c>
      <c r="I504" s="19" t="s">
        <v>221</v>
      </c>
      <c r="J504" s="7" t="s">
        <v>315</v>
      </c>
      <c r="K504" s="25" t="s">
        <v>225</v>
      </c>
    </row>
    <row r="505" spans="1:11" x14ac:dyDescent="0.25">
      <c r="A505" s="12"/>
      <c r="B505" s="7" t="s">
        <v>230</v>
      </c>
      <c r="C505" s="25">
        <v>20040148</v>
      </c>
      <c r="D505" s="7" t="s">
        <v>11034</v>
      </c>
      <c r="E505" s="26">
        <v>1</v>
      </c>
      <c r="F505" s="7" t="s">
        <v>352</v>
      </c>
      <c r="G505" s="7" t="s">
        <v>11199</v>
      </c>
      <c r="H505" s="19" t="str">
        <f t="shared" si="7"/>
        <v/>
      </c>
      <c r="I505" s="19" t="s">
        <v>910</v>
      </c>
      <c r="J505" s="7" t="s">
        <v>1184</v>
      </c>
      <c r="K505" s="25" t="s">
        <v>352</v>
      </c>
    </row>
    <row r="506" spans="1:11" x14ac:dyDescent="0.25">
      <c r="A506" s="12"/>
      <c r="B506" s="7" t="s">
        <v>230</v>
      </c>
      <c r="C506" s="25">
        <v>20040149</v>
      </c>
      <c r="D506" s="7" t="s">
        <v>3891</v>
      </c>
      <c r="E506" s="26">
        <v>1</v>
      </c>
      <c r="F506" s="7" t="s">
        <v>225</v>
      </c>
      <c r="G506" s="7" t="s">
        <v>219</v>
      </c>
      <c r="H506" s="19" t="str">
        <f t="shared" si="7"/>
        <v/>
      </c>
      <c r="I506" s="19" t="s">
        <v>910</v>
      </c>
      <c r="J506" s="7" t="s">
        <v>1184</v>
      </c>
      <c r="K506" s="25" t="s">
        <v>225</v>
      </c>
    </row>
    <row r="507" spans="1:11" x14ac:dyDescent="0.25">
      <c r="A507" s="12"/>
      <c r="B507" s="7" t="s">
        <v>222</v>
      </c>
      <c r="C507" s="25">
        <v>20040188</v>
      </c>
      <c r="D507" s="7" t="s">
        <v>3896</v>
      </c>
      <c r="E507" s="26">
        <v>1</v>
      </c>
      <c r="F507" s="7" t="s">
        <v>225</v>
      </c>
      <c r="G507" s="7" t="s">
        <v>219</v>
      </c>
      <c r="H507" s="19" t="str">
        <f t="shared" si="7"/>
        <v/>
      </c>
      <c r="I507" s="19" t="s">
        <v>221</v>
      </c>
      <c r="J507" s="7" t="s">
        <v>1209</v>
      </c>
      <c r="K507" s="25" t="s">
        <v>225</v>
      </c>
    </row>
    <row r="508" spans="1:11" x14ac:dyDescent="0.25">
      <c r="A508" s="12"/>
      <c r="B508" s="7" t="s">
        <v>222</v>
      </c>
      <c r="C508" s="25">
        <v>20040230</v>
      </c>
      <c r="D508" s="7" t="s">
        <v>3919</v>
      </c>
      <c r="E508" s="26">
        <v>1</v>
      </c>
      <c r="F508" s="7" t="s">
        <v>225</v>
      </c>
      <c r="G508" s="7" t="s">
        <v>219</v>
      </c>
      <c r="H508" s="19" t="str">
        <f t="shared" si="7"/>
        <v/>
      </c>
      <c r="I508" s="19" t="s">
        <v>221</v>
      </c>
      <c r="J508" s="7" t="s">
        <v>315</v>
      </c>
      <c r="K508" s="25" t="s">
        <v>225</v>
      </c>
    </row>
    <row r="509" spans="1:11" x14ac:dyDescent="0.25">
      <c r="A509" s="12"/>
      <c r="B509" s="7" t="s">
        <v>222</v>
      </c>
      <c r="C509" s="25">
        <v>20040256</v>
      </c>
      <c r="D509" s="7" t="s">
        <v>3926</v>
      </c>
      <c r="E509" s="26">
        <v>1</v>
      </c>
      <c r="F509" s="7" t="s">
        <v>225</v>
      </c>
      <c r="G509" s="7" t="s">
        <v>219</v>
      </c>
      <c r="H509" s="19" t="str">
        <f t="shared" si="7"/>
        <v/>
      </c>
      <c r="I509" s="19" t="s">
        <v>221</v>
      </c>
      <c r="J509" s="7" t="s">
        <v>315</v>
      </c>
      <c r="K509" s="25" t="s">
        <v>225</v>
      </c>
    </row>
    <row r="510" spans="1:11" x14ac:dyDescent="0.25">
      <c r="A510" s="12"/>
      <c r="B510" s="7" t="s">
        <v>222</v>
      </c>
      <c r="C510" s="25">
        <v>20040257</v>
      </c>
      <c r="D510" s="7" t="s">
        <v>3927</v>
      </c>
      <c r="E510" s="26">
        <v>1</v>
      </c>
      <c r="F510" s="7" t="s">
        <v>225</v>
      </c>
      <c r="G510" s="7" t="s">
        <v>219</v>
      </c>
      <c r="H510" s="19" t="str">
        <f t="shared" si="7"/>
        <v/>
      </c>
      <c r="I510" s="19" t="s">
        <v>221</v>
      </c>
      <c r="J510" s="7" t="s">
        <v>315</v>
      </c>
      <c r="K510" s="25" t="s">
        <v>225</v>
      </c>
    </row>
    <row r="511" spans="1:11" x14ac:dyDescent="0.25">
      <c r="A511" s="12"/>
      <c r="B511" s="7" t="s">
        <v>230</v>
      </c>
      <c r="C511" s="25">
        <v>20040299</v>
      </c>
      <c r="D511" s="7" t="s">
        <v>3936</v>
      </c>
      <c r="E511" s="26">
        <v>1</v>
      </c>
      <c r="F511" s="7" t="s">
        <v>225</v>
      </c>
      <c r="G511" s="7" t="s">
        <v>219</v>
      </c>
      <c r="H511" s="19" t="str">
        <f t="shared" si="7"/>
        <v/>
      </c>
      <c r="I511" s="19" t="s">
        <v>910</v>
      </c>
      <c r="J511" s="7" t="s">
        <v>327</v>
      </c>
      <c r="K511" s="25" t="s">
        <v>225</v>
      </c>
    </row>
    <row r="512" spans="1:11" x14ac:dyDescent="0.25">
      <c r="A512" s="12"/>
      <c r="B512" s="7" t="s">
        <v>230</v>
      </c>
      <c r="C512" s="25">
        <v>20040325</v>
      </c>
      <c r="D512" s="7" t="s">
        <v>3956</v>
      </c>
      <c r="E512" s="26">
        <v>1</v>
      </c>
      <c r="F512" s="7" t="s">
        <v>225</v>
      </c>
      <c r="G512" s="7" t="s">
        <v>219</v>
      </c>
      <c r="H512" s="19" t="str">
        <f t="shared" si="7"/>
        <v/>
      </c>
      <c r="I512" s="19" t="s">
        <v>910</v>
      </c>
      <c r="J512" s="7" t="s">
        <v>309</v>
      </c>
      <c r="K512" s="25" t="s">
        <v>225</v>
      </c>
    </row>
    <row r="513" spans="1:11" x14ac:dyDescent="0.25">
      <c r="A513" s="12"/>
      <c r="B513" s="7" t="s">
        <v>222</v>
      </c>
      <c r="C513" s="25">
        <v>20040398</v>
      </c>
      <c r="D513" s="7" t="s">
        <v>3964</v>
      </c>
      <c r="E513" s="26">
        <v>1</v>
      </c>
      <c r="F513" s="7" t="s">
        <v>225</v>
      </c>
      <c r="G513" s="7" t="s">
        <v>219</v>
      </c>
      <c r="H513" s="19" t="str">
        <f t="shared" si="7"/>
        <v/>
      </c>
      <c r="I513" s="19" t="s">
        <v>221</v>
      </c>
      <c r="J513" s="7" t="s">
        <v>4855</v>
      </c>
      <c r="K513" s="25" t="s">
        <v>225</v>
      </c>
    </row>
    <row r="514" spans="1:11" x14ac:dyDescent="0.25">
      <c r="A514" s="12"/>
      <c r="B514" s="7" t="s">
        <v>222</v>
      </c>
      <c r="C514" s="25">
        <v>20040498</v>
      </c>
      <c r="D514" s="7" t="s">
        <v>3980</v>
      </c>
      <c r="E514" s="26">
        <v>1</v>
      </c>
      <c r="F514" s="7" t="s">
        <v>225</v>
      </c>
      <c r="G514" s="7" t="s">
        <v>219</v>
      </c>
      <c r="H514" s="19" t="str">
        <f t="shared" si="7"/>
        <v/>
      </c>
      <c r="I514" s="19" t="s">
        <v>221</v>
      </c>
      <c r="J514" s="7" t="s">
        <v>347</v>
      </c>
      <c r="K514" s="25" t="s">
        <v>225</v>
      </c>
    </row>
    <row r="515" spans="1:11" x14ac:dyDescent="0.25">
      <c r="A515" s="12"/>
      <c r="B515" s="7" t="s">
        <v>222</v>
      </c>
      <c r="C515" s="25">
        <v>20040519</v>
      </c>
      <c r="D515" s="7" t="s">
        <v>3981</v>
      </c>
      <c r="E515" s="26">
        <v>1</v>
      </c>
      <c r="F515" s="7" t="s">
        <v>225</v>
      </c>
      <c r="G515" s="7" t="s">
        <v>219</v>
      </c>
      <c r="H515" s="19" t="str">
        <f t="shared" si="7"/>
        <v/>
      </c>
      <c r="I515" s="19" t="s">
        <v>221</v>
      </c>
      <c r="J515" s="7" t="s">
        <v>397</v>
      </c>
      <c r="K515" s="25" t="s">
        <v>225</v>
      </c>
    </row>
    <row r="516" spans="1:11" x14ac:dyDescent="0.25">
      <c r="A516" s="12"/>
      <c r="B516" s="7" t="s">
        <v>222</v>
      </c>
      <c r="C516" s="25">
        <v>20040567</v>
      </c>
      <c r="D516" s="7" t="s">
        <v>4007</v>
      </c>
      <c r="E516" s="26">
        <v>1</v>
      </c>
      <c r="F516" s="7" t="s">
        <v>225</v>
      </c>
      <c r="G516" s="7" t="s">
        <v>219</v>
      </c>
      <c r="H516" s="19" t="str">
        <f t="shared" si="7"/>
        <v/>
      </c>
      <c r="I516" s="19" t="s">
        <v>221</v>
      </c>
      <c r="J516" s="7" t="s">
        <v>347</v>
      </c>
      <c r="K516" s="25" t="s">
        <v>225</v>
      </c>
    </row>
    <row r="517" spans="1:11" x14ac:dyDescent="0.25">
      <c r="A517" s="12"/>
      <c r="B517" s="7" t="s">
        <v>222</v>
      </c>
      <c r="C517" s="25">
        <v>20040599</v>
      </c>
      <c r="D517" s="7" t="s">
        <v>4012</v>
      </c>
      <c r="E517" s="26">
        <v>1</v>
      </c>
      <c r="F517" s="7" t="s">
        <v>225</v>
      </c>
      <c r="G517" s="7" t="s">
        <v>219</v>
      </c>
      <c r="H517" s="19" t="str">
        <f t="shared" si="7"/>
        <v/>
      </c>
      <c r="I517" s="19" t="s">
        <v>221</v>
      </c>
      <c r="J517" s="7" t="s">
        <v>242</v>
      </c>
      <c r="K517" s="25" t="s">
        <v>225</v>
      </c>
    </row>
    <row r="518" spans="1:11" x14ac:dyDescent="0.25">
      <c r="A518" s="12"/>
      <c r="B518" s="7" t="s">
        <v>233</v>
      </c>
      <c r="C518" s="25">
        <v>20040600</v>
      </c>
      <c r="D518" s="7" t="s">
        <v>4013</v>
      </c>
      <c r="E518" s="26">
        <v>1</v>
      </c>
      <c r="F518" s="7" t="s">
        <v>225</v>
      </c>
      <c r="G518" s="7" t="s">
        <v>219</v>
      </c>
      <c r="H518" s="19" t="str">
        <f t="shared" si="7"/>
        <v/>
      </c>
      <c r="I518" s="19" t="s">
        <v>328</v>
      </c>
      <c r="J518" s="7" t="s">
        <v>242</v>
      </c>
      <c r="K518" s="25" t="s">
        <v>225</v>
      </c>
    </row>
    <row r="519" spans="1:11" x14ac:dyDescent="0.25">
      <c r="A519" s="12"/>
      <c r="B519" s="7" t="s">
        <v>230</v>
      </c>
      <c r="C519" s="25">
        <v>20040678</v>
      </c>
      <c r="D519" s="7" t="s">
        <v>4023</v>
      </c>
      <c r="E519" s="26">
        <v>1</v>
      </c>
      <c r="F519" s="7" t="s">
        <v>225</v>
      </c>
      <c r="G519" s="7" t="s">
        <v>219</v>
      </c>
      <c r="H519" s="19" t="str">
        <f t="shared" si="7"/>
        <v/>
      </c>
      <c r="I519" s="19" t="s">
        <v>910</v>
      </c>
      <c r="J519" s="7" t="s">
        <v>309</v>
      </c>
      <c r="K519" s="25" t="s">
        <v>225</v>
      </c>
    </row>
    <row r="520" spans="1:11" x14ac:dyDescent="0.25">
      <c r="A520" s="12"/>
      <c r="B520" s="7" t="s">
        <v>230</v>
      </c>
      <c r="C520" s="25">
        <v>20040679</v>
      </c>
      <c r="D520" s="7" t="s">
        <v>4024</v>
      </c>
      <c r="E520" s="26">
        <v>1</v>
      </c>
      <c r="F520" s="7" t="s">
        <v>225</v>
      </c>
      <c r="G520" s="7" t="s">
        <v>219</v>
      </c>
      <c r="H520" s="19" t="str">
        <f t="shared" si="7"/>
        <v/>
      </c>
      <c r="I520" s="19" t="s">
        <v>910</v>
      </c>
      <c r="J520" s="7" t="s">
        <v>309</v>
      </c>
      <c r="K520" s="25" t="s">
        <v>225</v>
      </c>
    </row>
    <row r="521" spans="1:11" x14ac:dyDescent="0.25">
      <c r="A521" s="12"/>
      <c r="B521" s="7" t="s">
        <v>230</v>
      </c>
      <c r="C521" s="25">
        <v>20040681</v>
      </c>
      <c r="D521" s="7" t="s">
        <v>4025</v>
      </c>
      <c r="E521" s="26">
        <v>1</v>
      </c>
      <c r="F521" s="7" t="s">
        <v>225</v>
      </c>
      <c r="G521" s="7" t="s">
        <v>219</v>
      </c>
      <c r="H521" s="19" t="str">
        <f t="shared" si="7"/>
        <v/>
      </c>
      <c r="I521" s="19" t="s">
        <v>910</v>
      </c>
      <c r="J521" s="7" t="s">
        <v>309</v>
      </c>
      <c r="K521" s="25" t="s">
        <v>225</v>
      </c>
    </row>
    <row r="522" spans="1:11" x14ac:dyDescent="0.25">
      <c r="A522" s="12"/>
      <c r="B522" s="7" t="s">
        <v>230</v>
      </c>
      <c r="C522" s="25">
        <v>20040689</v>
      </c>
      <c r="D522" s="7" t="s">
        <v>4027</v>
      </c>
      <c r="E522" s="26">
        <v>1</v>
      </c>
      <c r="F522" s="7" t="s">
        <v>225</v>
      </c>
      <c r="G522" s="7" t="s">
        <v>219</v>
      </c>
      <c r="H522" s="19" t="str">
        <f t="shared" si="7"/>
        <v/>
      </c>
      <c r="I522" s="19" t="s">
        <v>910</v>
      </c>
      <c r="J522" s="7" t="s">
        <v>397</v>
      </c>
      <c r="K522" s="25" t="s">
        <v>225</v>
      </c>
    </row>
    <row r="523" spans="1:11" x14ac:dyDescent="0.25">
      <c r="A523" s="12"/>
      <c r="B523" s="7" t="s">
        <v>230</v>
      </c>
      <c r="C523" s="25">
        <v>20040699</v>
      </c>
      <c r="D523" s="7" t="s">
        <v>4026</v>
      </c>
      <c r="E523" s="26">
        <v>1</v>
      </c>
      <c r="F523" s="7" t="s">
        <v>225</v>
      </c>
      <c r="G523" s="7" t="s">
        <v>219</v>
      </c>
      <c r="H523" s="19" t="str">
        <f t="shared" si="7"/>
        <v/>
      </c>
      <c r="I523" s="19" t="s">
        <v>910</v>
      </c>
      <c r="J523" s="7" t="s">
        <v>397</v>
      </c>
      <c r="K523" s="25" t="s">
        <v>225</v>
      </c>
    </row>
    <row r="524" spans="1:11" x14ac:dyDescent="0.25">
      <c r="A524" s="12"/>
      <c r="B524" s="7" t="s">
        <v>222</v>
      </c>
      <c r="C524" s="25">
        <v>20040769</v>
      </c>
      <c r="D524" s="7" t="s">
        <v>4033</v>
      </c>
      <c r="E524" s="26">
        <v>1</v>
      </c>
      <c r="F524" s="7" t="s">
        <v>225</v>
      </c>
      <c r="G524" s="7" t="s">
        <v>219</v>
      </c>
      <c r="H524" s="19" t="str">
        <f t="shared" si="7"/>
        <v/>
      </c>
      <c r="I524" s="19" t="s">
        <v>221</v>
      </c>
      <c r="J524" s="7" t="s">
        <v>246</v>
      </c>
      <c r="K524" s="25" t="s">
        <v>225</v>
      </c>
    </row>
    <row r="525" spans="1:11" x14ac:dyDescent="0.25">
      <c r="A525" s="12"/>
      <c r="B525" s="7" t="s">
        <v>222</v>
      </c>
      <c r="C525" s="25">
        <v>20040779</v>
      </c>
      <c r="D525" s="7" t="s">
        <v>4034</v>
      </c>
      <c r="E525" s="26">
        <v>1</v>
      </c>
      <c r="F525" s="7" t="s">
        <v>225</v>
      </c>
      <c r="G525" s="7" t="s">
        <v>219</v>
      </c>
      <c r="H525" s="19" t="str">
        <f t="shared" si="7"/>
        <v/>
      </c>
      <c r="I525" s="19" t="s">
        <v>221</v>
      </c>
      <c r="J525" s="7" t="s">
        <v>313</v>
      </c>
      <c r="K525" s="25" t="s">
        <v>225</v>
      </c>
    </row>
    <row r="526" spans="1:11" x14ac:dyDescent="0.25">
      <c r="A526" s="12"/>
      <c r="B526" s="7" t="s">
        <v>222</v>
      </c>
      <c r="C526" s="25">
        <v>20040801</v>
      </c>
      <c r="D526" s="7" t="s">
        <v>4041</v>
      </c>
      <c r="E526" s="26">
        <v>1</v>
      </c>
      <c r="F526" s="7" t="s">
        <v>225</v>
      </c>
      <c r="G526" s="7" t="s">
        <v>219</v>
      </c>
      <c r="H526" s="19" t="str">
        <f t="shared" si="7"/>
        <v/>
      </c>
      <c r="I526" s="19" t="s">
        <v>221</v>
      </c>
      <c r="J526" s="7" t="s">
        <v>721</v>
      </c>
      <c r="K526" s="25" t="s">
        <v>225</v>
      </c>
    </row>
    <row r="527" spans="1:11" x14ac:dyDescent="0.25">
      <c r="A527" s="12"/>
      <c r="B527" s="7" t="s">
        <v>222</v>
      </c>
      <c r="C527" s="25">
        <v>20040809</v>
      </c>
      <c r="D527" s="7" t="s">
        <v>4038</v>
      </c>
      <c r="E527" s="26">
        <v>1</v>
      </c>
      <c r="F527" s="7" t="s">
        <v>225</v>
      </c>
      <c r="G527" s="7" t="s">
        <v>219</v>
      </c>
      <c r="H527" s="19" t="str">
        <f t="shared" ref="H527:H590" si="8">IF(A527="", "", A527*E527)</f>
        <v/>
      </c>
      <c r="I527" s="19" t="s">
        <v>221</v>
      </c>
      <c r="J527" s="7" t="s">
        <v>347</v>
      </c>
      <c r="K527" s="25" t="s">
        <v>225</v>
      </c>
    </row>
    <row r="528" spans="1:11" x14ac:dyDescent="0.25">
      <c r="A528" s="12"/>
      <c r="B528" s="7" t="s">
        <v>222</v>
      </c>
      <c r="C528" s="25">
        <v>20040810</v>
      </c>
      <c r="D528" s="7" t="s">
        <v>4039</v>
      </c>
      <c r="E528" s="26">
        <v>1</v>
      </c>
      <c r="F528" s="7" t="s">
        <v>225</v>
      </c>
      <c r="G528" s="7" t="s">
        <v>219</v>
      </c>
      <c r="H528" s="19" t="str">
        <f t="shared" si="8"/>
        <v/>
      </c>
      <c r="I528" s="19" t="s">
        <v>221</v>
      </c>
      <c r="J528" s="7" t="s">
        <v>347</v>
      </c>
      <c r="K528" s="25" t="s">
        <v>225</v>
      </c>
    </row>
    <row r="529" spans="1:11" x14ac:dyDescent="0.25">
      <c r="A529" s="12"/>
      <c r="B529" s="7" t="s">
        <v>222</v>
      </c>
      <c r="C529" s="25">
        <v>20040893</v>
      </c>
      <c r="D529" s="7" t="s">
        <v>4088</v>
      </c>
      <c r="E529" s="26">
        <v>1</v>
      </c>
      <c r="F529" s="7" t="s">
        <v>225</v>
      </c>
      <c r="G529" s="7" t="s">
        <v>219</v>
      </c>
      <c r="H529" s="19" t="str">
        <f t="shared" si="8"/>
        <v/>
      </c>
      <c r="I529" s="19" t="s">
        <v>221</v>
      </c>
      <c r="J529" s="7" t="s">
        <v>309</v>
      </c>
      <c r="K529" s="25" t="s">
        <v>225</v>
      </c>
    </row>
    <row r="530" spans="1:11" x14ac:dyDescent="0.25">
      <c r="A530" s="12"/>
      <c r="B530" s="7" t="s">
        <v>222</v>
      </c>
      <c r="C530" s="25">
        <v>20040894</v>
      </c>
      <c r="D530" s="7" t="s">
        <v>4089</v>
      </c>
      <c r="E530" s="26">
        <v>1</v>
      </c>
      <c r="F530" s="7" t="s">
        <v>225</v>
      </c>
      <c r="G530" s="7" t="s">
        <v>219</v>
      </c>
      <c r="H530" s="19" t="str">
        <f t="shared" si="8"/>
        <v/>
      </c>
      <c r="I530" s="19" t="s">
        <v>221</v>
      </c>
      <c r="J530" s="7" t="s">
        <v>309</v>
      </c>
      <c r="K530" s="25" t="s">
        <v>225</v>
      </c>
    </row>
    <row r="531" spans="1:11" x14ac:dyDescent="0.25">
      <c r="A531" s="12"/>
      <c r="B531" s="7" t="s">
        <v>223</v>
      </c>
      <c r="C531" s="25">
        <v>20040912</v>
      </c>
      <c r="D531" s="7" t="s">
        <v>4079</v>
      </c>
      <c r="E531" s="26">
        <v>25</v>
      </c>
      <c r="F531" s="7" t="s">
        <v>225</v>
      </c>
      <c r="G531" s="7" t="s">
        <v>219</v>
      </c>
      <c r="H531" s="19" t="str">
        <f t="shared" si="8"/>
        <v/>
      </c>
      <c r="I531" s="19" t="s">
        <v>221</v>
      </c>
      <c r="J531" s="7" t="s">
        <v>311</v>
      </c>
      <c r="K531" s="25" t="s">
        <v>225</v>
      </c>
    </row>
    <row r="532" spans="1:11" x14ac:dyDescent="0.25">
      <c r="A532" s="12"/>
      <c r="B532" s="7" t="s">
        <v>222</v>
      </c>
      <c r="C532" s="25">
        <v>20040918</v>
      </c>
      <c r="D532" s="7" t="s">
        <v>4090</v>
      </c>
      <c r="E532" s="26">
        <v>1</v>
      </c>
      <c r="F532" s="7" t="s">
        <v>225</v>
      </c>
      <c r="G532" s="7" t="s">
        <v>219</v>
      </c>
      <c r="H532" s="19" t="str">
        <f t="shared" si="8"/>
        <v/>
      </c>
      <c r="I532" s="19" t="s">
        <v>221</v>
      </c>
      <c r="J532" s="7" t="s">
        <v>309</v>
      </c>
      <c r="K532" s="25" t="s">
        <v>225</v>
      </c>
    </row>
    <row r="533" spans="1:11" x14ac:dyDescent="0.25">
      <c r="A533" s="12"/>
      <c r="B533" s="7" t="s">
        <v>227</v>
      </c>
      <c r="C533" s="25">
        <v>20040923</v>
      </c>
      <c r="D533" s="7" t="s">
        <v>4094</v>
      </c>
      <c r="E533" s="26">
        <v>1</v>
      </c>
      <c r="F533" s="7" t="s">
        <v>225</v>
      </c>
      <c r="G533" s="7" t="s">
        <v>219</v>
      </c>
      <c r="H533" s="19" t="str">
        <f t="shared" si="8"/>
        <v/>
      </c>
      <c r="I533" s="19" t="s">
        <v>37</v>
      </c>
      <c r="J533" s="7" t="s">
        <v>942</v>
      </c>
      <c r="K533" s="25" t="s">
        <v>225</v>
      </c>
    </row>
    <row r="534" spans="1:11" x14ac:dyDescent="0.25">
      <c r="A534" s="12"/>
      <c r="B534" s="7" t="s">
        <v>222</v>
      </c>
      <c r="C534" s="25">
        <v>20040942</v>
      </c>
      <c r="D534" s="7" t="s">
        <v>4108</v>
      </c>
      <c r="E534" s="26">
        <v>1</v>
      </c>
      <c r="F534" s="7" t="s">
        <v>225</v>
      </c>
      <c r="G534" s="7" t="s">
        <v>219</v>
      </c>
      <c r="H534" s="19" t="str">
        <f t="shared" si="8"/>
        <v/>
      </c>
      <c r="I534" s="19" t="s">
        <v>221</v>
      </c>
      <c r="J534" s="7" t="s">
        <v>954</v>
      </c>
      <c r="K534" s="25" t="s">
        <v>225</v>
      </c>
    </row>
    <row r="535" spans="1:11" x14ac:dyDescent="0.25">
      <c r="A535" s="12"/>
      <c r="B535" s="7" t="s">
        <v>222</v>
      </c>
      <c r="C535" s="25">
        <v>20040943</v>
      </c>
      <c r="D535" s="7" t="s">
        <v>4109</v>
      </c>
      <c r="E535" s="26">
        <v>1</v>
      </c>
      <c r="F535" s="7" t="s">
        <v>225</v>
      </c>
      <c r="G535" s="7" t="s">
        <v>219</v>
      </c>
      <c r="H535" s="19" t="str">
        <f t="shared" si="8"/>
        <v/>
      </c>
      <c r="I535" s="19" t="s">
        <v>221</v>
      </c>
      <c r="J535" s="7" t="s">
        <v>954</v>
      </c>
      <c r="K535" s="25" t="s">
        <v>225</v>
      </c>
    </row>
    <row r="536" spans="1:11" x14ac:dyDescent="0.25">
      <c r="A536" s="12"/>
      <c r="B536" s="7" t="s">
        <v>222</v>
      </c>
      <c r="C536" s="25">
        <v>20040998</v>
      </c>
      <c r="D536" s="7" t="s">
        <v>4099</v>
      </c>
      <c r="E536" s="26">
        <v>1</v>
      </c>
      <c r="F536" s="7" t="s">
        <v>352</v>
      </c>
      <c r="G536" s="7" t="s">
        <v>4100</v>
      </c>
      <c r="H536" s="19" t="str">
        <f t="shared" si="8"/>
        <v/>
      </c>
      <c r="I536" s="19" t="s">
        <v>221</v>
      </c>
      <c r="J536" s="7" t="s">
        <v>315</v>
      </c>
      <c r="K536" s="25" t="s">
        <v>352</v>
      </c>
    </row>
    <row r="537" spans="1:11" x14ac:dyDescent="0.25">
      <c r="A537" s="12"/>
      <c r="B537" s="7" t="s">
        <v>230</v>
      </c>
      <c r="C537" s="25">
        <v>20041048</v>
      </c>
      <c r="D537" s="7" t="s">
        <v>11211</v>
      </c>
      <c r="E537" s="26">
        <v>1</v>
      </c>
      <c r="F537" s="7" t="s">
        <v>225</v>
      </c>
      <c r="G537" s="7" t="s">
        <v>219</v>
      </c>
      <c r="H537" s="19" t="str">
        <f t="shared" si="8"/>
        <v/>
      </c>
      <c r="I537" s="19" t="s">
        <v>910</v>
      </c>
      <c r="J537" s="7" t="s">
        <v>309</v>
      </c>
      <c r="K537" s="25" t="s">
        <v>225</v>
      </c>
    </row>
    <row r="538" spans="1:11" x14ac:dyDescent="0.25">
      <c r="A538" s="12"/>
      <c r="B538" s="7" t="s">
        <v>230</v>
      </c>
      <c r="C538" s="25">
        <v>20041179</v>
      </c>
      <c r="D538" s="7" t="s">
        <v>4143</v>
      </c>
      <c r="E538" s="26">
        <v>1</v>
      </c>
      <c r="F538" s="7" t="s">
        <v>225</v>
      </c>
      <c r="G538" s="7" t="s">
        <v>219</v>
      </c>
      <c r="H538" s="19" t="str">
        <f t="shared" si="8"/>
        <v/>
      </c>
      <c r="I538" s="19" t="s">
        <v>910</v>
      </c>
      <c r="J538" s="7" t="s">
        <v>309</v>
      </c>
      <c r="K538" s="25" t="s">
        <v>225</v>
      </c>
    </row>
    <row r="539" spans="1:11" x14ac:dyDescent="0.25">
      <c r="A539" s="12"/>
      <c r="B539" s="7" t="s">
        <v>222</v>
      </c>
      <c r="C539" s="25">
        <v>20041238</v>
      </c>
      <c r="D539" s="7" t="s">
        <v>4144</v>
      </c>
      <c r="E539" s="26">
        <v>1</v>
      </c>
      <c r="F539" s="7" t="s">
        <v>225</v>
      </c>
      <c r="G539" s="7" t="s">
        <v>219</v>
      </c>
      <c r="H539" s="19" t="str">
        <f t="shared" si="8"/>
        <v/>
      </c>
      <c r="I539" s="19" t="s">
        <v>221</v>
      </c>
      <c r="J539" s="7" t="s">
        <v>397</v>
      </c>
      <c r="K539" s="25" t="s">
        <v>225</v>
      </c>
    </row>
    <row r="540" spans="1:11" x14ac:dyDescent="0.25">
      <c r="A540" s="12"/>
      <c r="B540" s="7" t="s">
        <v>222</v>
      </c>
      <c r="C540" s="25">
        <v>20041318</v>
      </c>
      <c r="D540" s="7" t="s">
        <v>4159</v>
      </c>
      <c r="E540" s="26">
        <v>1</v>
      </c>
      <c r="F540" s="7" t="s">
        <v>225</v>
      </c>
      <c r="G540" s="7" t="s">
        <v>219</v>
      </c>
      <c r="H540" s="19" t="str">
        <f t="shared" si="8"/>
        <v/>
      </c>
      <c r="I540" s="19" t="s">
        <v>221</v>
      </c>
      <c r="J540" s="7" t="s">
        <v>347</v>
      </c>
      <c r="K540" s="25" t="s">
        <v>225</v>
      </c>
    </row>
    <row r="541" spans="1:11" x14ac:dyDescent="0.25">
      <c r="A541" s="12"/>
      <c r="B541" s="7" t="s">
        <v>223</v>
      </c>
      <c r="C541" s="25">
        <v>20041319</v>
      </c>
      <c r="D541" s="7" t="s">
        <v>4163</v>
      </c>
      <c r="E541" s="26">
        <v>10</v>
      </c>
      <c r="F541" s="7" t="s">
        <v>225</v>
      </c>
      <c r="G541" s="7" t="s">
        <v>219</v>
      </c>
      <c r="H541" s="19" t="str">
        <f t="shared" si="8"/>
        <v/>
      </c>
      <c r="I541" s="19" t="s">
        <v>221</v>
      </c>
      <c r="J541" s="7" t="s">
        <v>347</v>
      </c>
      <c r="K541" s="25" t="s">
        <v>225</v>
      </c>
    </row>
    <row r="542" spans="1:11" x14ac:dyDescent="0.25">
      <c r="A542" s="12"/>
      <c r="B542" s="7" t="s">
        <v>222</v>
      </c>
      <c r="C542" s="25">
        <v>20041397</v>
      </c>
      <c r="D542" s="7" t="s">
        <v>4260</v>
      </c>
      <c r="E542" s="26">
        <v>1</v>
      </c>
      <c r="F542" s="7" t="s">
        <v>225</v>
      </c>
      <c r="G542" s="7" t="s">
        <v>219</v>
      </c>
      <c r="H542" s="19" t="str">
        <f t="shared" si="8"/>
        <v/>
      </c>
      <c r="I542" s="19" t="s">
        <v>221</v>
      </c>
      <c r="J542" s="7" t="s">
        <v>313</v>
      </c>
      <c r="K542" s="25" t="s">
        <v>225</v>
      </c>
    </row>
    <row r="543" spans="1:11" x14ac:dyDescent="0.25">
      <c r="A543" s="12"/>
      <c r="B543" s="7" t="s">
        <v>222</v>
      </c>
      <c r="C543" s="25">
        <v>20041459</v>
      </c>
      <c r="D543" s="7" t="s">
        <v>4247</v>
      </c>
      <c r="E543" s="26">
        <v>1</v>
      </c>
      <c r="F543" s="7" t="s">
        <v>225</v>
      </c>
      <c r="G543" s="7" t="s">
        <v>219</v>
      </c>
      <c r="H543" s="19" t="str">
        <f t="shared" si="8"/>
        <v/>
      </c>
      <c r="I543" s="19" t="s">
        <v>221</v>
      </c>
      <c r="J543" s="7" t="s">
        <v>313</v>
      </c>
      <c r="K543" s="25" t="s">
        <v>225</v>
      </c>
    </row>
    <row r="544" spans="1:11" x14ac:dyDescent="0.25">
      <c r="A544" s="12"/>
      <c r="B544" s="7" t="s">
        <v>222</v>
      </c>
      <c r="C544" s="25">
        <v>20041549</v>
      </c>
      <c r="D544" s="7" t="s">
        <v>4284</v>
      </c>
      <c r="E544" s="26">
        <v>1</v>
      </c>
      <c r="F544" s="7" t="s">
        <v>225</v>
      </c>
      <c r="G544" s="7" t="s">
        <v>219</v>
      </c>
      <c r="H544" s="19" t="str">
        <f t="shared" si="8"/>
        <v/>
      </c>
      <c r="I544" s="19" t="s">
        <v>221</v>
      </c>
      <c r="J544" s="7" t="s">
        <v>313</v>
      </c>
      <c r="K544" s="25" t="s">
        <v>225</v>
      </c>
    </row>
    <row r="545" spans="1:11" x14ac:dyDescent="0.25">
      <c r="A545" s="12"/>
      <c r="B545" s="7" t="s">
        <v>222</v>
      </c>
      <c r="C545" s="25">
        <v>20041550</v>
      </c>
      <c r="D545" s="7" t="s">
        <v>4285</v>
      </c>
      <c r="E545" s="26">
        <v>1</v>
      </c>
      <c r="F545" s="7" t="s">
        <v>225</v>
      </c>
      <c r="G545" s="7" t="s">
        <v>219</v>
      </c>
      <c r="H545" s="19" t="str">
        <f t="shared" si="8"/>
        <v/>
      </c>
      <c r="I545" s="19" t="s">
        <v>221</v>
      </c>
      <c r="J545" s="7" t="s">
        <v>313</v>
      </c>
      <c r="K545" s="25" t="s">
        <v>225</v>
      </c>
    </row>
    <row r="546" spans="1:11" x14ac:dyDescent="0.25">
      <c r="A546" s="12"/>
      <c r="B546" s="7" t="s">
        <v>222</v>
      </c>
      <c r="C546" s="25">
        <v>20041551</v>
      </c>
      <c r="D546" s="7" t="s">
        <v>4286</v>
      </c>
      <c r="E546" s="26">
        <v>1</v>
      </c>
      <c r="F546" s="7" t="s">
        <v>225</v>
      </c>
      <c r="G546" s="7" t="s">
        <v>219</v>
      </c>
      <c r="H546" s="19" t="str">
        <f t="shared" si="8"/>
        <v/>
      </c>
      <c r="I546" s="19" t="s">
        <v>221</v>
      </c>
      <c r="J546" s="7" t="s">
        <v>313</v>
      </c>
      <c r="K546" s="25" t="s">
        <v>225</v>
      </c>
    </row>
    <row r="547" spans="1:11" x14ac:dyDescent="0.25">
      <c r="A547" s="12"/>
      <c r="B547" s="7" t="s">
        <v>222</v>
      </c>
      <c r="C547" s="25">
        <v>20041552</v>
      </c>
      <c r="D547" s="7" t="s">
        <v>4287</v>
      </c>
      <c r="E547" s="26">
        <v>1</v>
      </c>
      <c r="F547" s="7" t="s">
        <v>225</v>
      </c>
      <c r="G547" s="7" t="s">
        <v>219</v>
      </c>
      <c r="H547" s="19" t="str">
        <f t="shared" si="8"/>
        <v/>
      </c>
      <c r="I547" s="19" t="s">
        <v>221</v>
      </c>
      <c r="J547" s="7" t="s">
        <v>313</v>
      </c>
      <c r="K547" s="25" t="s">
        <v>225</v>
      </c>
    </row>
    <row r="548" spans="1:11" x14ac:dyDescent="0.25">
      <c r="A548" s="12"/>
      <c r="B548" s="7" t="s">
        <v>222</v>
      </c>
      <c r="C548" s="25">
        <v>20041553</v>
      </c>
      <c r="D548" s="7" t="s">
        <v>4288</v>
      </c>
      <c r="E548" s="26">
        <v>1</v>
      </c>
      <c r="F548" s="7" t="s">
        <v>225</v>
      </c>
      <c r="G548" s="7" t="s">
        <v>219</v>
      </c>
      <c r="H548" s="19" t="str">
        <f t="shared" si="8"/>
        <v/>
      </c>
      <c r="I548" s="19" t="s">
        <v>221</v>
      </c>
      <c r="J548" s="7" t="s">
        <v>313</v>
      </c>
      <c r="K548" s="25" t="s">
        <v>225</v>
      </c>
    </row>
    <row r="549" spans="1:11" x14ac:dyDescent="0.25">
      <c r="A549" s="12"/>
      <c r="B549" s="7" t="s">
        <v>222</v>
      </c>
      <c r="C549" s="25">
        <v>20041555</v>
      </c>
      <c r="D549" s="7" t="s">
        <v>4290</v>
      </c>
      <c r="E549" s="26">
        <v>1</v>
      </c>
      <c r="F549" s="7" t="s">
        <v>225</v>
      </c>
      <c r="G549" s="7" t="s">
        <v>219</v>
      </c>
      <c r="H549" s="19" t="str">
        <f t="shared" si="8"/>
        <v/>
      </c>
      <c r="I549" s="19" t="s">
        <v>221</v>
      </c>
      <c r="J549" s="7" t="s">
        <v>313</v>
      </c>
      <c r="K549" s="25" t="s">
        <v>225</v>
      </c>
    </row>
    <row r="550" spans="1:11" x14ac:dyDescent="0.25">
      <c r="A550" s="12"/>
      <c r="B550" s="7" t="s">
        <v>222</v>
      </c>
      <c r="C550" s="25">
        <v>20041556</v>
      </c>
      <c r="D550" s="7" t="s">
        <v>4291</v>
      </c>
      <c r="E550" s="26">
        <v>1</v>
      </c>
      <c r="F550" s="7" t="s">
        <v>225</v>
      </c>
      <c r="G550" s="7" t="s">
        <v>219</v>
      </c>
      <c r="H550" s="19" t="str">
        <f t="shared" si="8"/>
        <v/>
      </c>
      <c r="I550" s="19" t="s">
        <v>221</v>
      </c>
      <c r="J550" s="7" t="s">
        <v>313</v>
      </c>
      <c r="K550" s="25" t="s">
        <v>225</v>
      </c>
    </row>
    <row r="551" spans="1:11" x14ac:dyDescent="0.25">
      <c r="A551" s="12"/>
      <c r="B551" s="7" t="s">
        <v>222</v>
      </c>
      <c r="C551" s="25">
        <v>20041557</v>
      </c>
      <c r="D551" s="7" t="s">
        <v>4292</v>
      </c>
      <c r="E551" s="26">
        <v>1</v>
      </c>
      <c r="F551" s="7" t="s">
        <v>225</v>
      </c>
      <c r="G551" s="7" t="s">
        <v>219</v>
      </c>
      <c r="H551" s="19" t="str">
        <f t="shared" si="8"/>
        <v/>
      </c>
      <c r="I551" s="19" t="s">
        <v>221</v>
      </c>
      <c r="J551" s="7" t="s">
        <v>313</v>
      </c>
      <c r="K551" s="25" t="s">
        <v>225</v>
      </c>
    </row>
    <row r="552" spans="1:11" x14ac:dyDescent="0.25">
      <c r="A552" s="12"/>
      <c r="B552" s="7" t="s">
        <v>222</v>
      </c>
      <c r="C552" s="25">
        <v>20041563</v>
      </c>
      <c r="D552" s="7" t="s">
        <v>4271</v>
      </c>
      <c r="E552" s="26">
        <v>1</v>
      </c>
      <c r="F552" s="7" t="s">
        <v>225</v>
      </c>
      <c r="G552" s="7" t="s">
        <v>219</v>
      </c>
      <c r="H552" s="19" t="str">
        <f t="shared" si="8"/>
        <v/>
      </c>
      <c r="I552" s="19" t="s">
        <v>221</v>
      </c>
      <c r="J552" s="7" t="s">
        <v>313</v>
      </c>
      <c r="K552" s="25" t="s">
        <v>225</v>
      </c>
    </row>
    <row r="553" spans="1:11" x14ac:dyDescent="0.25">
      <c r="A553" s="12"/>
      <c r="B553" s="7" t="s">
        <v>222</v>
      </c>
      <c r="C553" s="25">
        <v>20041564</v>
      </c>
      <c r="D553" s="7" t="s">
        <v>4272</v>
      </c>
      <c r="E553" s="26">
        <v>1</v>
      </c>
      <c r="F553" s="7" t="s">
        <v>225</v>
      </c>
      <c r="G553" s="7" t="s">
        <v>219</v>
      </c>
      <c r="H553" s="19" t="str">
        <f t="shared" si="8"/>
        <v/>
      </c>
      <c r="I553" s="19" t="s">
        <v>221</v>
      </c>
      <c r="J553" s="7" t="s">
        <v>313</v>
      </c>
      <c r="K553" s="25" t="s">
        <v>225</v>
      </c>
    </row>
    <row r="554" spans="1:11" x14ac:dyDescent="0.25">
      <c r="A554" s="12"/>
      <c r="B554" s="7" t="s">
        <v>222</v>
      </c>
      <c r="C554" s="25">
        <v>20041565</v>
      </c>
      <c r="D554" s="7" t="s">
        <v>4273</v>
      </c>
      <c r="E554" s="26">
        <v>1</v>
      </c>
      <c r="F554" s="7" t="s">
        <v>225</v>
      </c>
      <c r="G554" s="7" t="s">
        <v>219</v>
      </c>
      <c r="H554" s="19" t="str">
        <f t="shared" si="8"/>
        <v/>
      </c>
      <c r="I554" s="19" t="s">
        <v>221</v>
      </c>
      <c r="J554" s="7" t="s">
        <v>313</v>
      </c>
      <c r="K554" s="25" t="s">
        <v>225</v>
      </c>
    </row>
    <row r="555" spans="1:11" x14ac:dyDescent="0.25">
      <c r="A555" s="12"/>
      <c r="B555" s="7" t="s">
        <v>222</v>
      </c>
      <c r="C555" s="25">
        <v>20041567</v>
      </c>
      <c r="D555" s="7" t="s">
        <v>4275</v>
      </c>
      <c r="E555" s="26">
        <v>1</v>
      </c>
      <c r="F555" s="7" t="s">
        <v>225</v>
      </c>
      <c r="G555" s="7" t="s">
        <v>219</v>
      </c>
      <c r="H555" s="19" t="str">
        <f t="shared" si="8"/>
        <v/>
      </c>
      <c r="I555" s="19" t="s">
        <v>221</v>
      </c>
      <c r="J555" s="7" t="s">
        <v>313</v>
      </c>
      <c r="K555" s="25" t="s">
        <v>225</v>
      </c>
    </row>
    <row r="556" spans="1:11" x14ac:dyDescent="0.25">
      <c r="A556" s="12"/>
      <c r="B556" s="7" t="s">
        <v>222</v>
      </c>
      <c r="C556" s="25">
        <v>20041571</v>
      </c>
      <c r="D556" s="7" t="s">
        <v>4267</v>
      </c>
      <c r="E556" s="26">
        <v>1</v>
      </c>
      <c r="F556" s="7" t="s">
        <v>225</v>
      </c>
      <c r="G556" s="7" t="s">
        <v>219</v>
      </c>
      <c r="H556" s="19" t="str">
        <f t="shared" si="8"/>
        <v/>
      </c>
      <c r="I556" s="19" t="s">
        <v>221</v>
      </c>
      <c r="J556" s="7" t="s">
        <v>313</v>
      </c>
      <c r="K556" s="25" t="s">
        <v>225</v>
      </c>
    </row>
    <row r="557" spans="1:11" x14ac:dyDescent="0.25">
      <c r="A557" s="12"/>
      <c r="B557" s="7" t="s">
        <v>222</v>
      </c>
      <c r="C557" s="25">
        <v>20041574</v>
      </c>
      <c r="D557" s="7" t="s">
        <v>4269</v>
      </c>
      <c r="E557" s="26">
        <v>1</v>
      </c>
      <c r="F557" s="7" t="s">
        <v>225</v>
      </c>
      <c r="G557" s="7" t="s">
        <v>219</v>
      </c>
      <c r="H557" s="19" t="str">
        <f t="shared" si="8"/>
        <v/>
      </c>
      <c r="I557" s="19" t="s">
        <v>221</v>
      </c>
      <c r="J557" s="7" t="s">
        <v>313</v>
      </c>
      <c r="K557" s="25" t="s">
        <v>225</v>
      </c>
    </row>
    <row r="558" spans="1:11" x14ac:dyDescent="0.25">
      <c r="A558" s="12"/>
      <c r="B558" s="7" t="s">
        <v>222</v>
      </c>
      <c r="C558" s="25">
        <v>20041575</v>
      </c>
      <c r="D558" s="7" t="s">
        <v>4270</v>
      </c>
      <c r="E558" s="26">
        <v>1</v>
      </c>
      <c r="F558" s="7" t="s">
        <v>225</v>
      </c>
      <c r="G558" s="7" t="s">
        <v>219</v>
      </c>
      <c r="H558" s="19" t="str">
        <f t="shared" si="8"/>
        <v/>
      </c>
      <c r="I558" s="19" t="s">
        <v>221</v>
      </c>
      <c r="J558" s="7" t="s">
        <v>313</v>
      </c>
      <c r="K558" s="25" t="s">
        <v>225</v>
      </c>
    </row>
    <row r="559" spans="1:11" x14ac:dyDescent="0.25">
      <c r="A559" s="12"/>
      <c r="B559" s="7" t="s">
        <v>222</v>
      </c>
      <c r="C559" s="25">
        <v>20041577</v>
      </c>
      <c r="D559" s="7" t="s">
        <v>4295</v>
      </c>
      <c r="E559" s="26">
        <v>1</v>
      </c>
      <c r="F559" s="7" t="s">
        <v>225</v>
      </c>
      <c r="G559" s="7" t="s">
        <v>219</v>
      </c>
      <c r="H559" s="19" t="str">
        <f t="shared" si="8"/>
        <v/>
      </c>
      <c r="I559" s="19" t="s">
        <v>221</v>
      </c>
      <c r="J559" s="7" t="s">
        <v>347</v>
      </c>
      <c r="K559" s="25" t="s">
        <v>225</v>
      </c>
    </row>
    <row r="560" spans="1:11" x14ac:dyDescent="0.25">
      <c r="A560" s="12"/>
      <c r="B560" s="7" t="s">
        <v>222</v>
      </c>
      <c r="C560" s="25">
        <v>20041589</v>
      </c>
      <c r="D560" s="7" t="s">
        <v>4306</v>
      </c>
      <c r="E560" s="26">
        <v>1</v>
      </c>
      <c r="F560" s="7" t="s">
        <v>225</v>
      </c>
      <c r="G560" s="7" t="s">
        <v>219</v>
      </c>
      <c r="H560" s="19" t="str">
        <f t="shared" si="8"/>
        <v/>
      </c>
      <c r="I560" s="19" t="s">
        <v>221</v>
      </c>
      <c r="J560" s="7" t="s">
        <v>315</v>
      </c>
      <c r="K560" s="25" t="s">
        <v>225</v>
      </c>
    </row>
    <row r="561" spans="1:11" x14ac:dyDescent="0.25">
      <c r="A561" s="12"/>
      <c r="B561" s="7" t="s">
        <v>222</v>
      </c>
      <c r="C561" s="25">
        <v>20041590</v>
      </c>
      <c r="D561" s="7" t="s">
        <v>4307</v>
      </c>
      <c r="E561" s="26">
        <v>1</v>
      </c>
      <c r="F561" s="7" t="s">
        <v>225</v>
      </c>
      <c r="G561" s="7" t="s">
        <v>219</v>
      </c>
      <c r="H561" s="19" t="str">
        <f t="shared" si="8"/>
        <v/>
      </c>
      <c r="I561" s="19" t="s">
        <v>221</v>
      </c>
      <c r="J561" s="7" t="s">
        <v>315</v>
      </c>
      <c r="K561" s="25" t="s">
        <v>225</v>
      </c>
    </row>
    <row r="562" spans="1:11" x14ac:dyDescent="0.25">
      <c r="A562" s="12"/>
      <c r="B562" s="7" t="s">
        <v>223</v>
      </c>
      <c r="C562" s="25">
        <v>20041591</v>
      </c>
      <c r="D562" s="7" t="s">
        <v>4308</v>
      </c>
      <c r="E562" s="26">
        <v>3</v>
      </c>
      <c r="F562" s="7" t="s">
        <v>225</v>
      </c>
      <c r="G562" s="7" t="s">
        <v>219</v>
      </c>
      <c r="H562" s="19" t="str">
        <f t="shared" si="8"/>
        <v/>
      </c>
      <c r="I562" s="19" t="s">
        <v>221</v>
      </c>
      <c r="J562" s="7" t="s">
        <v>315</v>
      </c>
      <c r="K562" s="25" t="s">
        <v>225</v>
      </c>
    </row>
    <row r="563" spans="1:11" x14ac:dyDescent="0.25">
      <c r="A563" s="12"/>
      <c r="B563" s="7" t="s">
        <v>223</v>
      </c>
      <c r="C563" s="25">
        <v>20041592</v>
      </c>
      <c r="D563" s="7" t="s">
        <v>4309</v>
      </c>
      <c r="E563" s="26">
        <v>3</v>
      </c>
      <c r="F563" s="7" t="s">
        <v>225</v>
      </c>
      <c r="G563" s="7" t="s">
        <v>219</v>
      </c>
      <c r="H563" s="19" t="str">
        <f t="shared" si="8"/>
        <v/>
      </c>
      <c r="I563" s="19" t="s">
        <v>221</v>
      </c>
      <c r="J563" s="7" t="s">
        <v>315</v>
      </c>
      <c r="K563" s="25" t="s">
        <v>225</v>
      </c>
    </row>
    <row r="564" spans="1:11" x14ac:dyDescent="0.25">
      <c r="A564" s="12"/>
      <c r="B564" s="7" t="s">
        <v>223</v>
      </c>
      <c r="C564" s="25">
        <v>20041593</v>
      </c>
      <c r="D564" s="7" t="s">
        <v>4310</v>
      </c>
      <c r="E564" s="26">
        <v>3</v>
      </c>
      <c r="F564" s="7" t="s">
        <v>225</v>
      </c>
      <c r="G564" s="7" t="s">
        <v>219</v>
      </c>
      <c r="H564" s="19" t="str">
        <f t="shared" si="8"/>
        <v/>
      </c>
      <c r="I564" s="19" t="s">
        <v>221</v>
      </c>
      <c r="J564" s="7" t="s">
        <v>315</v>
      </c>
      <c r="K564" s="25" t="s">
        <v>225</v>
      </c>
    </row>
    <row r="565" spans="1:11" x14ac:dyDescent="0.25">
      <c r="A565" s="12"/>
      <c r="B565" s="7" t="s">
        <v>222</v>
      </c>
      <c r="C565" s="25">
        <v>20041608</v>
      </c>
      <c r="D565" s="7" t="s">
        <v>4276</v>
      </c>
      <c r="E565" s="26">
        <v>1</v>
      </c>
      <c r="F565" s="7" t="s">
        <v>225</v>
      </c>
      <c r="G565" s="7" t="s">
        <v>219</v>
      </c>
      <c r="H565" s="19" t="str">
        <f t="shared" si="8"/>
        <v/>
      </c>
      <c r="I565" s="19" t="s">
        <v>221</v>
      </c>
      <c r="J565" s="7" t="s">
        <v>313</v>
      </c>
      <c r="K565" s="25" t="s">
        <v>225</v>
      </c>
    </row>
    <row r="566" spans="1:11" x14ac:dyDescent="0.25">
      <c r="A566" s="12"/>
      <c r="B566" s="7" t="s">
        <v>222</v>
      </c>
      <c r="C566" s="25">
        <v>20041610</v>
      </c>
      <c r="D566" s="7" t="s">
        <v>4278</v>
      </c>
      <c r="E566" s="26">
        <v>1</v>
      </c>
      <c r="F566" s="7" t="s">
        <v>225</v>
      </c>
      <c r="G566" s="7" t="s">
        <v>219</v>
      </c>
      <c r="H566" s="19" t="str">
        <f t="shared" si="8"/>
        <v/>
      </c>
      <c r="I566" s="19" t="s">
        <v>221</v>
      </c>
      <c r="J566" s="7" t="s">
        <v>313</v>
      </c>
      <c r="K566" s="25" t="s">
        <v>225</v>
      </c>
    </row>
    <row r="567" spans="1:11" x14ac:dyDescent="0.25">
      <c r="A567" s="12"/>
      <c r="B567" s="7" t="s">
        <v>222</v>
      </c>
      <c r="C567" s="25">
        <v>20041611</v>
      </c>
      <c r="D567" s="7" t="s">
        <v>4296</v>
      </c>
      <c r="E567" s="26">
        <v>1</v>
      </c>
      <c r="F567" s="7" t="s">
        <v>225</v>
      </c>
      <c r="G567" s="7" t="s">
        <v>219</v>
      </c>
      <c r="H567" s="19" t="str">
        <f t="shared" si="8"/>
        <v/>
      </c>
      <c r="I567" s="19" t="s">
        <v>221</v>
      </c>
      <c r="J567" s="7" t="s">
        <v>347</v>
      </c>
      <c r="K567" s="25" t="s">
        <v>225</v>
      </c>
    </row>
    <row r="568" spans="1:11" x14ac:dyDescent="0.25">
      <c r="A568" s="12"/>
      <c r="B568" s="7" t="s">
        <v>222</v>
      </c>
      <c r="C568" s="25">
        <v>20041613</v>
      </c>
      <c r="D568" s="7" t="s">
        <v>4298</v>
      </c>
      <c r="E568" s="26">
        <v>1</v>
      </c>
      <c r="F568" s="7" t="s">
        <v>225</v>
      </c>
      <c r="G568" s="7" t="s">
        <v>219</v>
      </c>
      <c r="H568" s="19" t="str">
        <f t="shared" si="8"/>
        <v/>
      </c>
      <c r="I568" s="19" t="s">
        <v>221</v>
      </c>
      <c r="J568" s="7" t="s">
        <v>347</v>
      </c>
      <c r="K568" s="25" t="s">
        <v>225</v>
      </c>
    </row>
    <row r="569" spans="1:11" x14ac:dyDescent="0.25">
      <c r="A569" s="12"/>
      <c r="B569" s="7" t="s">
        <v>222</v>
      </c>
      <c r="C569" s="25">
        <v>20041614</v>
      </c>
      <c r="D569" s="7" t="s">
        <v>4299</v>
      </c>
      <c r="E569" s="26">
        <v>1</v>
      </c>
      <c r="F569" s="7" t="s">
        <v>225</v>
      </c>
      <c r="G569" s="7" t="s">
        <v>219</v>
      </c>
      <c r="H569" s="19" t="str">
        <f t="shared" si="8"/>
        <v/>
      </c>
      <c r="I569" s="19" t="s">
        <v>221</v>
      </c>
      <c r="J569" s="7" t="s">
        <v>347</v>
      </c>
      <c r="K569" s="25" t="s">
        <v>225</v>
      </c>
    </row>
    <row r="570" spans="1:11" x14ac:dyDescent="0.25">
      <c r="A570" s="12"/>
      <c r="B570" s="7" t="s">
        <v>222</v>
      </c>
      <c r="C570" s="25">
        <v>20041616</v>
      </c>
      <c r="D570" s="7" t="s">
        <v>4301</v>
      </c>
      <c r="E570" s="26">
        <v>1</v>
      </c>
      <c r="F570" s="7" t="s">
        <v>225</v>
      </c>
      <c r="G570" s="7" t="s">
        <v>219</v>
      </c>
      <c r="H570" s="19" t="str">
        <f t="shared" si="8"/>
        <v/>
      </c>
      <c r="I570" s="19" t="s">
        <v>221</v>
      </c>
      <c r="J570" s="7" t="s">
        <v>347</v>
      </c>
      <c r="K570" s="25" t="s">
        <v>225</v>
      </c>
    </row>
    <row r="571" spans="1:11" x14ac:dyDescent="0.25">
      <c r="A571" s="12"/>
      <c r="B571" s="7" t="s">
        <v>222</v>
      </c>
      <c r="C571" s="25">
        <v>20041618</v>
      </c>
      <c r="D571" s="7" t="s">
        <v>4293</v>
      </c>
      <c r="E571" s="26">
        <v>1</v>
      </c>
      <c r="F571" s="7" t="s">
        <v>225</v>
      </c>
      <c r="G571" s="7" t="s">
        <v>219</v>
      </c>
      <c r="H571" s="19" t="str">
        <f t="shared" si="8"/>
        <v/>
      </c>
      <c r="I571" s="19" t="s">
        <v>221</v>
      </c>
      <c r="J571" s="7" t="s">
        <v>313</v>
      </c>
      <c r="K571" s="25" t="s">
        <v>225</v>
      </c>
    </row>
    <row r="572" spans="1:11" x14ac:dyDescent="0.25">
      <c r="A572" s="12"/>
      <c r="B572" s="7" t="s">
        <v>222</v>
      </c>
      <c r="C572" s="25">
        <v>20041619</v>
      </c>
      <c r="D572" s="7" t="s">
        <v>4294</v>
      </c>
      <c r="E572" s="26">
        <v>1</v>
      </c>
      <c r="F572" s="7" t="s">
        <v>225</v>
      </c>
      <c r="G572" s="7" t="s">
        <v>219</v>
      </c>
      <c r="H572" s="19" t="str">
        <f t="shared" si="8"/>
        <v/>
      </c>
      <c r="I572" s="19" t="s">
        <v>221</v>
      </c>
      <c r="J572" s="7" t="s">
        <v>313</v>
      </c>
      <c r="K572" s="25" t="s">
        <v>225</v>
      </c>
    </row>
    <row r="573" spans="1:11" x14ac:dyDescent="0.25">
      <c r="A573" s="12"/>
      <c r="B573" s="7" t="s">
        <v>222</v>
      </c>
      <c r="C573" s="25">
        <v>20041620</v>
      </c>
      <c r="D573" s="7" t="s">
        <v>4302</v>
      </c>
      <c r="E573" s="26">
        <v>1</v>
      </c>
      <c r="F573" s="7" t="s">
        <v>225</v>
      </c>
      <c r="G573" s="7" t="s">
        <v>219</v>
      </c>
      <c r="H573" s="19" t="str">
        <f t="shared" si="8"/>
        <v/>
      </c>
      <c r="I573" s="19" t="s">
        <v>221</v>
      </c>
      <c r="J573" s="7" t="s">
        <v>721</v>
      </c>
      <c r="K573" s="25" t="s">
        <v>225</v>
      </c>
    </row>
    <row r="574" spans="1:11" x14ac:dyDescent="0.25">
      <c r="A574" s="12"/>
      <c r="B574" s="7" t="s">
        <v>229</v>
      </c>
      <c r="C574" s="25">
        <v>20041627</v>
      </c>
      <c r="D574" s="7" t="s">
        <v>10925</v>
      </c>
      <c r="E574" s="26">
        <v>1</v>
      </c>
      <c r="F574" s="7" t="s">
        <v>352</v>
      </c>
      <c r="G574" s="7" t="s">
        <v>10926</v>
      </c>
      <c r="H574" s="19" t="str">
        <f t="shared" si="8"/>
        <v/>
      </c>
      <c r="I574" s="19" t="s">
        <v>306</v>
      </c>
      <c r="J574" s="7" t="s">
        <v>309</v>
      </c>
      <c r="K574" s="25" t="s">
        <v>352</v>
      </c>
    </row>
    <row r="575" spans="1:11" x14ac:dyDescent="0.25">
      <c r="A575" s="12"/>
      <c r="B575" s="7" t="s">
        <v>227</v>
      </c>
      <c r="C575" s="25">
        <v>20041634</v>
      </c>
      <c r="D575" s="7" t="s">
        <v>4335</v>
      </c>
      <c r="E575" s="26">
        <v>1</v>
      </c>
      <c r="F575" s="7" t="s">
        <v>225</v>
      </c>
      <c r="G575" s="7" t="s">
        <v>219</v>
      </c>
      <c r="H575" s="19" t="str">
        <f t="shared" si="8"/>
        <v/>
      </c>
      <c r="I575" s="19" t="s">
        <v>37</v>
      </c>
      <c r="J575" s="7" t="s">
        <v>402</v>
      </c>
      <c r="K575" s="25" t="s">
        <v>225</v>
      </c>
    </row>
    <row r="576" spans="1:11" x14ac:dyDescent="0.25">
      <c r="A576" s="12"/>
      <c r="B576" s="7" t="s">
        <v>223</v>
      </c>
      <c r="C576" s="25">
        <v>20041651</v>
      </c>
      <c r="D576" s="7" t="s">
        <v>4324</v>
      </c>
      <c r="E576" s="26">
        <v>3</v>
      </c>
      <c r="F576" s="7" t="s">
        <v>225</v>
      </c>
      <c r="G576" s="7" t="s">
        <v>219</v>
      </c>
      <c r="H576" s="19" t="str">
        <f t="shared" si="8"/>
        <v/>
      </c>
      <c r="I576" s="19" t="s">
        <v>221</v>
      </c>
      <c r="J576" s="7" t="s">
        <v>315</v>
      </c>
      <c r="K576" s="25" t="s">
        <v>225</v>
      </c>
    </row>
    <row r="577" spans="1:11" x14ac:dyDescent="0.25">
      <c r="A577" s="12"/>
      <c r="B577" s="7" t="s">
        <v>222</v>
      </c>
      <c r="C577" s="25">
        <v>20041652</v>
      </c>
      <c r="D577" s="7" t="s">
        <v>4325</v>
      </c>
      <c r="E577" s="26">
        <v>1</v>
      </c>
      <c r="F577" s="7" t="s">
        <v>225</v>
      </c>
      <c r="G577" s="7" t="s">
        <v>219</v>
      </c>
      <c r="H577" s="19" t="str">
        <f t="shared" si="8"/>
        <v/>
      </c>
      <c r="I577" s="19" t="s">
        <v>221</v>
      </c>
      <c r="J577" s="7" t="s">
        <v>315</v>
      </c>
      <c r="K577" s="25" t="s">
        <v>225</v>
      </c>
    </row>
    <row r="578" spans="1:11" x14ac:dyDescent="0.25">
      <c r="A578" s="12"/>
      <c r="B578" s="7" t="s">
        <v>222</v>
      </c>
      <c r="C578" s="25">
        <v>20041660</v>
      </c>
      <c r="D578" s="7" t="s">
        <v>10960</v>
      </c>
      <c r="E578" s="26">
        <v>1</v>
      </c>
      <c r="F578" s="7" t="s">
        <v>225</v>
      </c>
      <c r="G578" s="7" t="s">
        <v>219</v>
      </c>
      <c r="H578" s="19" t="str">
        <f t="shared" si="8"/>
        <v/>
      </c>
      <c r="I578" s="19" t="s">
        <v>221</v>
      </c>
      <c r="J578" s="7" t="s">
        <v>327</v>
      </c>
      <c r="K578" s="25" t="s">
        <v>225</v>
      </c>
    </row>
    <row r="579" spans="1:11" x14ac:dyDescent="0.25">
      <c r="A579" s="12"/>
      <c r="B579" s="7" t="s">
        <v>222</v>
      </c>
      <c r="C579" s="25">
        <v>20041664</v>
      </c>
      <c r="D579" s="7" t="s">
        <v>4338</v>
      </c>
      <c r="E579" s="26">
        <v>1</v>
      </c>
      <c r="F579" s="7" t="s">
        <v>225</v>
      </c>
      <c r="G579" s="7" t="s">
        <v>219</v>
      </c>
      <c r="H579" s="19" t="str">
        <f t="shared" si="8"/>
        <v/>
      </c>
      <c r="I579" s="19" t="s">
        <v>221</v>
      </c>
      <c r="J579" s="7" t="s">
        <v>327</v>
      </c>
      <c r="K579" s="25" t="s">
        <v>225</v>
      </c>
    </row>
    <row r="580" spans="1:11" x14ac:dyDescent="0.25">
      <c r="A580" s="12"/>
      <c r="B580" s="7" t="s">
        <v>222</v>
      </c>
      <c r="C580" s="25">
        <v>20041667</v>
      </c>
      <c r="D580" s="7" t="s">
        <v>4343</v>
      </c>
      <c r="E580" s="26">
        <v>1</v>
      </c>
      <c r="F580" s="7" t="s">
        <v>225</v>
      </c>
      <c r="G580" s="7" t="s">
        <v>219</v>
      </c>
      <c r="H580" s="19" t="str">
        <f t="shared" si="8"/>
        <v/>
      </c>
      <c r="I580" s="19" t="s">
        <v>221</v>
      </c>
      <c r="J580" s="7" t="s">
        <v>327</v>
      </c>
      <c r="K580" s="25" t="s">
        <v>225</v>
      </c>
    </row>
    <row r="581" spans="1:11" x14ac:dyDescent="0.25">
      <c r="A581" s="12"/>
      <c r="B581" s="7" t="s">
        <v>222</v>
      </c>
      <c r="C581" s="25">
        <v>20041678</v>
      </c>
      <c r="D581" s="7" t="s">
        <v>4340</v>
      </c>
      <c r="E581" s="26">
        <v>1</v>
      </c>
      <c r="F581" s="7" t="s">
        <v>225</v>
      </c>
      <c r="G581" s="7" t="s">
        <v>219</v>
      </c>
      <c r="H581" s="19" t="str">
        <f t="shared" si="8"/>
        <v/>
      </c>
      <c r="I581" s="19" t="s">
        <v>221</v>
      </c>
      <c r="J581" s="7" t="s">
        <v>309</v>
      </c>
      <c r="K581" s="25" t="s">
        <v>225</v>
      </c>
    </row>
    <row r="582" spans="1:11" x14ac:dyDescent="0.25">
      <c r="A582" s="12"/>
      <c r="B582" s="7" t="s">
        <v>222</v>
      </c>
      <c r="C582" s="25">
        <v>20041682</v>
      </c>
      <c r="D582" s="7" t="s">
        <v>4346</v>
      </c>
      <c r="E582" s="26">
        <v>1</v>
      </c>
      <c r="F582" s="7" t="s">
        <v>225</v>
      </c>
      <c r="G582" s="7" t="s">
        <v>219</v>
      </c>
      <c r="H582" s="19" t="str">
        <f t="shared" si="8"/>
        <v/>
      </c>
      <c r="I582" s="19" t="s">
        <v>221</v>
      </c>
      <c r="J582" s="7" t="s">
        <v>309</v>
      </c>
      <c r="K582" s="25" t="s">
        <v>225</v>
      </c>
    </row>
    <row r="583" spans="1:11" x14ac:dyDescent="0.25">
      <c r="A583" s="12"/>
      <c r="B583" s="7" t="s">
        <v>222</v>
      </c>
      <c r="C583" s="25">
        <v>20041688</v>
      </c>
      <c r="D583" s="7" t="s">
        <v>4344</v>
      </c>
      <c r="E583" s="26">
        <v>1</v>
      </c>
      <c r="F583" s="7" t="s">
        <v>225</v>
      </c>
      <c r="G583" s="7" t="s">
        <v>219</v>
      </c>
      <c r="H583" s="19" t="str">
        <f t="shared" si="8"/>
        <v/>
      </c>
      <c r="I583" s="19" t="s">
        <v>221</v>
      </c>
      <c r="J583" s="7" t="s">
        <v>327</v>
      </c>
      <c r="K583" s="25" t="s">
        <v>225</v>
      </c>
    </row>
    <row r="584" spans="1:11" x14ac:dyDescent="0.25">
      <c r="A584" s="12"/>
      <c r="B584" s="7" t="s">
        <v>222</v>
      </c>
      <c r="C584" s="25">
        <v>20041842</v>
      </c>
      <c r="D584" s="7" t="s">
        <v>4372</v>
      </c>
      <c r="E584" s="26">
        <v>1</v>
      </c>
      <c r="F584" s="7" t="s">
        <v>225</v>
      </c>
      <c r="G584" s="7" t="s">
        <v>219</v>
      </c>
      <c r="H584" s="19" t="str">
        <f t="shared" si="8"/>
        <v/>
      </c>
      <c r="I584" s="19" t="s">
        <v>221</v>
      </c>
      <c r="J584" s="7" t="s">
        <v>397</v>
      </c>
      <c r="K584" s="25" t="s">
        <v>225</v>
      </c>
    </row>
    <row r="585" spans="1:11" x14ac:dyDescent="0.25">
      <c r="A585" s="12"/>
      <c r="B585" s="7" t="s">
        <v>222</v>
      </c>
      <c r="C585" s="25">
        <v>20041843</v>
      </c>
      <c r="D585" s="7" t="s">
        <v>4373</v>
      </c>
      <c r="E585" s="26">
        <v>1</v>
      </c>
      <c r="F585" s="7" t="s">
        <v>225</v>
      </c>
      <c r="G585" s="7" t="s">
        <v>219</v>
      </c>
      <c r="H585" s="19" t="str">
        <f t="shared" si="8"/>
        <v/>
      </c>
      <c r="I585" s="19" t="s">
        <v>221</v>
      </c>
      <c r="J585" s="7" t="s">
        <v>397</v>
      </c>
      <c r="K585" s="25" t="s">
        <v>225</v>
      </c>
    </row>
    <row r="586" spans="1:11" x14ac:dyDescent="0.25">
      <c r="A586" s="12"/>
      <c r="B586" s="7" t="s">
        <v>222</v>
      </c>
      <c r="C586" s="25">
        <v>20041844</v>
      </c>
      <c r="D586" s="7" t="s">
        <v>4374</v>
      </c>
      <c r="E586" s="26">
        <v>1</v>
      </c>
      <c r="F586" s="7" t="s">
        <v>225</v>
      </c>
      <c r="G586" s="7" t="s">
        <v>219</v>
      </c>
      <c r="H586" s="19" t="str">
        <f t="shared" si="8"/>
        <v/>
      </c>
      <c r="I586" s="19" t="s">
        <v>221</v>
      </c>
      <c r="J586" s="7" t="s">
        <v>397</v>
      </c>
      <c r="K586" s="25" t="s">
        <v>225</v>
      </c>
    </row>
    <row r="587" spans="1:11" x14ac:dyDescent="0.25">
      <c r="A587" s="12"/>
      <c r="B587" s="7" t="s">
        <v>222</v>
      </c>
      <c r="C587" s="25">
        <v>20041845</v>
      </c>
      <c r="D587" s="7" t="s">
        <v>4375</v>
      </c>
      <c r="E587" s="26">
        <v>1</v>
      </c>
      <c r="F587" s="7" t="s">
        <v>352</v>
      </c>
      <c r="G587" s="7" t="s">
        <v>4376</v>
      </c>
      <c r="H587" s="19" t="str">
        <f t="shared" si="8"/>
        <v/>
      </c>
      <c r="I587" s="19" t="s">
        <v>221</v>
      </c>
      <c r="J587" s="7" t="s">
        <v>397</v>
      </c>
      <c r="K587" s="25" t="s">
        <v>352</v>
      </c>
    </row>
    <row r="588" spans="1:11" x14ac:dyDescent="0.25">
      <c r="A588" s="12"/>
      <c r="B588" s="7" t="s">
        <v>222</v>
      </c>
      <c r="C588" s="25">
        <v>20041846</v>
      </c>
      <c r="D588" s="7" t="s">
        <v>4377</v>
      </c>
      <c r="E588" s="26">
        <v>1</v>
      </c>
      <c r="F588" s="7" t="s">
        <v>352</v>
      </c>
      <c r="G588" s="7" t="s">
        <v>4376</v>
      </c>
      <c r="H588" s="19" t="str">
        <f t="shared" si="8"/>
        <v/>
      </c>
      <c r="I588" s="19" t="s">
        <v>221</v>
      </c>
      <c r="J588" s="7" t="s">
        <v>397</v>
      </c>
      <c r="K588" s="25" t="s">
        <v>352</v>
      </c>
    </row>
    <row r="589" spans="1:11" x14ac:dyDescent="0.25">
      <c r="A589" s="12"/>
      <c r="B589" s="7" t="s">
        <v>230</v>
      </c>
      <c r="C589" s="25">
        <v>20041858</v>
      </c>
      <c r="D589" s="7" t="s">
        <v>4361</v>
      </c>
      <c r="E589" s="26">
        <v>1</v>
      </c>
      <c r="F589" s="7" t="s">
        <v>225</v>
      </c>
      <c r="G589" s="7" t="s">
        <v>219</v>
      </c>
      <c r="H589" s="19" t="str">
        <f t="shared" si="8"/>
        <v/>
      </c>
      <c r="I589" s="19" t="s">
        <v>910</v>
      </c>
      <c r="J589" s="7" t="s">
        <v>309</v>
      </c>
      <c r="K589" s="25" t="s">
        <v>225</v>
      </c>
    </row>
    <row r="590" spans="1:11" x14ac:dyDescent="0.25">
      <c r="A590" s="12"/>
      <c r="B590" s="7" t="s">
        <v>230</v>
      </c>
      <c r="C590" s="25">
        <v>20041869</v>
      </c>
      <c r="D590" s="7" t="s">
        <v>4368</v>
      </c>
      <c r="E590" s="26">
        <v>1</v>
      </c>
      <c r="F590" s="7" t="s">
        <v>225</v>
      </c>
      <c r="G590" s="7" t="s">
        <v>219</v>
      </c>
      <c r="H590" s="19" t="str">
        <f t="shared" si="8"/>
        <v/>
      </c>
      <c r="I590" s="19" t="s">
        <v>910</v>
      </c>
      <c r="J590" s="7" t="s">
        <v>347</v>
      </c>
      <c r="K590" s="25" t="s">
        <v>225</v>
      </c>
    </row>
    <row r="591" spans="1:11" x14ac:dyDescent="0.25">
      <c r="A591" s="12"/>
      <c r="B591" s="7" t="s">
        <v>227</v>
      </c>
      <c r="C591" s="25">
        <v>20041898</v>
      </c>
      <c r="D591" s="7" t="s">
        <v>4378</v>
      </c>
      <c r="E591" s="26">
        <v>1</v>
      </c>
      <c r="F591" s="7" t="s">
        <v>225</v>
      </c>
      <c r="G591" s="7" t="s">
        <v>219</v>
      </c>
      <c r="H591" s="19" t="str">
        <f t="shared" ref="H591:H654" si="9">IF(A591="", "", A591*E591)</f>
        <v/>
      </c>
      <c r="I591" s="19" t="s">
        <v>37</v>
      </c>
      <c r="J591" s="7" t="s">
        <v>402</v>
      </c>
      <c r="K591" s="25" t="s">
        <v>225</v>
      </c>
    </row>
    <row r="592" spans="1:11" x14ac:dyDescent="0.25">
      <c r="A592" s="12"/>
      <c r="B592" s="7" t="s">
        <v>230</v>
      </c>
      <c r="C592" s="25">
        <v>20041929</v>
      </c>
      <c r="D592" s="7" t="s">
        <v>4384</v>
      </c>
      <c r="E592" s="26">
        <v>1</v>
      </c>
      <c r="F592" s="7" t="s">
        <v>225</v>
      </c>
      <c r="G592" s="7" t="s">
        <v>219</v>
      </c>
      <c r="H592" s="19" t="str">
        <f t="shared" si="9"/>
        <v/>
      </c>
      <c r="I592" s="19" t="s">
        <v>910</v>
      </c>
      <c r="J592" s="7" t="s">
        <v>309</v>
      </c>
      <c r="K592" s="25" t="s">
        <v>225</v>
      </c>
    </row>
    <row r="593" spans="1:11" x14ac:dyDescent="0.25">
      <c r="A593" s="12"/>
      <c r="B593" s="7" t="s">
        <v>230</v>
      </c>
      <c r="C593" s="25">
        <v>20041930</v>
      </c>
      <c r="D593" s="7" t="s">
        <v>4385</v>
      </c>
      <c r="E593" s="26">
        <v>1</v>
      </c>
      <c r="F593" s="7" t="s">
        <v>225</v>
      </c>
      <c r="G593" s="7" t="s">
        <v>219</v>
      </c>
      <c r="H593" s="19" t="str">
        <f t="shared" si="9"/>
        <v/>
      </c>
      <c r="I593" s="19" t="s">
        <v>910</v>
      </c>
      <c r="J593" s="7" t="s">
        <v>309</v>
      </c>
      <c r="K593" s="25" t="s">
        <v>225</v>
      </c>
    </row>
    <row r="594" spans="1:11" x14ac:dyDescent="0.25">
      <c r="A594" s="12"/>
      <c r="B594" s="7" t="s">
        <v>230</v>
      </c>
      <c r="C594" s="25">
        <v>20041931</v>
      </c>
      <c r="D594" s="7" t="s">
        <v>4386</v>
      </c>
      <c r="E594" s="26">
        <v>1</v>
      </c>
      <c r="F594" s="7" t="s">
        <v>225</v>
      </c>
      <c r="G594" s="7" t="s">
        <v>219</v>
      </c>
      <c r="H594" s="19" t="str">
        <f t="shared" si="9"/>
        <v/>
      </c>
      <c r="I594" s="19" t="s">
        <v>910</v>
      </c>
      <c r="J594" s="7" t="s">
        <v>309</v>
      </c>
      <c r="K594" s="25" t="s">
        <v>225</v>
      </c>
    </row>
    <row r="595" spans="1:11" x14ac:dyDescent="0.25">
      <c r="A595" s="12"/>
      <c r="B595" s="7" t="s">
        <v>222</v>
      </c>
      <c r="C595" s="25">
        <v>20041933</v>
      </c>
      <c r="D595" s="7" t="s">
        <v>4396</v>
      </c>
      <c r="E595" s="26">
        <v>1</v>
      </c>
      <c r="F595" s="7" t="s">
        <v>225</v>
      </c>
      <c r="G595" s="7" t="s">
        <v>219</v>
      </c>
      <c r="H595" s="19" t="str">
        <f t="shared" si="9"/>
        <v/>
      </c>
      <c r="I595" s="19" t="s">
        <v>221</v>
      </c>
      <c r="J595" s="7" t="s">
        <v>315</v>
      </c>
      <c r="K595" s="25" t="s">
        <v>225</v>
      </c>
    </row>
    <row r="596" spans="1:11" x14ac:dyDescent="0.25">
      <c r="A596" s="12"/>
      <c r="B596" s="7" t="s">
        <v>222</v>
      </c>
      <c r="C596" s="25">
        <v>20041934</v>
      </c>
      <c r="D596" s="7" t="s">
        <v>4397</v>
      </c>
      <c r="E596" s="26">
        <v>1</v>
      </c>
      <c r="F596" s="7" t="s">
        <v>225</v>
      </c>
      <c r="G596" s="7" t="s">
        <v>219</v>
      </c>
      <c r="H596" s="19" t="str">
        <f t="shared" si="9"/>
        <v/>
      </c>
      <c r="I596" s="19" t="s">
        <v>221</v>
      </c>
      <c r="J596" s="7" t="s">
        <v>315</v>
      </c>
      <c r="K596" s="25" t="s">
        <v>225</v>
      </c>
    </row>
    <row r="597" spans="1:11" x14ac:dyDescent="0.25">
      <c r="A597" s="12"/>
      <c r="B597" s="7" t="s">
        <v>222</v>
      </c>
      <c r="C597" s="25">
        <v>20042040</v>
      </c>
      <c r="D597" s="7" t="s">
        <v>4468</v>
      </c>
      <c r="E597" s="26">
        <v>1</v>
      </c>
      <c r="F597" s="7" t="s">
        <v>225</v>
      </c>
      <c r="G597" s="7" t="s">
        <v>219</v>
      </c>
      <c r="H597" s="19" t="str">
        <f t="shared" si="9"/>
        <v/>
      </c>
      <c r="I597" s="19" t="s">
        <v>221</v>
      </c>
      <c r="J597" s="7" t="s">
        <v>309</v>
      </c>
      <c r="K597" s="25" t="s">
        <v>225</v>
      </c>
    </row>
    <row r="598" spans="1:11" x14ac:dyDescent="0.25">
      <c r="A598" s="12"/>
      <c r="B598" s="7" t="s">
        <v>222</v>
      </c>
      <c r="C598" s="25">
        <v>20042042</v>
      </c>
      <c r="D598" s="7" t="s">
        <v>4470</v>
      </c>
      <c r="E598" s="26">
        <v>1</v>
      </c>
      <c r="F598" s="7" t="s">
        <v>225</v>
      </c>
      <c r="G598" s="7" t="s">
        <v>219</v>
      </c>
      <c r="H598" s="19" t="str">
        <f t="shared" si="9"/>
        <v/>
      </c>
      <c r="I598" s="19" t="s">
        <v>221</v>
      </c>
      <c r="J598" s="7" t="s">
        <v>309</v>
      </c>
      <c r="K598" s="25" t="s">
        <v>225</v>
      </c>
    </row>
    <row r="599" spans="1:11" x14ac:dyDescent="0.25">
      <c r="A599" s="12"/>
      <c r="B599" s="7" t="s">
        <v>222</v>
      </c>
      <c r="C599" s="25">
        <v>20042043</v>
      </c>
      <c r="D599" s="7" t="s">
        <v>4471</v>
      </c>
      <c r="E599" s="26">
        <v>1</v>
      </c>
      <c r="F599" s="7" t="s">
        <v>225</v>
      </c>
      <c r="G599" s="7" t="s">
        <v>219</v>
      </c>
      <c r="H599" s="19" t="str">
        <f t="shared" si="9"/>
        <v/>
      </c>
      <c r="I599" s="19" t="s">
        <v>221</v>
      </c>
      <c r="J599" s="7" t="s">
        <v>309</v>
      </c>
      <c r="K599" s="25" t="s">
        <v>225</v>
      </c>
    </row>
    <row r="600" spans="1:11" x14ac:dyDescent="0.25">
      <c r="A600" s="12"/>
      <c r="B600" s="7" t="s">
        <v>222</v>
      </c>
      <c r="C600" s="25">
        <v>20042090</v>
      </c>
      <c r="D600" s="7" t="s">
        <v>4472</v>
      </c>
      <c r="E600" s="26">
        <v>1</v>
      </c>
      <c r="F600" s="7" t="s">
        <v>225</v>
      </c>
      <c r="G600" s="7" t="s">
        <v>219</v>
      </c>
      <c r="H600" s="19" t="str">
        <f t="shared" si="9"/>
        <v/>
      </c>
      <c r="I600" s="19" t="s">
        <v>221</v>
      </c>
      <c r="J600" s="7" t="s">
        <v>309</v>
      </c>
      <c r="K600" s="25" t="s">
        <v>225</v>
      </c>
    </row>
    <row r="601" spans="1:11" x14ac:dyDescent="0.25">
      <c r="A601" s="12"/>
      <c r="B601" s="7" t="s">
        <v>222</v>
      </c>
      <c r="C601" s="25">
        <v>20042091</v>
      </c>
      <c r="D601" s="7" t="s">
        <v>4473</v>
      </c>
      <c r="E601" s="26">
        <v>1</v>
      </c>
      <c r="F601" s="7" t="s">
        <v>225</v>
      </c>
      <c r="G601" s="7" t="s">
        <v>219</v>
      </c>
      <c r="H601" s="19" t="str">
        <f t="shared" si="9"/>
        <v/>
      </c>
      <c r="I601" s="19" t="s">
        <v>221</v>
      </c>
      <c r="J601" s="7" t="s">
        <v>309</v>
      </c>
      <c r="K601" s="25" t="s">
        <v>225</v>
      </c>
    </row>
    <row r="602" spans="1:11" x14ac:dyDescent="0.25">
      <c r="A602" s="12"/>
      <c r="B602" s="7" t="s">
        <v>222</v>
      </c>
      <c r="C602" s="25">
        <v>20042092</v>
      </c>
      <c r="D602" s="7" t="s">
        <v>4474</v>
      </c>
      <c r="E602" s="26">
        <v>1</v>
      </c>
      <c r="F602" s="7" t="s">
        <v>225</v>
      </c>
      <c r="G602" s="7" t="s">
        <v>219</v>
      </c>
      <c r="H602" s="19" t="str">
        <f t="shared" si="9"/>
        <v/>
      </c>
      <c r="I602" s="19" t="s">
        <v>221</v>
      </c>
      <c r="J602" s="7" t="s">
        <v>309</v>
      </c>
      <c r="K602" s="25" t="s">
        <v>225</v>
      </c>
    </row>
    <row r="603" spans="1:11" x14ac:dyDescent="0.25">
      <c r="A603" s="12"/>
      <c r="B603" s="7" t="s">
        <v>222</v>
      </c>
      <c r="C603" s="25">
        <v>20042093</v>
      </c>
      <c r="D603" s="7" t="s">
        <v>4475</v>
      </c>
      <c r="E603" s="26">
        <v>1</v>
      </c>
      <c r="F603" s="7" t="s">
        <v>225</v>
      </c>
      <c r="G603" s="7" t="s">
        <v>219</v>
      </c>
      <c r="H603" s="19" t="str">
        <f t="shared" si="9"/>
        <v/>
      </c>
      <c r="I603" s="19" t="s">
        <v>221</v>
      </c>
      <c r="J603" s="7" t="s">
        <v>309</v>
      </c>
      <c r="K603" s="25" t="s">
        <v>225</v>
      </c>
    </row>
    <row r="604" spans="1:11" x14ac:dyDescent="0.25">
      <c r="A604" s="12"/>
      <c r="B604" s="7" t="s">
        <v>230</v>
      </c>
      <c r="C604" s="25">
        <v>20042170</v>
      </c>
      <c r="D604" s="7" t="s">
        <v>4482</v>
      </c>
      <c r="E604" s="26">
        <v>1</v>
      </c>
      <c r="F604" s="7" t="s">
        <v>225</v>
      </c>
      <c r="G604" s="7" t="s">
        <v>219</v>
      </c>
      <c r="H604" s="19" t="str">
        <f t="shared" si="9"/>
        <v/>
      </c>
      <c r="I604" s="19" t="s">
        <v>910</v>
      </c>
      <c r="J604" s="7" t="s">
        <v>397</v>
      </c>
      <c r="K604" s="25" t="s">
        <v>225</v>
      </c>
    </row>
    <row r="605" spans="1:11" x14ac:dyDescent="0.25">
      <c r="A605" s="12"/>
      <c r="B605" s="7" t="s">
        <v>230</v>
      </c>
      <c r="C605" s="25">
        <v>20042171</v>
      </c>
      <c r="D605" s="7" t="s">
        <v>4483</v>
      </c>
      <c r="E605" s="26">
        <v>1</v>
      </c>
      <c r="F605" s="7" t="s">
        <v>225</v>
      </c>
      <c r="G605" s="7" t="s">
        <v>219</v>
      </c>
      <c r="H605" s="19" t="str">
        <f t="shared" si="9"/>
        <v/>
      </c>
      <c r="I605" s="19" t="s">
        <v>910</v>
      </c>
      <c r="J605" s="7" t="s">
        <v>397</v>
      </c>
      <c r="K605" s="25" t="s">
        <v>225</v>
      </c>
    </row>
    <row r="606" spans="1:11" x14ac:dyDescent="0.25">
      <c r="A606" s="12"/>
      <c r="B606" s="7" t="s">
        <v>230</v>
      </c>
      <c r="C606" s="25">
        <v>20042172</v>
      </c>
      <c r="D606" s="7" t="s">
        <v>4484</v>
      </c>
      <c r="E606" s="26">
        <v>1</v>
      </c>
      <c r="F606" s="7" t="s">
        <v>225</v>
      </c>
      <c r="G606" s="7" t="s">
        <v>219</v>
      </c>
      <c r="H606" s="19" t="str">
        <f t="shared" si="9"/>
        <v/>
      </c>
      <c r="I606" s="19" t="s">
        <v>910</v>
      </c>
      <c r="J606" s="7" t="s">
        <v>397</v>
      </c>
      <c r="K606" s="25" t="s">
        <v>225</v>
      </c>
    </row>
    <row r="607" spans="1:11" x14ac:dyDescent="0.25">
      <c r="A607" s="12"/>
      <c r="B607" s="7" t="s">
        <v>230</v>
      </c>
      <c r="C607" s="25">
        <v>20042173</v>
      </c>
      <c r="D607" s="7" t="s">
        <v>4485</v>
      </c>
      <c r="E607" s="26">
        <v>1</v>
      </c>
      <c r="F607" s="7" t="s">
        <v>225</v>
      </c>
      <c r="G607" s="7" t="s">
        <v>219</v>
      </c>
      <c r="H607" s="19" t="str">
        <f t="shared" si="9"/>
        <v/>
      </c>
      <c r="I607" s="19" t="s">
        <v>910</v>
      </c>
      <c r="J607" s="7" t="s">
        <v>397</v>
      </c>
      <c r="K607" s="25" t="s">
        <v>225</v>
      </c>
    </row>
    <row r="608" spans="1:11" x14ac:dyDescent="0.25">
      <c r="A608" s="12"/>
      <c r="B608" s="7" t="s">
        <v>222</v>
      </c>
      <c r="C608" s="25">
        <v>20042277</v>
      </c>
      <c r="D608" s="7" t="s">
        <v>4502</v>
      </c>
      <c r="E608" s="26">
        <v>1</v>
      </c>
      <c r="F608" s="7" t="s">
        <v>225</v>
      </c>
      <c r="G608" s="7" t="s">
        <v>219</v>
      </c>
      <c r="H608" s="19" t="str">
        <f t="shared" si="9"/>
        <v/>
      </c>
      <c r="I608" s="19" t="s">
        <v>221</v>
      </c>
      <c r="J608" s="7" t="s">
        <v>397</v>
      </c>
      <c r="K608" s="25" t="s">
        <v>225</v>
      </c>
    </row>
    <row r="609" spans="1:11" x14ac:dyDescent="0.25">
      <c r="A609" s="12"/>
      <c r="B609" s="7" t="s">
        <v>230</v>
      </c>
      <c r="C609" s="25">
        <v>20042290</v>
      </c>
      <c r="D609" s="7" t="s">
        <v>4509</v>
      </c>
      <c r="E609" s="26">
        <v>1</v>
      </c>
      <c r="F609" s="7" t="s">
        <v>225</v>
      </c>
      <c r="G609" s="7" t="s">
        <v>219</v>
      </c>
      <c r="H609" s="19" t="str">
        <f t="shared" si="9"/>
        <v/>
      </c>
      <c r="I609" s="19" t="s">
        <v>910</v>
      </c>
      <c r="J609" s="7" t="s">
        <v>397</v>
      </c>
      <c r="K609" s="25" t="s">
        <v>225</v>
      </c>
    </row>
    <row r="610" spans="1:11" x14ac:dyDescent="0.25">
      <c r="A610" s="12"/>
      <c r="B610" s="7" t="s">
        <v>222</v>
      </c>
      <c r="C610" s="25">
        <v>20042466</v>
      </c>
      <c r="D610" s="7" t="s">
        <v>4531</v>
      </c>
      <c r="E610" s="26">
        <v>1</v>
      </c>
      <c r="F610" s="7" t="s">
        <v>225</v>
      </c>
      <c r="G610" s="7" t="s">
        <v>219</v>
      </c>
      <c r="H610" s="19" t="str">
        <f t="shared" si="9"/>
        <v/>
      </c>
      <c r="I610" s="19" t="s">
        <v>221</v>
      </c>
      <c r="J610" s="7" t="s">
        <v>327</v>
      </c>
      <c r="K610" s="25" t="s">
        <v>225</v>
      </c>
    </row>
    <row r="611" spans="1:11" x14ac:dyDescent="0.25">
      <c r="A611" s="12"/>
      <c r="B611" s="7" t="s">
        <v>229</v>
      </c>
      <c r="C611" s="25">
        <v>20042467</v>
      </c>
      <c r="D611" s="7" t="s">
        <v>4532</v>
      </c>
      <c r="E611" s="26">
        <v>1</v>
      </c>
      <c r="F611" s="7" t="s">
        <v>225</v>
      </c>
      <c r="G611" s="7" t="s">
        <v>219</v>
      </c>
      <c r="H611" s="19" t="str">
        <f t="shared" si="9"/>
        <v/>
      </c>
      <c r="I611" s="19" t="s">
        <v>306</v>
      </c>
      <c r="J611" s="7" t="s">
        <v>246</v>
      </c>
      <c r="K611" s="25" t="s">
        <v>225</v>
      </c>
    </row>
    <row r="612" spans="1:11" x14ac:dyDescent="0.25">
      <c r="A612" s="12"/>
      <c r="B612" s="7" t="s">
        <v>222</v>
      </c>
      <c r="C612" s="25">
        <v>20042523</v>
      </c>
      <c r="D612" s="7" t="s">
        <v>4538</v>
      </c>
      <c r="E612" s="26">
        <v>1</v>
      </c>
      <c r="F612" s="7" t="s">
        <v>225</v>
      </c>
      <c r="G612" s="7" t="s">
        <v>219</v>
      </c>
      <c r="H612" s="19" t="str">
        <f t="shared" si="9"/>
        <v/>
      </c>
      <c r="I612" s="19" t="s">
        <v>221</v>
      </c>
      <c r="J612" s="7" t="s">
        <v>347</v>
      </c>
      <c r="K612" s="25" t="s">
        <v>225</v>
      </c>
    </row>
    <row r="613" spans="1:11" x14ac:dyDescent="0.25">
      <c r="A613" s="12"/>
      <c r="B613" s="7" t="s">
        <v>222</v>
      </c>
      <c r="C613" s="25">
        <v>20042547</v>
      </c>
      <c r="D613" s="7" t="s">
        <v>4584</v>
      </c>
      <c r="E613" s="26">
        <v>1</v>
      </c>
      <c r="F613" s="7" t="s">
        <v>225</v>
      </c>
      <c r="G613" s="7" t="s">
        <v>219</v>
      </c>
      <c r="H613" s="19" t="str">
        <f t="shared" si="9"/>
        <v/>
      </c>
      <c r="I613" s="19" t="s">
        <v>221</v>
      </c>
      <c r="J613" s="7" t="s">
        <v>345</v>
      </c>
      <c r="K613" s="25" t="s">
        <v>225</v>
      </c>
    </row>
    <row r="614" spans="1:11" x14ac:dyDescent="0.25">
      <c r="A614" s="12"/>
      <c r="B614" s="7" t="s">
        <v>230</v>
      </c>
      <c r="C614" s="25">
        <v>20042568</v>
      </c>
      <c r="D614" s="7" t="s">
        <v>4572</v>
      </c>
      <c r="E614" s="26">
        <v>1</v>
      </c>
      <c r="F614" s="7" t="s">
        <v>225</v>
      </c>
      <c r="G614" s="7" t="s">
        <v>219</v>
      </c>
      <c r="H614" s="19" t="str">
        <f t="shared" si="9"/>
        <v/>
      </c>
      <c r="I614" s="19" t="s">
        <v>910</v>
      </c>
      <c r="J614" s="7" t="s">
        <v>309</v>
      </c>
      <c r="K614" s="25" t="s">
        <v>225</v>
      </c>
    </row>
    <row r="615" spans="1:11" x14ac:dyDescent="0.25">
      <c r="A615" s="12"/>
      <c r="B615" s="7" t="s">
        <v>222</v>
      </c>
      <c r="C615" s="25">
        <v>20042569</v>
      </c>
      <c r="D615" s="7" t="s">
        <v>4589</v>
      </c>
      <c r="E615" s="26">
        <v>1</v>
      </c>
      <c r="F615" s="7" t="s">
        <v>225</v>
      </c>
      <c r="G615" s="7" t="s">
        <v>219</v>
      </c>
      <c r="H615" s="19" t="str">
        <f t="shared" si="9"/>
        <v/>
      </c>
      <c r="I615" s="19" t="s">
        <v>221</v>
      </c>
      <c r="J615" s="7" t="s">
        <v>311</v>
      </c>
      <c r="K615" s="25" t="s">
        <v>225</v>
      </c>
    </row>
    <row r="616" spans="1:11" x14ac:dyDescent="0.25">
      <c r="A616" s="12"/>
      <c r="B616" s="7" t="s">
        <v>230</v>
      </c>
      <c r="C616" s="25">
        <v>20042619</v>
      </c>
      <c r="D616" s="7" t="s">
        <v>4592</v>
      </c>
      <c r="E616" s="26">
        <v>1</v>
      </c>
      <c r="F616" s="7" t="s">
        <v>225</v>
      </c>
      <c r="G616" s="7" t="s">
        <v>219</v>
      </c>
      <c r="H616" s="19" t="str">
        <f t="shared" si="9"/>
        <v/>
      </c>
      <c r="I616" s="19" t="s">
        <v>910</v>
      </c>
      <c r="J616" s="7" t="s">
        <v>309</v>
      </c>
      <c r="K616" s="25" t="s">
        <v>225</v>
      </c>
    </row>
    <row r="617" spans="1:11" x14ac:dyDescent="0.25">
      <c r="A617" s="12"/>
      <c r="B617" s="7" t="s">
        <v>230</v>
      </c>
      <c r="C617" s="25">
        <v>20042654</v>
      </c>
      <c r="D617" s="7" t="s">
        <v>4599</v>
      </c>
      <c r="E617" s="26">
        <v>1</v>
      </c>
      <c r="F617" s="7" t="s">
        <v>225</v>
      </c>
      <c r="G617" s="7" t="s">
        <v>219</v>
      </c>
      <c r="H617" s="19" t="str">
        <f t="shared" si="9"/>
        <v/>
      </c>
      <c r="I617" s="19" t="s">
        <v>910</v>
      </c>
      <c r="J617" s="7" t="s">
        <v>309</v>
      </c>
      <c r="K617" s="25" t="s">
        <v>225</v>
      </c>
    </row>
    <row r="618" spans="1:11" x14ac:dyDescent="0.25">
      <c r="A618" s="12"/>
      <c r="B618" s="7" t="s">
        <v>222</v>
      </c>
      <c r="C618" s="25">
        <v>20042675</v>
      </c>
      <c r="D618" s="7" t="s">
        <v>4640</v>
      </c>
      <c r="E618" s="26">
        <v>1</v>
      </c>
      <c r="F618" s="7" t="s">
        <v>225</v>
      </c>
      <c r="G618" s="7" t="s">
        <v>219</v>
      </c>
      <c r="H618" s="19" t="str">
        <f t="shared" si="9"/>
        <v/>
      </c>
      <c r="I618" s="19" t="s">
        <v>221</v>
      </c>
      <c r="J618" s="7" t="s">
        <v>440</v>
      </c>
      <c r="K618" s="25" t="s">
        <v>225</v>
      </c>
    </row>
    <row r="619" spans="1:11" x14ac:dyDescent="0.25">
      <c r="A619" s="12"/>
      <c r="B619" s="7" t="s">
        <v>222</v>
      </c>
      <c r="C619" s="25">
        <v>20042684</v>
      </c>
      <c r="D619" s="7" t="s">
        <v>4606</v>
      </c>
      <c r="E619" s="26">
        <v>1</v>
      </c>
      <c r="F619" s="7" t="s">
        <v>225</v>
      </c>
      <c r="G619" s="7" t="s">
        <v>219</v>
      </c>
      <c r="H619" s="19" t="str">
        <f t="shared" si="9"/>
        <v/>
      </c>
      <c r="I619" s="19" t="s">
        <v>221</v>
      </c>
      <c r="J619" s="7" t="s">
        <v>1184</v>
      </c>
      <c r="K619" s="25" t="s">
        <v>225</v>
      </c>
    </row>
    <row r="620" spans="1:11" x14ac:dyDescent="0.25">
      <c r="A620" s="12"/>
      <c r="B620" s="7" t="s">
        <v>222</v>
      </c>
      <c r="C620" s="25">
        <v>20042685</v>
      </c>
      <c r="D620" s="7" t="s">
        <v>4607</v>
      </c>
      <c r="E620" s="26">
        <v>1</v>
      </c>
      <c r="F620" s="7" t="s">
        <v>225</v>
      </c>
      <c r="G620" s="7" t="s">
        <v>219</v>
      </c>
      <c r="H620" s="19" t="str">
        <f t="shared" si="9"/>
        <v/>
      </c>
      <c r="I620" s="19" t="s">
        <v>221</v>
      </c>
      <c r="J620" s="7" t="s">
        <v>1184</v>
      </c>
      <c r="K620" s="25" t="s">
        <v>225</v>
      </c>
    </row>
    <row r="621" spans="1:11" x14ac:dyDescent="0.25">
      <c r="A621" s="12"/>
      <c r="B621" s="7" t="s">
        <v>230</v>
      </c>
      <c r="C621" s="25">
        <v>20042700</v>
      </c>
      <c r="D621" s="7" t="s">
        <v>4610</v>
      </c>
      <c r="E621" s="26">
        <v>1</v>
      </c>
      <c r="F621" s="7" t="s">
        <v>225</v>
      </c>
      <c r="G621" s="7" t="s">
        <v>219</v>
      </c>
      <c r="H621" s="19" t="str">
        <f t="shared" si="9"/>
        <v/>
      </c>
      <c r="I621" s="19" t="s">
        <v>910</v>
      </c>
      <c r="J621" s="7" t="s">
        <v>440</v>
      </c>
      <c r="K621" s="25" t="s">
        <v>225</v>
      </c>
    </row>
    <row r="622" spans="1:11" x14ac:dyDescent="0.25">
      <c r="A622" s="12"/>
      <c r="B622" s="7" t="s">
        <v>230</v>
      </c>
      <c r="C622" s="25">
        <v>20042706</v>
      </c>
      <c r="D622" s="7" t="s">
        <v>4641</v>
      </c>
      <c r="E622" s="26">
        <v>1</v>
      </c>
      <c r="F622" s="7" t="s">
        <v>225</v>
      </c>
      <c r="G622" s="7" t="s">
        <v>219</v>
      </c>
      <c r="H622" s="19" t="str">
        <f t="shared" si="9"/>
        <v/>
      </c>
      <c r="I622" s="19" t="s">
        <v>910</v>
      </c>
      <c r="J622" s="7" t="s">
        <v>440</v>
      </c>
      <c r="K622" s="25" t="s">
        <v>225</v>
      </c>
    </row>
    <row r="623" spans="1:11" x14ac:dyDescent="0.25">
      <c r="A623" s="12"/>
      <c r="B623" s="7" t="s">
        <v>230</v>
      </c>
      <c r="C623" s="25">
        <v>20042707</v>
      </c>
      <c r="D623" s="7" t="s">
        <v>4642</v>
      </c>
      <c r="E623" s="26">
        <v>1</v>
      </c>
      <c r="F623" s="7" t="s">
        <v>225</v>
      </c>
      <c r="G623" s="7" t="s">
        <v>219</v>
      </c>
      <c r="H623" s="19" t="str">
        <f t="shared" si="9"/>
        <v/>
      </c>
      <c r="I623" s="19" t="s">
        <v>910</v>
      </c>
      <c r="J623" s="7" t="s">
        <v>440</v>
      </c>
      <c r="K623" s="25" t="s">
        <v>225</v>
      </c>
    </row>
    <row r="624" spans="1:11" x14ac:dyDescent="0.25">
      <c r="A624" s="12"/>
      <c r="B624" s="7" t="s">
        <v>230</v>
      </c>
      <c r="C624" s="25">
        <v>20042708</v>
      </c>
      <c r="D624" s="7" t="s">
        <v>4611</v>
      </c>
      <c r="E624" s="26">
        <v>1</v>
      </c>
      <c r="F624" s="7" t="s">
        <v>225</v>
      </c>
      <c r="G624" s="7" t="s">
        <v>219</v>
      </c>
      <c r="H624" s="19" t="str">
        <f t="shared" si="9"/>
        <v/>
      </c>
      <c r="I624" s="19" t="s">
        <v>910</v>
      </c>
      <c r="J624" s="7" t="s">
        <v>397</v>
      </c>
      <c r="K624" s="25" t="s">
        <v>225</v>
      </c>
    </row>
    <row r="625" spans="1:11" x14ac:dyDescent="0.25">
      <c r="A625" s="12"/>
      <c r="B625" s="7" t="s">
        <v>230</v>
      </c>
      <c r="C625" s="25">
        <v>20042710</v>
      </c>
      <c r="D625" s="7" t="s">
        <v>4612</v>
      </c>
      <c r="E625" s="26">
        <v>1</v>
      </c>
      <c r="F625" s="7" t="s">
        <v>225</v>
      </c>
      <c r="G625" s="7" t="s">
        <v>219</v>
      </c>
      <c r="H625" s="19" t="str">
        <f t="shared" si="9"/>
        <v/>
      </c>
      <c r="I625" s="19" t="s">
        <v>910</v>
      </c>
      <c r="J625" s="7" t="s">
        <v>397</v>
      </c>
      <c r="K625" s="25" t="s">
        <v>225</v>
      </c>
    </row>
    <row r="626" spans="1:11" x14ac:dyDescent="0.25">
      <c r="A626" s="12"/>
      <c r="B626" s="7" t="s">
        <v>230</v>
      </c>
      <c r="C626" s="25">
        <v>20042711</v>
      </c>
      <c r="D626" s="7" t="s">
        <v>4613</v>
      </c>
      <c r="E626" s="26">
        <v>1</v>
      </c>
      <c r="F626" s="7" t="s">
        <v>225</v>
      </c>
      <c r="G626" s="7" t="s">
        <v>219</v>
      </c>
      <c r="H626" s="19" t="str">
        <f t="shared" si="9"/>
        <v/>
      </c>
      <c r="I626" s="19" t="s">
        <v>910</v>
      </c>
      <c r="J626" s="7" t="s">
        <v>397</v>
      </c>
      <c r="K626" s="25" t="s">
        <v>225</v>
      </c>
    </row>
    <row r="627" spans="1:11" x14ac:dyDescent="0.25">
      <c r="A627" s="12"/>
      <c r="B627" s="7" t="s">
        <v>230</v>
      </c>
      <c r="C627" s="25">
        <v>20042712</v>
      </c>
      <c r="D627" s="7" t="s">
        <v>4614</v>
      </c>
      <c r="E627" s="26">
        <v>1</v>
      </c>
      <c r="F627" s="7" t="s">
        <v>225</v>
      </c>
      <c r="G627" s="7" t="s">
        <v>219</v>
      </c>
      <c r="H627" s="19" t="str">
        <f t="shared" si="9"/>
        <v/>
      </c>
      <c r="I627" s="19" t="s">
        <v>910</v>
      </c>
      <c r="J627" s="7" t="s">
        <v>397</v>
      </c>
      <c r="K627" s="25" t="s">
        <v>225</v>
      </c>
    </row>
    <row r="628" spans="1:11" x14ac:dyDescent="0.25">
      <c r="A628" s="12"/>
      <c r="B628" s="7" t="s">
        <v>230</v>
      </c>
      <c r="C628" s="25">
        <v>20042713</v>
      </c>
      <c r="D628" s="7" t="s">
        <v>4615</v>
      </c>
      <c r="E628" s="26">
        <v>1</v>
      </c>
      <c r="F628" s="7" t="s">
        <v>225</v>
      </c>
      <c r="G628" s="7" t="s">
        <v>219</v>
      </c>
      <c r="H628" s="19" t="str">
        <f t="shared" si="9"/>
        <v/>
      </c>
      <c r="I628" s="19" t="s">
        <v>910</v>
      </c>
      <c r="J628" s="7" t="s">
        <v>397</v>
      </c>
      <c r="K628" s="25" t="s">
        <v>225</v>
      </c>
    </row>
    <row r="629" spans="1:11" x14ac:dyDescent="0.25">
      <c r="A629" s="12"/>
      <c r="B629" s="7" t="s">
        <v>230</v>
      </c>
      <c r="C629" s="25">
        <v>20042714</v>
      </c>
      <c r="D629" s="7" t="s">
        <v>4616</v>
      </c>
      <c r="E629" s="26">
        <v>1</v>
      </c>
      <c r="F629" s="7" t="s">
        <v>225</v>
      </c>
      <c r="G629" s="7" t="s">
        <v>219</v>
      </c>
      <c r="H629" s="19" t="str">
        <f t="shared" si="9"/>
        <v/>
      </c>
      <c r="I629" s="19" t="s">
        <v>910</v>
      </c>
      <c r="J629" s="7" t="s">
        <v>397</v>
      </c>
      <c r="K629" s="25" t="s">
        <v>225</v>
      </c>
    </row>
    <row r="630" spans="1:11" x14ac:dyDescent="0.25">
      <c r="A630" s="12"/>
      <c r="B630" s="7" t="s">
        <v>230</v>
      </c>
      <c r="C630" s="25">
        <v>20042715</v>
      </c>
      <c r="D630" s="7" t="s">
        <v>4617</v>
      </c>
      <c r="E630" s="26">
        <v>1</v>
      </c>
      <c r="F630" s="7" t="s">
        <v>225</v>
      </c>
      <c r="G630" s="7" t="s">
        <v>219</v>
      </c>
      <c r="H630" s="19" t="str">
        <f t="shared" si="9"/>
        <v/>
      </c>
      <c r="I630" s="19" t="s">
        <v>910</v>
      </c>
      <c r="J630" s="7" t="s">
        <v>397</v>
      </c>
      <c r="K630" s="25" t="s">
        <v>225</v>
      </c>
    </row>
    <row r="631" spans="1:11" x14ac:dyDescent="0.25">
      <c r="A631" s="12"/>
      <c r="B631" s="7" t="s">
        <v>230</v>
      </c>
      <c r="C631" s="25">
        <v>20042716</v>
      </c>
      <c r="D631" s="7" t="s">
        <v>4618</v>
      </c>
      <c r="E631" s="26">
        <v>1</v>
      </c>
      <c r="F631" s="7" t="s">
        <v>225</v>
      </c>
      <c r="G631" s="7" t="s">
        <v>219</v>
      </c>
      <c r="H631" s="19" t="str">
        <f t="shared" si="9"/>
        <v/>
      </c>
      <c r="I631" s="19" t="s">
        <v>910</v>
      </c>
      <c r="J631" s="7" t="s">
        <v>397</v>
      </c>
      <c r="K631" s="25" t="s">
        <v>225</v>
      </c>
    </row>
    <row r="632" spans="1:11" x14ac:dyDescent="0.25">
      <c r="A632" s="12"/>
      <c r="B632" s="7" t="s">
        <v>230</v>
      </c>
      <c r="C632" s="25">
        <v>20042739</v>
      </c>
      <c r="D632" s="7" t="s">
        <v>4643</v>
      </c>
      <c r="E632" s="26">
        <v>1</v>
      </c>
      <c r="F632" s="7" t="s">
        <v>225</v>
      </c>
      <c r="G632" s="7" t="s">
        <v>219</v>
      </c>
      <c r="H632" s="19" t="str">
        <f t="shared" si="9"/>
        <v/>
      </c>
      <c r="I632" s="19" t="s">
        <v>910</v>
      </c>
      <c r="J632" s="7" t="s">
        <v>347</v>
      </c>
      <c r="K632" s="25" t="s">
        <v>225</v>
      </c>
    </row>
    <row r="633" spans="1:11" x14ac:dyDescent="0.25">
      <c r="A633" s="12"/>
      <c r="B633" s="7" t="s">
        <v>222</v>
      </c>
      <c r="C633" s="25">
        <v>20042791</v>
      </c>
      <c r="D633" s="7" t="s">
        <v>4659</v>
      </c>
      <c r="E633" s="26">
        <v>1</v>
      </c>
      <c r="F633" s="7" t="s">
        <v>225</v>
      </c>
      <c r="G633" s="7" t="s">
        <v>219</v>
      </c>
      <c r="H633" s="19" t="str">
        <f t="shared" si="9"/>
        <v/>
      </c>
      <c r="I633" s="19" t="s">
        <v>221</v>
      </c>
      <c r="J633" s="7" t="s">
        <v>313</v>
      </c>
      <c r="K633" s="25" t="s">
        <v>225</v>
      </c>
    </row>
    <row r="634" spans="1:11" x14ac:dyDescent="0.25">
      <c r="A634" s="12"/>
      <c r="B634" s="7" t="s">
        <v>222</v>
      </c>
      <c r="C634" s="25">
        <v>20042796</v>
      </c>
      <c r="D634" s="7" t="s">
        <v>4662</v>
      </c>
      <c r="E634" s="26">
        <v>1</v>
      </c>
      <c r="F634" s="7" t="s">
        <v>225</v>
      </c>
      <c r="G634" s="7" t="s">
        <v>219</v>
      </c>
      <c r="H634" s="19" t="str">
        <f t="shared" si="9"/>
        <v/>
      </c>
      <c r="I634" s="19" t="s">
        <v>221</v>
      </c>
      <c r="J634" s="7" t="s">
        <v>347</v>
      </c>
      <c r="K634" s="25" t="s">
        <v>225</v>
      </c>
    </row>
    <row r="635" spans="1:11" x14ac:dyDescent="0.25">
      <c r="A635" s="12"/>
      <c r="B635" s="7" t="s">
        <v>222</v>
      </c>
      <c r="C635" s="25">
        <v>20042797</v>
      </c>
      <c r="D635" s="7" t="s">
        <v>4663</v>
      </c>
      <c r="E635" s="26">
        <v>1</v>
      </c>
      <c r="F635" s="7" t="s">
        <v>225</v>
      </c>
      <c r="G635" s="7" t="s">
        <v>219</v>
      </c>
      <c r="H635" s="19" t="str">
        <f t="shared" si="9"/>
        <v/>
      </c>
      <c r="I635" s="19" t="s">
        <v>221</v>
      </c>
      <c r="J635" s="7" t="s">
        <v>347</v>
      </c>
      <c r="K635" s="25" t="s">
        <v>225</v>
      </c>
    </row>
    <row r="636" spans="1:11" x14ac:dyDescent="0.25">
      <c r="A636" s="12"/>
      <c r="B636" s="7" t="s">
        <v>222</v>
      </c>
      <c r="C636" s="25">
        <v>20042844</v>
      </c>
      <c r="D636" s="7" t="s">
        <v>4680</v>
      </c>
      <c r="E636" s="26">
        <v>1</v>
      </c>
      <c r="F636" s="7" t="s">
        <v>225</v>
      </c>
      <c r="G636" s="7" t="s">
        <v>219</v>
      </c>
      <c r="H636" s="19" t="str">
        <f t="shared" si="9"/>
        <v/>
      </c>
      <c r="I636" s="19" t="s">
        <v>221</v>
      </c>
      <c r="J636" s="7" t="s">
        <v>315</v>
      </c>
      <c r="K636" s="25" t="s">
        <v>225</v>
      </c>
    </row>
    <row r="637" spans="1:11" x14ac:dyDescent="0.25">
      <c r="A637" s="12"/>
      <c r="B637" s="7" t="s">
        <v>222</v>
      </c>
      <c r="C637" s="25">
        <v>20042850</v>
      </c>
      <c r="D637" s="7" t="s">
        <v>4682</v>
      </c>
      <c r="E637" s="26">
        <v>1</v>
      </c>
      <c r="F637" s="7" t="s">
        <v>225</v>
      </c>
      <c r="G637" s="7" t="s">
        <v>219</v>
      </c>
      <c r="H637" s="19" t="str">
        <f t="shared" si="9"/>
        <v/>
      </c>
      <c r="I637" s="19" t="s">
        <v>221</v>
      </c>
      <c r="J637" s="7" t="s">
        <v>327</v>
      </c>
      <c r="K637" s="25" t="s">
        <v>225</v>
      </c>
    </row>
    <row r="638" spans="1:11" x14ac:dyDescent="0.25">
      <c r="A638" s="12"/>
      <c r="B638" s="7" t="s">
        <v>222</v>
      </c>
      <c r="C638" s="25">
        <v>20042936</v>
      </c>
      <c r="D638" s="7" t="s">
        <v>4716</v>
      </c>
      <c r="E638" s="26">
        <v>1</v>
      </c>
      <c r="F638" s="7" t="s">
        <v>225</v>
      </c>
      <c r="G638" s="7" t="s">
        <v>219</v>
      </c>
      <c r="H638" s="19" t="str">
        <f t="shared" si="9"/>
        <v/>
      </c>
      <c r="I638" s="19" t="s">
        <v>221</v>
      </c>
      <c r="J638" s="7" t="s">
        <v>721</v>
      </c>
      <c r="K638" s="25" t="s">
        <v>225</v>
      </c>
    </row>
    <row r="639" spans="1:11" x14ac:dyDescent="0.25">
      <c r="A639" s="12"/>
      <c r="B639" s="7" t="s">
        <v>222</v>
      </c>
      <c r="C639" s="25">
        <v>20042982</v>
      </c>
      <c r="D639" s="7" t="s">
        <v>4737</v>
      </c>
      <c r="E639" s="26">
        <v>1</v>
      </c>
      <c r="F639" s="7" t="s">
        <v>225</v>
      </c>
      <c r="G639" s="7" t="s">
        <v>219</v>
      </c>
      <c r="H639" s="19" t="str">
        <f t="shared" si="9"/>
        <v/>
      </c>
      <c r="I639" s="19" t="s">
        <v>221</v>
      </c>
      <c r="J639" s="7" t="s">
        <v>397</v>
      </c>
      <c r="K639" s="25" t="s">
        <v>225</v>
      </c>
    </row>
    <row r="640" spans="1:11" x14ac:dyDescent="0.25">
      <c r="A640" s="12"/>
      <c r="B640" s="7" t="s">
        <v>222</v>
      </c>
      <c r="C640" s="25">
        <v>20043029</v>
      </c>
      <c r="D640" s="7" t="s">
        <v>4752</v>
      </c>
      <c r="E640" s="26">
        <v>1</v>
      </c>
      <c r="F640" s="7" t="s">
        <v>225</v>
      </c>
      <c r="G640" s="7" t="s">
        <v>219</v>
      </c>
      <c r="H640" s="19" t="str">
        <f t="shared" si="9"/>
        <v/>
      </c>
      <c r="I640" s="19" t="s">
        <v>221</v>
      </c>
      <c r="J640" s="7" t="s">
        <v>313</v>
      </c>
      <c r="K640" s="25" t="s">
        <v>225</v>
      </c>
    </row>
    <row r="641" spans="1:11" x14ac:dyDescent="0.25">
      <c r="A641" s="12"/>
      <c r="B641" s="7" t="s">
        <v>222</v>
      </c>
      <c r="C641" s="25">
        <v>20043030</v>
      </c>
      <c r="D641" s="7" t="s">
        <v>4754</v>
      </c>
      <c r="E641" s="26">
        <v>1</v>
      </c>
      <c r="F641" s="7" t="s">
        <v>225</v>
      </c>
      <c r="G641" s="7" t="s">
        <v>219</v>
      </c>
      <c r="H641" s="19" t="str">
        <f t="shared" si="9"/>
        <v/>
      </c>
      <c r="I641" s="19" t="s">
        <v>221</v>
      </c>
      <c r="J641" s="7" t="s">
        <v>313</v>
      </c>
      <c r="K641" s="25" t="s">
        <v>225</v>
      </c>
    </row>
    <row r="642" spans="1:11" x14ac:dyDescent="0.25">
      <c r="A642" s="12"/>
      <c r="B642" s="7" t="s">
        <v>222</v>
      </c>
      <c r="C642" s="25">
        <v>20043031</v>
      </c>
      <c r="D642" s="7" t="s">
        <v>4755</v>
      </c>
      <c r="E642" s="26">
        <v>1</v>
      </c>
      <c r="F642" s="7" t="s">
        <v>225</v>
      </c>
      <c r="G642" s="7" t="s">
        <v>219</v>
      </c>
      <c r="H642" s="19" t="str">
        <f t="shared" si="9"/>
        <v/>
      </c>
      <c r="I642" s="19" t="s">
        <v>221</v>
      </c>
      <c r="J642" s="7" t="s">
        <v>313</v>
      </c>
      <c r="K642" s="25" t="s">
        <v>225</v>
      </c>
    </row>
    <row r="643" spans="1:11" x14ac:dyDescent="0.25">
      <c r="A643" s="12"/>
      <c r="B643" s="7" t="s">
        <v>229</v>
      </c>
      <c r="C643" s="25">
        <v>20043043</v>
      </c>
      <c r="D643" s="7" t="s">
        <v>4759</v>
      </c>
      <c r="E643" s="26">
        <v>100</v>
      </c>
      <c r="F643" s="7" t="s">
        <v>225</v>
      </c>
      <c r="G643" s="7" t="s">
        <v>219</v>
      </c>
      <c r="H643" s="19" t="str">
        <f t="shared" si="9"/>
        <v/>
      </c>
      <c r="I643" s="19" t="s">
        <v>37</v>
      </c>
      <c r="J643" s="7" t="s">
        <v>309</v>
      </c>
      <c r="K643" s="25" t="s">
        <v>225</v>
      </c>
    </row>
    <row r="644" spans="1:11" x14ac:dyDescent="0.25">
      <c r="A644" s="12"/>
      <c r="B644" s="7" t="s">
        <v>4785</v>
      </c>
      <c r="C644" s="25">
        <v>20043079</v>
      </c>
      <c r="D644" s="7" t="s">
        <v>4784</v>
      </c>
      <c r="E644" s="26">
        <v>1</v>
      </c>
      <c r="F644" s="7" t="s">
        <v>225</v>
      </c>
      <c r="G644" s="7" t="s">
        <v>219</v>
      </c>
      <c r="H644" s="19" t="str">
        <f t="shared" si="9"/>
        <v/>
      </c>
      <c r="I644" s="19" t="s">
        <v>321</v>
      </c>
      <c r="J644" s="7" t="s">
        <v>246</v>
      </c>
      <c r="K644" s="25" t="s">
        <v>225</v>
      </c>
    </row>
    <row r="645" spans="1:11" x14ac:dyDescent="0.25">
      <c r="A645" s="12"/>
      <c r="B645" s="7" t="s">
        <v>223</v>
      </c>
      <c r="C645" s="25">
        <v>20043237</v>
      </c>
      <c r="D645" s="7" t="s">
        <v>4808</v>
      </c>
      <c r="E645" s="26">
        <v>25</v>
      </c>
      <c r="F645" s="7" t="s">
        <v>225</v>
      </c>
      <c r="G645" s="7" t="s">
        <v>219</v>
      </c>
      <c r="H645" s="19" t="str">
        <f t="shared" si="9"/>
        <v/>
      </c>
      <c r="I645" s="19" t="s">
        <v>221</v>
      </c>
      <c r="J645" s="7" t="s">
        <v>311</v>
      </c>
      <c r="K645" s="25" t="s">
        <v>225</v>
      </c>
    </row>
    <row r="646" spans="1:11" x14ac:dyDescent="0.25">
      <c r="A646" s="12"/>
      <c r="B646" s="7" t="s">
        <v>222</v>
      </c>
      <c r="C646" s="25">
        <v>20043308</v>
      </c>
      <c r="D646" s="7" t="s">
        <v>4835</v>
      </c>
      <c r="E646" s="26">
        <v>1</v>
      </c>
      <c r="F646" s="7" t="s">
        <v>225</v>
      </c>
      <c r="G646" s="7" t="s">
        <v>219</v>
      </c>
      <c r="H646" s="19" t="str">
        <f t="shared" si="9"/>
        <v/>
      </c>
      <c r="I646" s="19" t="s">
        <v>221</v>
      </c>
      <c r="J646" s="7" t="s">
        <v>246</v>
      </c>
      <c r="K646" s="25" t="s">
        <v>225</v>
      </c>
    </row>
    <row r="647" spans="1:11" x14ac:dyDescent="0.25">
      <c r="A647" s="12"/>
      <c r="B647" s="7" t="s">
        <v>222</v>
      </c>
      <c r="C647" s="25">
        <v>20043318</v>
      </c>
      <c r="D647" s="7" t="s">
        <v>4837</v>
      </c>
      <c r="E647" s="26">
        <v>1</v>
      </c>
      <c r="F647" s="7" t="s">
        <v>225</v>
      </c>
      <c r="G647" s="7" t="s">
        <v>219</v>
      </c>
      <c r="H647" s="19" t="str">
        <f t="shared" si="9"/>
        <v/>
      </c>
      <c r="I647" s="19" t="s">
        <v>221</v>
      </c>
      <c r="J647" s="7" t="s">
        <v>327</v>
      </c>
      <c r="K647" s="25" t="s">
        <v>225</v>
      </c>
    </row>
    <row r="648" spans="1:11" x14ac:dyDescent="0.25">
      <c r="A648" s="12"/>
      <c r="B648" s="7" t="s">
        <v>228</v>
      </c>
      <c r="C648" s="25">
        <v>20043323</v>
      </c>
      <c r="D648" s="7" t="s">
        <v>4849</v>
      </c>
      <c r="E648" s="26">
        <v>1</v>
      </c>
      <c r="F648" s="7" t="s">
        <v>225</v>
      </c>
      <c r="G648" s="7" t="s">
        <v>219</v>
      </c>
      <c r="H648" s="19" t="str">
        <f t="shared" si="9"/>
        <v/>
      </c>
      <c r="I648" s="19" t="s">
        <v>1115</v>
      </c>
      <c r="J648" s="7" t="s">
        <v>337</v>
      </c>
      <c r="K648" s="25" t="s">
        <v>225</v>
      </c>
    </row>
    <row r="649" spans="1:11" x14ac:dyDescent="0.25">
      <c r="A649" s="12"/>
      <c r="B649" s="7" t="s">
        <v>222</v>
      </c>
      <c r="C649" s="25">
        <v>20043381</v>
      </c>
      <c r="D649" s="7" t="s">
        <v>4873</v>
      </c>
      <c r="E649" s="26">
        <v>1</v>
      </c>
      <c r="F649" s="7" t="s">
        <v>225</v>
      </c>
      <c r="G649" s="7" t="s">
        <v>219</v>
      </c>
      <c r="H649" s="19" t="str">
        <f t="shared" si="9"/>
        <v/>
      </c>
      <c r="I649" s="19" t="s">
        <v>221</v>
      </c>
      <c r="J649" s="7" t="s">
        <v>315</v>
      </c>
      <c r="K649" s="25" t="s">
        <v>225</v>
      </c>
    </row>
    <row r="650" spans="1:11" x14ac:dyDescent="0.25">
      <c r="A650" s="12"/>
      <c r="B650" s="7" t="s">
        <v>222</v>
      </c>
      <c r="C650" s="25">
        <v>20043382</v>
      </c>
      <c r="D650" s="7" t="s">
        <v>4874</v>
      </c>
      <c r="E650" s="26">
        <v>1</v>
      </c>
      <c r="F650" s="7" t="s">
        <v>225</v>
      </c>
      <c r="G650" s="7" t="s">
        <v>219</v>
      </c>
      <c r="H650" s="19" t="str">
        <f t="shared" si="9"/>
        <v/>
      </c>
      <c r="I650" s="19" t="s">
        <v>221</v>
      </c>
      <c r="J650" s="7" t="s">
        <v>315</v>
      </c>
      <c r="K650" s="25" t="s">
        <v>225</v>
      </c>
    </row>
    <row r="651" spans="1:11" x14ac:dyDescent="0.25">
      <c r="A651" s="12"/>
      <c r="B651" s="7" t="s">
        <v>222</v>
      </c>
      <c r="C651" s="25">
        <v>20043383</v>
      </c>
      <c r="D651" s="7" t="s">
        <v>4875</v>
      </c>
      <c r="E651" s="26">
        <v>1</v>
      </c>
      <c r="F651" s="7" t="s">
        <v>225</v>
      </c>
      <c r="G651" s="7" t="s">
        <v>219</v>
      </c>
      <c r="H651" s="19" t="str">
        <f t="shared" si="9"/>
        <v/>
      </c>
      <c r="I651" s="19" t="s">
        <v>221</v>
      </c>
      <c r="J651" s="7" t="s">
        <v>315</v>
      </c>
      <c r="K651" s="25" t="s">
        <v>225</v>
      </c>
    </row>
    <row r="652" spans="1:11" x14ac:dyDescent="0.25">
      <c r="A652" s="12"/>
      <c r="B652" s="7" t="s">
        <v>230</v>
      </c>
      <c r="C652" s="25">
        <v>20043384</v>
      </c>
      <c r="D652" s="7" t="s">
        <v>4876</v>
      </c>
      <c r="E652" s="26">
        <v>1</v>
      </c>
      <c r="F652" s="7" t="s">
        <v>225</v>
      </c>
      <c r="G652" s="7" t="s">
        <v>219</v>
      </c>
      <c r="H652" s="19" t="str">
        <f t="shared" si="9"/>
        <v/>
      </c>
      <c r="I652" s="19" t="s">
        <v>910</v>
      </c>
      <c r="J652" s="7" t="s">
        <v>311</v>
      </c>
      <c r="K652" s="25" t="s">
        <v>225</v>
      </c>
    </row>
    <row r="653" spans="1:11" x14ac:dyDescent="0.25">
      <c r="A653" s="12"/>
      <c r="B653" s="7" t="s">
        <v>222</v>
      </c>
      <c r="C653" s="25">
        <v>20043480</v>
      </c>
      <c r="D653" s="7" t="s">
        <v>4911</v>
      </c>
      <c r="E653" s="26">
        <v>1</v>
      </c>
      <c r="F653" s="7" t="s">
        <v>225</v>
      </c>
      <c r="G653" s="7" t="s">
        <v>219</v>
      </c>
      <c r="H653" s="19" t="str">
        <f t="shared" si="9"/>
        <v/>
      </c>
      <c r="I653" s="19" t="s">
        <v>221</v>
      </c>
      <c r="J653" s="7" t="s">
        <v>309</v>
      </c>
      <c r="K653" s="25" t="s">
        <v>225</v>
      </c>
    </row>
    <row r="654" spans="1:11" x14ac:dyDescent="0.25">
      <c r="A654" s="12"/>
      <c r="B654" s="7" t="s">
        <v>222</v>
      </c>
      <c r="C654" s="25">
        <v>20043486</v>
      </c>
      <c r="D654" s="7" t="s">
        <v>4921</v>
      </c>
      <c r="E654" s="26">
        <v>1</v>
      </c>
      <c r="F654" s="7" t="s">
        <v>225</v>
      </c>
      <c r="G654" s="7" t="s">
        <v>219</v>
      </c>
      <c r="H654" s="19" t="str">
        <f t="shared" si="9"/>
        <v/>
      </c>
      <c r="I654" s="19" t="s">
        <v>221</v>
      </c>
      <c r="J654" s="7" t="s">
        <v>397</v>
      </c>
      <c r="K654" s="25" t="s">
        <v>225</v>
      </c>
    </row>
    <row r="655" spans="1:11" x14ac:dyDescent="0.25">
      <c r="A655" s="12"/>
      <c r="B655" s="7" t="s">
        <v>222</v>
      </c>
      <c r="C655" s="25">
        <v>20043487</v>
      </c>
      <c r="D655" s="7" t="s">
        <v>4922</v>
      </c>
      <c r="E655" s="26">
        <v>1</v>
      </c>
      <c r="F655" s="7" t="s">
        <v>225</v>
      </c>
      <c r="G655" s="7" t="s">
        <v>219</v>
      </c>
      <c r="H655" s="19" t="str">
        <f t="shared" ref="H655:H718" si="10">IF(A655="", "", A655*E655)</f>
        <v/>
      </c>
      <c r="I655" s="19" t="s">
        <v>221</v>
      </c>
      <c r="J655" s="7" t="s">
        <v>313</v>
      </c>
      <c r="K655" s="25" t="s">
        <v>225</v>
      </c>
    </row>
    <row r="656" spans="1:11" x14ac:dyDescent="0.25">
      <c r="A656" s="12"/>
      <c r="B656" s="7" t="s">
        <v>222</v>
      </c>
      <c r="C656" s="25">
        <v>20043491</v>
      </c>
      <c r="D656" s="7" t="s">
        <v>4916</v>
      </c>
      <c r="E656" s="26">
        <v>1</v>
      </c>
      <c r="F656" s="7" t="s">
        <v>225</v>
      </c>
      <c r="G656" s="7" t="s">
        <v>219</v>
      </c>
      <c r="H656" s="19" t="str">
        <f t="shared" si="10"/>
        <v/>
      </c>
      <c r="I656" s="19" t="s">
        <v>221</v>
      </c>
      <c r="J656" s="7" t="s">
        <v>397</v>
      </c>
      <c r="K656" s="25" t="s">
        <v>225</v>
      </c>
    </row>
    <row r="657" spans="1:11" x14ac:dyDescent="0.25">
      <c r="A657" s="12"/>
      <c r="B657" s="7" t="s">
        <v>222</v>
      </c>
      <c r="C657" s="25">
        <v>20043492</v>
      </c>
      <c r="D657" s="7" t="s">
        <v>4917</v>
      </c>
      <c r="E657" s="26">
        <v>1</v>
      </c>
      <c r="F657" s="7" t="s">
        <v>225</v>
      </c>
      <c r="G657" s="7" t="s">
        <v>219</v>
      </c>
      <c r="H657" s="19" t="str">
        <f t="shared" si="10"/>
        <v/>
      </c>
      <c r="I657" s="19" t="s">
        <v>221</v>
      </c>
      <c r="J657" s="7" t="s">
        <v>397</v>
      </c>
      <c r="K657" s="25" t="s">
        <v>225</v>
      </c>
    </row>
    <row r="658" spans="1:11" x14ac:dyDescent="0.25">
      <c r="A658" s="12"/>
      <c r="B658" s="7" t="s">
        <v>222</v>
      </c>
      <c r="C658" s="25">
        <v>20043493</v>
      </c>
      <c r="D658" s="7" t="s">
        <v>4918</v>
      </c>
      <c r="E658" s="26">
        <v>1</v>
      </c>
      <c r="F658" s="7" t="s">
        <v>225</v>
      </c>
      <c r="G658" s="7" t="s">
        <v>219</v>
      </c>
      <c r="H658" s="19" t="str">
        <f t="shared" si="10"/>
        <v/>
      </c>
      <c r="I658" s="19" t="s">
        <v>221</v>
      </c>
      <c r="J658" s="7" t="s">
        <v>397</v>
      </c>
      <c r="K658" s="25" t="s">
        <v>225</v>
      </c>
    </row>
    <row r="659" spans="1:11" x14ac:dyDescent="0.25">
      <c r="A659" s="12"/>
      <c r="B659" s="7" t="s">
        <v>222</v>
      </c>
      <c r="C659" s="25">
        <v>20043537</v>
      </c>
      <c r="D659" s="7" t="s">
        <v>4933</v>
      </c>
      <c r="E659" s="26">
        <v>1</v>
      </c>
      <c r="F659" s="7" t="s">
        <v>225</v>
      </c>
      <c r="G659" s="7" t="s">
        <v>219</v>
      </c>
      <c r="H659" s="19" t="str">
        <f t="shared" si="10"/>
        <v/>
      </c>
      <c r="I659" s="19" t="s">
        <v>221</v>
      </c>
      <c r="J659" s="7" t="s">
        <v>721</v>
      </c>
      <c r="K659" s="25" t="s">
        <v>225</v>
      </c>
    </row>
    <row r="660" spans="1:11" x14ac:dyDescent="0.25">
      <c r="A660" s="12"/>
      <c r="B660" s="7" t="s">
        <v>222</v>
      </c>
      <c r="C660" s="25">
        <v>20043560</v>
      </c>
      <c r="D660" s="7" t="s">
        <v>4934</v>
      </c>
      <c r="E660" s="26">
        <v>1</v>
      </c>
      <c r="F660" s="7" t="s">
        <v>225</v>
      </c>
      <c r="G660" s="7" t="s">
        <v>219</v>
      </c>
      <c r="H660" s="19" t="str">
        <f t="shared" si="10"/>
        <v/>
      </c>
      <c r="I660" s="19" t="s">
        <v>221</v>
      </c>
      <c r="J660" s="7" t="s">
        <v>345</v>
      </c>
      <c r="K660" s="25" t="s">
        <v>225</v>
      </c>
    </row>
    <row r="661" spans="1:11" x14ac:dyDescent="0.25">
      <c r="A661" s="12"/>
      <c r="B661" s="7" t="s">
        <v>222</v>
      </c>
      <c r="C661" s="25">
        <v>20043568</v>
      </c>
      <c r="D661" s="7" t="s">
        <v>4938</v>
      </c>
      <c r="E661" s="26">
        <v>1</v>
      </c>
      <c r="F661" s="7" t="s">
        <v>225</v>
      </c>
      <c r="G661" s="7" t="s">
        <v>219</v>
      </c>
      <c r="H661" s="19" t="str">
        <f t="shared" si="10"/>
        <v/>
      </c>
      <c r="I661" s="19" t="s">
        <v>221</v>
      </c>
      <c r="J661" s="7" t="s">
        <v>311</v>
      </c>
      <c r="K661" s="25" t="s">
        <v>225</v>
      </c>
    </row>
    <row r="662" spans="1:11" x14ac:dyDescent="0.25">
      <c r="A662" s="12"/>
      <c r="B662" s="7" t="s">
        <v>222</v>
      </c>
      <c r="C662" s="25">
        <v>20043579</v>
      </c>
      <c r="D662" s="7" t="s">
        <v>4950</v>
      </c>
      <c r="E662" s="26">
        <v>1</v>
      </c>
      <c r="F662" s="7" t="s">
        <v>225</v>
      </c>
      <c r="G662" s="7" t="s">
        <v>219</v>
      </c>
      <c r="H662" s="19" t="str">
        <f t="shared" si="10"/>
        <v/>
      </c>
      <c r="I662" s="19" t="s">
        <v>221</v>
      </c>
      <c r="J662" s="7" t="s">
        <v>311</v>
      </c>
      <c r="K662" s="25" t="s">
        <v>225</v>
      </c>
    </row>
    <row r="663" spans="1:11" x14ac:dyDescent="0.25">
      <c r="A663" s="12"/>
      <c r="B663" s="7" t="s">
        <v>222</v>
      </c>
      <c r="C663" s="25">
        <v>20043582</v>
      </c>
      <c r="D663" s="7" t="s">
        <v>4953</v>
      </c>
      <c r="E663" s="26">
        <v>1</v>
      </c>
      <c r="F663" s="7" t="s">
        <v>225</v>
      </c>
      <c r="G663" s="7" t="s">
        <v>219</v>
      </c>
      <c r="H663" s="19" t="str">
        <f t="shared" si="10"/>
        <v/>
      </c>
      <c r="I663" s="19" t="s">
        <v>221</v>
      </c>
      <c r="J663" s="7" t="s">
        <v>315</v>
      </c>
      <c r="K663" s="25" t="s">
        <v>225</v>
      </c>
    </row>
    <row r="664" spans="1:11" x14ac:dyDescent="0.25">
      <c r="A664" s="12"/>
      <c r="B664" s="7" t="s">
        <v>222</v>
      </c>
      <c r="C664" s="25">
        <v>20043583</v>
      </c>
      <c r="D664" s="7" t="s">
        <v>4954</v>
      </c>
      <c r="E664" s="26">
        <v>1</v>
      </c>
      <c r="F664" s="7" t="s">
        <v>225</v>
      </c>
      <c r="G664" s="7" t="s">
        <v>219</v>
      </c>
      <c r="H664" s="19" t="str">
        <f t="shared" si="10"/>
        <v/>
      </c>
      <c r="I664" s="19" t="s">
        <v>221</v>
      </c>
      <c r="J664" s="7" t="s">
        <v>315</v>
      </c>
      <c r="K664" s="25" t="s">
        <v>225</v>
      </c>
    </row>
    <row r="665" spans="1:11" x14ac:dyDescent="0.25">
      <c r="A665" s="12"/>
      <c r="B665" s="7" t="s">
        <v>222</v>
      </c>
      <c r="C665" s="25">
        <v>20043595</v>
      </c>
      <c r="D665" s="7" t="s">
        <v>4951</v>
      </c>
      <c r="E665" s="26">
        <v>1</v>
      </c>
      <c r="F665" s="7" t="s">
        <v>225</v>
      </c>
      <c r="G665" s="7" t="s">
        <v>219</v>
      </c>
      <c r="H665" s="19" t="str">
        <f t="shared" si="10"/>
        <v/>
      </c>
      <c r="I665" s="19" t="s">
        <v>221</v>
      </c>
      <c r="J665" s="7" t="s">
        <v>311</v>
      </c>
      <c r="K665" s="25" t="s">
        <v>225</v>
      </c>
    </row>
    <row r="666" spans="1:11" x14ac:dyDescent="0.25">
      <c r="A666" s="12"/>
      <c r="B666" s="7" t="s">
        <v>223</v>
      </c>
      <c r="C666" s="25">
        <v>20043598</v>
      </c>
      <c r="D666" s="7" t="s">
        <v>4955</v>
      </c>
      <c r="E666" s="26">
        <v>1</v>
      </c>
      <c r="F666" s="7" t="s">
        <v>225</v>
      </c>
      <c r="G666" s="7" t="s">
        <v>219</v>
      </c>
      <c r="H666" s="19" t="str">
        <f t="shared" si="10"/>
        <v/>
      </c>
      <c r="I666" s="19" t="s">
        <v>399</v>
      </c>
      <c r="J666" s="7" t="s">
        <v>311</v>
      </c>
      <c r="K666" s="25" t="s">
        <v>225</v>
      </c>
    </row>
    <row r="667" spans="1:11" x14ac:dyDescent="0.25">
      <c r="A667" s="12"/>
      <c r="B667" s="7" t="s">
        <v>223</v>
      </c>
      <c r="C667" s="25">
        <v>20043599</v>
      </c>
      <c r="D667" s="7" t="s">
        <v>4956</v>
      </c>
      <c r="E667" s="26">
        <v>1</v>
      </c>
      <c r="F667" s="7" t="s">
        <v>225</v>
      </c>
      <c r="G667" s="7" t="s">
        <v>219</v>
      </c>
      <c r="H667" s="19" t="str">
        <f t="shared" si="10"/>
        <v/>
      </c>
      <c r="I667" s="19" t="s">
        <v>399</v>
      </c>
      <c r="J667" s="7" t="s">
        <v>311</v>
      </c>
      <c r="K667" s="25" t="s">
        <v>225</v>
      </c>
    </row>
    <row r="668" spans="1:11" x14ac:dyDescent="0.25">
      <c r="A668" s="12"/>
      <c r="B668" s="7" t="s">
        <v>222</v>
      </c>
      <c r="C668" s="25">
        <v>20043621</v>
      </c>
      <c r="D668" s="7" t="s">
        <v>4969</v>
      </c>
      <c r="E668" s="26">
        <v>1</v>
      </c>
      <c r="F668" s="7" t="s">
        <v>352</v>
      </c>
      <c r="G668" s="7" t="s">
        <v>4970</v>
      </c>
      <c r="H668" s="19" t="str">
        <f t="shared" si="10"/>
        <v/>
      </c>
      <c r="I668" s="19" t="s">
        <v>221</v>
      </c>
      <c r="J668" s="7" t="s">
        <v>327</v>
      </c>
      <c r="K668" s="25" t="s">
        <v>352</v>
      </c>
    </row>
    <row r="669" spans="1:11" x14ac:dyDescent="0.25">
      <c r="A669" s="12"/>
      <c r="B669" s="7" t="s">
        <v>223</v>
      </c>
      <c r="C669" s="25">
        <v>20043629</v>
      </c>
      <c r="D669" s="7" t="s">
        <v>4968</v>
      </c>
      <c r="E669" s="26">
        <v>1</v>
      </c>
      <c r="F669" s="7" t="s">
        <v>225</v>
      </c>
      <c r="G669" s="7" t="s">
        <v>219</v>
      </c>
      <c r="H669" s="19" t="str">
        <f t="shared" si="10"/>
        <v/>
      </c>
      <c r="I669" s="19" t="s">
        <v>399</v>
      </c>
      <c r="J669" s="7" t="s">
        <v>311</v>
      </c>
      <c r="K669" s="25" t="s">
        <v>225</v>
      </c>
    </row>
    <row r="670" spans="1:11" x14ac:dyDescent="0.25">
      <c r="A670" s="12"/>
      <c r="B670" s="7" t="s">
        <v>233</v>
      </c>
      <c r="C670" s="25">
        <v>20043630</v>
      </c>
      <c r="D670" s="7" t="s">
        <v>4971</v>
      </c>
      <c r="E670" s="26">
        <v>1</v>
      </c>
      <c r="F670" s="7" t="s">
        <v>225</v>
      </c>
      <c r="G670" s="7" t="s">
        <v>219</v>
      </c>
      <c r="H670" s="19" t="str">
        <f t="shared" si="10"/>
        <v/>
      </c>
      <c r="I670" s="19" t="s">
        <v>328</v>
      </c>
      <c r="J670" s="7" t="s">
        <v>313</v>
      </c>
      <c r="K670" s="25" t="s">
        <v>225</v>
      </c>
    </row>
    <row r="671" spans="1:11" x14ac:dyDescent="0.25">
      <c r="A671" s="12"/>
      <c r="B671" s="7" t="s">
        <v>223</v>
      </c>
      <c r="C671" s="25">
        <v>20043668</v>
      </c>
      <c r="D671" s="7" t="s">
        <v>4996</v>
      </c>
      <c r="E671" s="26">
        <v>1</v>
      </c>
      <c r="F671" s="7" t="s">
        <v>225</v>
      </c>
      <c r="G671" s="7" t="s">
        <v>219</v>
      </c>
      <c r="H671" s="19" t="str">
        <f t="shared" si="10"/>
        <v/>
      </c>
      <c r="I671" s="19" t="s">
        <v>399</v>
      </c>
      <c r="J671" s="7" t="s">
        <v>313</v>
      </c>
      <c r="K671" s="25" t="s">
        <v>225</v>
      </c>
    </row>
    <row r="672" spans="1:11" x14ac:dyDescent="0.25">
      <c r="A672" s="12"/>
      <c r="B672" s="7" t="s">
        <v>223</v>
      </c>
      <c r="C672" s="25">
        <v>20043672</v>
      </c>
      <c r="D672" s="7" t="s">
        <v>4997</v>
      </c>
      <c r="E672" s="26">
        <v>1</v>
      </c>
      <c r="F672" s="7" t="s">
        <v>225</v>
      </c>
      <c r="G672" s="7" t="s">
        <v>219</v>
      </c>
      <c r="H672" s="19" t="str">
        <f t="shared" si="10"/>
        <v/>
      </c>
      <c r="I672" s="19" t="s">
        <v>399</v>
      </c>
      <c r="J672" s="7" t="s">
        <v>313</v>
      </c>
      <c r="K672" s="25" t="s">
        <v>225</v>
      </c>
    </row>
    <row r="673" spans="1:11" x14ac:dyDescent="0.25">
      <c r="A673" s="12"/>
      <c r="B673" s="7" t="s">
        <v>223</v>
      </c>
      <c r="C673" s="25">
        <v>20043673</v>
      </c>
      <c r="D673" s="7" t="s">
        <v>4998</v>
      </c>
      <c r="E673" s="26">
        <v>1</v>
      </c>
      <c r="F673" s="7" t="s">
        <v>225</v>
      </c>
      <c r="G673" s="7" t="s">
        <v>219</v>
      </c>
      <c r="H673" s="19" t="str">
        <f t="shared" si="10"/>
        <v/>
      </c>
      <c r="I673" s="19" t="s">
        <v>399</v>
      </c>
      <c r="J673" s="7" t="s">
        <v>313</v>
      </c>
      <c r="K673" s="25" t="s">
        <v>225</v>
      </c>
    </row>
    <row r="674" spans="1:11" x14ac:dyDescent="0.25">
      <c r="A674" s="12"/>
      <c r="B674" s="7" t="s">
        <v>223</v>
      </c>
      <c r="C674" s="25">
        <v>20043675</v>
      </c>
      <c r="D674" s="7" t="s">
        <v>5000</v>
      </c>
      <c r="E674" s="26">
        <v>1</v>
      </c>
      <c r="F674" s="7" t="s">
        <v>225</v>
      </c>
      <c r="G674" s="7" t="s">
        <v>219</v>
      </c>
      <c r="H674" s="19" t="str">
        <f t="shared" si="10"/>
        <v/>
      </c>
      <c r="I674" s="19" t="s">
        <v>399</v>
      </c>
      <c r="J674" s="7" t="s">
        <v>313</v>
      </c>
      <c r="K674" s="25" t="s">
        <v>225</v>
      </c>
    </row>
    <row r="675" spans="1:11" x14ac:dyDescent="0.25">
      <c r="A675" s="12"/>
      <c r="B675" s="7" t="s">
        <v>229</v>
      </c>
      <c r="C675" s="25">
        <v>20043676</v>
      </c>
      <c r="D675" s="7" t="s">
        <v>5006</v>
      </c>
      <c r="E675" s="26">
        <v>1</v>
      </c>
      <c r="F675" s="7" t="s">
        <v>225</v>
      </c>
      <c r="G675" s="7" t="s">
        <v>219</v>
      </c>
      <c r="H675" s="19" t="str">
        <f t="shared" si="10"/>
        <v/>
      </c>
      <c r="I675" s="19" t="s">
        <v>306</v>
      </c>
      <c r="J675" s="7" t="s">
        <v>402</v>
      </c>
      <c r="K675" s="25" t="s">
        <v>225</v>
      </c>
    </row>
    <row r="676" spans="1:11" x14ac:dyDescent="0.25">
      <c r="A676" s="12"/>
      <c r="B676" s="7" t="s">
        <v>222</v>
      </c>
      <c r="C676" s="25">
        <v>20043678</v>
      </c>
      <c r="D676" s="7" t="s">
        <v>5001</v>
      </c>
      <c r="E676" s="26">
        <v>100</v>
      </c>
      <c r="F676" s="7" t="s">
        <v>225</v>
      </c>
      <c r="G676" s="7" t="s">
        <v>219</v>
      </c>
      <c r="H676" s="19" t="str">
        <f t="shared" si="10"/>
        <v/>
      </c>
      <c r="I676" s="19" t="s">
        <v>37</v>
      </c>
      <c r="J676" s="7" t="s">
        <v>345</v>
      </c>
      <c r="K676" s="25" t="s">
        <v>225</v>
      </c>
    </row>
    <row r="677" spans="1:11" x14ac:dyDescent="0.25">
      <c r="A677" s="12"/>
      <c r="B677" s="7" t="s">
        <v>222</v>
      </c>
      <c r="C677" s="25">
        <v>20043679</v>
      </c>
      <c r="D677" s="7" t="s">
        <v>5002</v>
      </c>
      <c r="E677" s="26">
        <v>100</v>
      </c>
      <c r="F677" s="7" t="s">
        <v>225</v>
      </c>
      <c r="G677" s="7" t="s">
        <v>219</v>
      </c>
      <c r="H677" s="19" t="str">
        <f t="shared" si="10"/>
        <v/>
      </c>
      <c r="I677" s="19" t="s">
        <v>37</v>
      </c>
      <c r="J677" s="7" t="s">
        <v>345</v>
      </c>
      <c r="K677" s="25" t="s">
        <v>225</v>
      </c>
    </row>
    <row r="678" spans="1:11" x14ac:dyDescent="0.25">
      <c r="A678" s="12"/>
      <c r="B678" s="7" t="s">
        <v>222</v>
      </c>
      <c r="C678" s="25">
        <v>20043680</v>
      </c>
      <c r="D678" s="7" t="s">
        <v>5004</v>
      </c>
      <c r="E678" s="26">
        <v>1</v>
      </c>
      <c r="F678" s="7" t="s">
        <v>225</v>
      </c>
      <c r="G678" s="7" t="s">
        <v>219</v>
      </c>
      <c r="H678" s="19" t="str">
        <f t="shared" si="10"/>
        <v/>
      </c>
      <c r="I678" s="19" t="s">
        <v>221</v>
      </c>
      <c r="J678" s="7" t="s">
        <v>313</v>
      </c>
      <c r="K678" s="25" t="s">
        <v>225</v>
      </c>
    </row>
    <row r="679" spans="1:11" x14ac:dyDescent="0.25">
      <c r="A679" s="12"/>
      <c r="B679" s="7" t="s">
        <v>222</v>
      </c>
      <c r="C679" s="25">
        <v>20043681</v>
      </c>
      <c r="D679" s="7" t="s">
        <v>5005</v>
      </c>
      <c r="E679" s="26">
        <v>1</v>
      </c>
      <c r="F679" s="7" t="s">
        <v>225</v>
      </c>
      <c r="G679" s="7" t="s">
        <v>219</v>
      </c>
      <c r="H679" s="19" t="str">
        <f t="shared" si="10"/>
        <v/>
      </c>
      <c r="I679" s="19" t="s">
        <v>221</v>
      </c>
      <c r="J679" s="7" t="s">
        <v>313</v>
      </c>
      <c r="K679" s="25" t="s">
        <v>225</v>
      </c>
    </row>
    <row r="680" spans="1:11" x14ac:dyDescent="0.25">
      <c r="A680" s="12"/>
      <c r="B680" s="7" t="s">
        <v>222</v>
      </c>
      <c r="C680" s="25">
        <v>20043703</v>
      </c>
      <c r="D680" s="7" t="s">
        <v>5022</v>
      </c>
      <c r="E680" s="26">
        <v>1</v>
      </c>
      <c r="F680" s="7" t="s">
        <v>225</v>
      </c>
      <c r="G680" s="7" t="s">
        <v>219</v>
      </c>
      <c r="H680" s="19" t="str">
        <f t="shared" si="10"/>
        <v/>
      </c>
      <c r="I680" s="19" t="s">
        <v>221</v>
      </c>
      <c r="J680" s="7" t="s">
        <v>246</v>
      </c>
      <c r="K680" s="25" t="s">
        <v>225</v>
      </c>
    </row>
    <row r="681" spans="1:11" x14ac:dyDescent="0.25">
      <c r="A681" s="12"/>
      <c r="B681" s="7" t="s">
        <v>222</v>
      </c>
      <c r="C681" s="25">
        <v>20043709</v>
      </c>
      <c r="D681" s="7" t="s">
        <v>5019</v>
      </c>
      <c r="E681" s="26">
        <v>1</v>
      </c>
      <c r="F681" s="7" t="s">
        <v>225</v>
      </c>
      <c r="G681" s="7" t="s">
        <v>219</v>
      </c>
      <c r="H681" s="19" t="str">
        <f t="shared" si="10"/>
        <v/>
      </c>
      <c r="I681" s="19" t="s">
        <v>221</v>
      </c>
      <c r="J681" s="7" t="s">
        <v>315</v>
      </c>
      <c r="K681" s="25" t="s">
        <v>225</v>
      </c>
    </row>
    <row r="682" spans="1:11" x14ac:dyDescent="0.25">
      <c r="A682" s="12"/>
      <c r="B682" s="7" t="s">
        <v>229</v>
      </c>
      <c r="C682" s="25">
        <v>20043714</v>
      </c>
      <c r="D682" s="7" t="s">
        <v>5033</v>
      </c>
      <c r="E682" s="26">
        <v>1</v>
      </c>
      <c r="F682" s="7" t="s">
        <v>225</v>
      </c>
      <c r="G682" s="7" t="s">
        <v>219</v>
      </c>
      <c r="H682" s="19" t="str">
        <f t="shared" si="10"/>
        <v/>
      </c>
      <c r="I682" s="19" t="s">
        <v>306</v>
      </c>
      <c r="J682" s="7" t="s">
        <v>402</v>
      </c>
      <c r="K682" s="25" t="s">
        <v>225</v>
      </c>
    </row>
    <row r="683" spans="1:11" x14ac:dyDescent="0.25">
      <c r="A683" s="12"/>
      <c r="B683" s="7" t="s">
        <v>228</v>
      </c>
      <c r="C683" s="25">
        <v>20043721</v>
      </c>
      <c r="D683" s="7" t="s">
        <v>5036</v>
      </c>
      <c r="E683" s="26">
        <v>1</v>
      </c>
      <c r="F683" s="7" t="s">
        <v>225</v>
      </c>
      <c r="G683" s="7" t="s">
        <v>219</v>
      </c>
      <c r="H683" s="19" t="str">
        <f t="shared" si="10"/>
        <v/>
      </c>
      <c r="I683" s="19" t="s">
        <v>1115</v>
      </c>
      <c r="J683" s="7" t="s">
        <v>337</v>
      </c>
      <c r="K683" s="25" t="s">
        <v>225</v>
      </c>
    </row>
    <row r="684" spans="1:11" x14ac:dyDescent="0.25">
      <c r="A684" s="12"/>
      <c r="B684" s="7" t="s">
        <v>228</v>
      </c>
      <c r="C684" s="25">
        <v>20043722</v>
      </c>
      <c r="D684" s="7" t="s">
        <v>5037</v>
      </c>
      <c r="E684" s="26">
        <v>1</v>
      </c>
      <c r="F684" s="7" t="s">
        <v>225</v>
      </c>
      <c r="G684" s="7" t="s">
        <v>219</v>
      </c>
      <c r="H684" s="19" t="str">
        <f t="shared" si="10"/>
        <v/>
      </c>
      <c r="I684" s="19" t="s">
        <v>1115</v>
      </c>
      <c r="J684" s="7" t="s">
        <v>337</v>
      </c>
      <c r="K684" s="25" t="s">
        <v>225</v>
      </c>
    </row>
    <row r="685" spans="1:11" x14ac:dyDescent="0.25">
      <c r="A685" s="12"/>
      <c r="B685" s="7" t="s">
        <v>228</v>
      </c>
      <c r="C685" s="25">
        <v>20043723</v>
      </c>
      <c r="D685" s="7" t="s">
        <v>5038</v>
      </c>
      <c r="E685" s="26">
        <v>1</v>
      </c>
      <c r="F685" s="7" t="s">
        <v>225</v>
      </c>
      <c r="G685" s="7" t="s">
        <v>219</v>
      </c>
      <c r="H685" s="19" t="str">
        <f t="shared" si="10"/>
        <v/>
      </c>
      <c r="I685" s="19" t="s">
        <v>1115</v>
      </c>
      <c r="J685" s="7" t="s">
        <v>337</v>
      </c>
      <c r="K685" s="25" t="s">
        <v>225</v>
      </c>
    </row>
    <row r="686" spans="1:11" x14ac:dyDescent="0.25">
      <c r="A686" s="12"/>
      <c r="B686" s="7" t="s">
        <v>228</v>
      </c>
      <c r="C686" s="25">
        <v>20043724</v>
      </c>
      <c r="D686" s="7" t="s">
        <v>5039</v>
      </c>
      <c r="E686" s="26">
        <v>1</v>
      </c>
      <c r="F686" s="7" t="s">
        <v>225</v>
      </c>
      <c r="G686" s="7" t="s">
        <v>219</v>
      </c>
      <c r="H686" s="19" t="str">
        <f t="shared" si="10"/>
        <v/>
      </c>
      <c r="I686" s="19" t="s">
        <v>1115</v>
      </c>
      <c r="J686" s="7" t="s">
        <v>337</v>
      </c>
      <c r="K686" s="25" t="s">
        <v>225</v>
      </c>
    </row>
    <row r="687" spans="1:11" x14ac:dyDescent="0.25">
      <c r="A687" s="12"/>
      <c r="B687" s="7" t="s">
        <v>222</v>
      </c>
      <c r="C687" s="25">
        <v>20043737</v>
      </c>
      <c r="D687" s="7" t="s">
        <v>5035</v>
      </c>
      <c r="E687" s="26">
        <v>1</v>
      </c>
      <c r="F687" s="7" t="s">
        <v>225</v>
      </c>
      <c r="G687" s="7" t="s">
        <v>219</v>
      </c>
      <c r="H687" s="19" t="str">
        <f t="shared" si="10"/>
        <v/>
      </c>
      <c r="I687" s="19" t="s">
        <v>221</v>
      </c>
      <c r="J687" s="7" t="s">
        <v>246</v>
      </c>
      <c r="K687" s="25" t="s">
        <v>225</v>
      </c>
    </row>
    <row r="688" spans="1:11" x14ac:dyDescent="0.25">
      <c r="A688" s="12"/>
      <c r="B688" s="7" t="s">
        <v>230</v>
      </c>
      <c r="C688" s="25">
        <v>20043756</v>
      </c>
      <c r="D688" s="7" t="s">
        <v>5060</v>
      </c>
      <c r="E688" s="26">
        <v>1</v>
      </c>
      <c r="F688" s="7" t="s">
        <v>225</v>
      </c>
      <c r="G688" s="7" t="s">
        <v>219</v>
      </c>
      <c r="H688" s="19" t="str">
        <f t="shared" si="10"/>
        <v/>
      </c>
      <c r="I688" s="19" t="s">
        <v>910</v>
      </c>
      <c r="J688" s="7" t="s">
        <v>397</v>
      </c>
      <c r="K688" s="25" t="s">
        <v>225</v>
      </c>
    </row>
    <row r="689" spans="1:11" x14ac:dyDescent="0.25">
      <c r="A689" s="12"/>
      <c r="B689" s="7" t="s">
        <v>222</v>
      </c>
      <c r="C689" s="25">
        <v>20043763</v>
      </c>
      <c r="D689" s="7" t="s">
        <v>5054</v>
      </c>
      <c r="E689" s="26">
        <v>1</v>
      </c>
      <c r="F689" s="7" t="s">
        <v>225</v>
      </c>
      <c r="G689" s="7" t="s">
        <v>219</v>
      </c>
      <c r="H689" s="19" t="str">
        <f t="shared" si="10"/>
        <v/>
      </c>
      <c r="I689" s="19" t="s">
        <v>221</v>
      </c>
      <c r="J689" s="7" t="s">
        <v>313</v>
      </c>
      <c r="K689" s="25" t="s">
        <v>225</v>
      </c>
    </row>
    <row r="690" spans="1:11" x14ac:dyDescent="0.25">
      <c r="A690" s="12"/>
      <c r="B690" s="7" t="s">
        <v>222</v>
      </c>
      <c r="C690" s="25">
        <v>20043765</v>
      </c>
      <c r="D690" s="7" t="s">
        <v>5055</v>
      </c>
      <c r="E690" s="26">
        <v>1</v>
      </c>
      <c r="F690" s="7" t="s">
        <v>225</v>
      </c>
      <c r="G690" s="7" t="s">
        <v>219</v>
      </c>
      <c r="H690" s="19" t="str">
        <f t="shared" si="10"/>
        <v/>
      </c>
      <c r="I690" s="19" t="s">
        <v>221</v>
      </c>
      <c r="J690" s="7" t="s">
        <v>313</v>
      </c>
      <c r="K690" s="25" t="s">
        <v>225</v>
      </c>
    </row>
    <row r="691" spans="1:11" x14ac:dyDescent="0.25">
      <c r="A691" s="12"/>
      <c r="B691" s="7" t="s">
        <v>222</v>
      </c>
      <c r="C691" s="25">
        <v>20043767</v>
      </c>
      <c r="D691" s="7" t="s">
        <v>5056</v>
      </c>
      <c r="E691" s="26">
        <v>1</v>
      </c>
      <c r="F691" s="7" t="s">
        <v>225</v>
      </c>
      <c r="G691" s="7" t="s">
        <v>219</v>
      </c>
      <c r="H691" s="19" t="str">
        <f t="shared" si="10"/>
        <v/>
      </c>
      <c r="I691" s="19" t="s">
        <v>221</v>
      </c>
      <c r="J691" s="7" t="s">
        <v>313</v>
      </c>
      <c r="K691" s="25" t="s">
        <v>225</v>
      </c>
    </row>
    <row r="692" spans="1:11" x14ac:dyDescent="0.25">
      <c r="A692" s="12"/>
      <c r="B692" s="7" t="s">
        <v>222</v>
      </c>
      <c r="C692" s="25">
        <v>20043768</v>
      </c>
      <c r="D692" s="7" t="s">
        <v>5057</v>
      </c>
      <c r="E692" s="26">
        <v>1</v>
      </c>
      <c r="F692" s="7" t="s">
        <v>225</v>
      </c>
      <c r="G692" s="7" t="s">
        <v>219</v>
      </c>
      <c r="H692" s="19" t="str">
        <f t="shared" si="10"/>
        <v/>
      </c>
      <c r="I692" s="19" t="s">
        <v>221</v>
      </c>
      <c r="J692" s="7" t="s">
        <v>313</v>
      </c>
      <c r="K692" s="25" t="s">
        <v>225</v>
      </c>
    </row>
    <row r="693" spans="1:11" x14ac:dyDescent="0.25">
      <c r="A693" s="12"/>
      <c r="B693" s="7" t="s">
        <v>222</v>
      </c>
      <c r="C693" s="25">
        <v>20043781</v>
      </c>
      <c r="D693" s="7" t="s">
        <v>5066</v>
      </c>
      <c r="E693" s="26">
        <v>1</v>
      </c>
      <c r="F693" s="7" t="s">
        <v>225</v>
      </c>
      <c r="G693" s="7" t="s">
        <v>219</v>
      </c>
      <c r="H693" s="19" t="str">
        <f t="shared" si="10"/>
        <v/>
      </c>
      <c r="I693" s="19" t="s">
        <v>221</v>
      </c>
      <c r="J693" s="7" t="s">
        <v>311</v>
      </c>
      <c r="K693" s="25" t="s">
        <v>225</v>
      </c>
    </row>
    <row r="694" spans="1:11" x14ac:dyDescent="0.25">
      <c r="A694" s="12"/>
      <c r="B694" s="7" t="s">
        <v>222</v>
      </c>
      <c r="C694" s="25">
        <v>20043820</v>
      </c>
      <c r="D694" s="7" t="s">
        <v>5085</v>
      </c>
      <c r="E694" s="26">
        <v>1</v>
      </c>
      <c r="F694" s="7" t="s">
        <v>225</v>
      </c>
      <c r="G694" s="7" t="s">
        <v>219</v>
      </c>
      <c r="H694" s="19" t="str">
        <f t="shared" si="10"/>
        <v/>
      </c>
      <c r="I694" s="19" t="s">
        <v>221</v>
      </c>
      <c r="J694" s="7" t="s">
        <v>4855</v>
      </c>
      <c r="K694" s="25" t="s">
        <v>225</v>
      </c>
    </row>
    <row r="695" spans="1:11" x14ac:dyDescent="0.25">
      <c r="A695" s="12"/>
      <c r="B695" s="7" t="s">
        <v>222</v>
      </c>
      <c r="C695" s="25">
        <v>20043821</v>
      </c>
      <c r="D695" s="7" t="s">
        <v>5086</v>
      </c>
      <c r="E695" s="26">
        <v>1</v>
      </c>
      <c r="F695" s="7" t="s">
        <v>225</v>
      </c>
      <c r="G695" s="7" t="s">
        <v>219</v>
      </c>
      <c r="H695" s="19" t="str">
        <f t="shared" si="10"/>
        <v/>
      </c>
      <c r="I695" s="19" t="s">
        <v>221</v>
      </c>
      <c r="J695" s="7" t="s">
        <v>4855</v>
      </c>
      <c r="K695" s="25" t="s">
        <v>225</v>
      </c>
    </row>
    <row r="696" spans="1:11" x14ac:dyDescent="0.25">
      <c r="A696" s="12"/>
      <c r="B696" s="7" t="s">
        <v>222</v>
      </c>
      <c r="C696" s="25">
        <v>20043822</v>
      </c>
      <c r="D696" s="7" t="s">
        <v>5088</v>
      </c>
      <c r="E696" s="26">
        <v>1</v>
      </c>
      <c r="F696" s="7" t="s">
        <v>225</v>
      </c>
      <c r="G696" s="7" t="s">
        <v>219</v>
      </c>
      <c r="H696" s="19" t="str">
        <f t="shared" si="10"/>
        <v/>
      </c>
      <c r="I696" s="19" t="s">
        <v>221</v>
      </c>
      <c r="J696" s="7" t="s">
        <v>345</v>
      </c>
      <c r="K696" s="25" t="s">
        <v>225</v>
      </c>
    </row>
    <row r="697" spans="1:11" x14ac:dyDescent="0.25">
      <c r="A697" s="12"/>
      <c r="B697" s="7" t="s">
        <v>222</v>
      </c>
      <c r="C697" s="25">
        <v>20043823</v>
      </c>
      <c r="D697" s="7" t="s">
        <v>5089</v>
      </c>
      <c r="E697" s="26">
        <v>1</v>
      </c>
      <c r="F697" s="7" t="s">
        <v>225</v>
      </c>
      <c r="G697" s="7" t="s">
        <v>219</v>
      </c>
      <c r="H697" s="19" t="str">
        <f t="shared" si="10"/>
        <v/>
      </c>
      <c r="I697" s="19" t="s">
        <v>221</v>
      </c>
      <c r="J697" s="7" t="s">
        <v>954</v>
      </c>
      <c r="K697" s="25" t="s">
        <v>225</v>
      </c>
    </row>
    <row r="698" spans="1:11" x14ac:dyDescent="0.25">
      <c r="A698" s="12"/>
      <c r="B698" s="7" t="s">
        <v>222</v>
      </c>
      <c r="C698" s="25">
        <v>20043824</v>
      </c>
      <c r="D698" s="7" t="s">
        <v>5090</v>
      </c>
      <c r="E698" s="26">
        <v>1</v>
      </c>
      <c r="F698" s="7" t="s">
        <v>225</v>
      </c>
      <c r="G698" s="7" t="s">
        <v>219</v>
      </c>
      <c r="H698" s="19" t="str">
        <f t="shared" si="10"/>
        <v/>
      </c>
      <c r="I698" s="19" t="s">
        <v>221</v>
      </c>
      <c r="J698" s="7" t="s">
        <v>954</v>
      </c>
      <c r="K698" s="25" t="s">
        <v>225</v>
      </c>
    </row>
    <row r="699" spans="1:11" x14ac:dyDescent="0.25">
      <c r="A699" s="12"/>
      <c r="B699" s="7" t="s">
        <v>222</v>
      </c>
      <c r="C699" s="25">
        <v>20043825</v>
      </c>
      <c r="D699" s="7" t="s">
        <v>5091</v>
      </c>
      <c r="E699" s="26">
        <v>1</v>
      </c>
      <c r="F699" s="7" t="s">
        <v>225</v>
      </c>
      <c r="G699" s="7" t="s">
        <v>219</v>
      </c>
      <c r="H699" s="19" t="str">
        <f t="shared" si="10"/>
        <v/>
      </c>
      <c r="I699" s="19" t="s">
        <v>221</v>
      </c>
      <c r="J699" s="7" t="s">
        <v>954</v>
      </c>
      <c r="K699" s="25" t="s">
        <v>225</v>
      </c>
    </row>
    <row r="700" spans="1:11" x14ac:dyDescent="0.25">
      <c r="A700" s="12"/>
      <c r="B700" s="7" t="s">
        <v>222</v>
      </c>
      <c r="C700" s="25">
        <v>20043826</v>
      </c>
      <c r="D700" s="7" t="s">
        <v>5092</v>
      </c>
      <c r="E700" s="26">
        <v>1</v>
      </c>
      <c r="F700" s="7" t="s">
        <v>225</v>
      </c>
      <c r="G700" s="7" t="s">
        <v>219</v>
      </c>
      <c r="H700" s="19" t="str">
        <f t="shared" si="10"/>
        <v/>
      </c>
      <c r="I700" s="19" t="s">
        <v>221</v>
      </c>
      <c r="J700" s="7" t="s">
        <v>954</v>
      </c>
      <c r="K700" s="25" t="s">
        <v>225</v>
      </c>
    </row>
    <row r="701" spans="1:11" x14ac:dyDescent="0.25">
      <c r="A701" s="12"/>
      <c r="B701" s="7" t="s">
        <v>222</v>
      </c>
      <c r="C701" s="25">
        <v>20043868</v>
      </c>
      <c r="D701" s="7" t="s">
        <v>5115</v>
      </c>
      <c r="E701" s="26">
        <v>1</v>
      </c>
      <c r="F701" s="7" t="s">
        <v>225</v>
      </c>
      <c r="G701" s="7" t="s">
        <v>219</v>
      </c>
      <c r="H701" s="19" t="str">
        <f t="shared" si="10"/>
        <v/>
      </c>
      <c r="I701" s="19" t="s">
        <v>221</v>
      </c>
      <c r="J701" s="7" t="s">
        <v>315</v>
      </c>
      <c r="K701" s="25" t="s">
        <v>225</v>
      </c>
    </row>
    <row r="702" spans="1:11" x14ac:dyDescent="0.25">
      <c r="A702" s="12"/>
      <c r="B702" s="7" t="s">
        <v>222</v>
      </c>
      <c r="C702" s="25">
        <v>20043870</v>
      </c>
      <c r="D702" s="7" t="s">
        <v>5116</v>
      </c>
      <c r="E702" s="26">
        <v>1</v>
      </c>
      <c r="F702" s="7" t="s">
        <v>225</v>
      </c>
      <c r="G702" s="7" t="s">
        <v>219</v>
      </c>
      <c r="H702" s="19" t="str">
        <f t="shared" si="10"/>
        <v/>
      </c>
      <c r="I702" s="19" t="s">
        <v>221</v>
      </c>
      <c r="J702" s="7" t="s">
        <v>315</v>
      </c>
      <c r="K702" s="25" t="s">
        <v>225</v>
      </c>
    </row>
    <row r="703" spans="1:11" x14ac:dyDescent="0.25">
      <c r="A703" s="12"/>
      <c r="B703" s="7" t="s">
        <v>222</v>
      </c>
      <c r="C703" s="25">
        <v>20043874</v>
      </c>
      <c r="D703" s="7" t="s">
        <v>5117</v>
      </c>
      <c r="E703" s="26">
        <v>1</v>
      </c>
      <c r="F703" s="7" t="s">
        <v>352</v>
      </c>
      <c r="G703" s="7" t="s">
        <v>5118</v>
      </c>
      <c r="H703" s="19" t="str">
        <f t="shared" si="10"/>
        <v/>
      </c>
      <c r="I703" s="19" t="s">
        <v>221</v>
      </c>
      <c r="J703" s="7" t="s">
        <v>345</v>
      </c>
      <c r="K703" s="25" t="s">
        <v>352</v>
      </c>
    </row>
    <row r="704" spans="1:11" x14ac:dyDescent="0.25">
      <c r="A704" s="12"/>
      <c r="B704" s="7" t="s">
        <v>228</v>
      </c>
      <c r="C704" s="25">
        <v>20043877</v>
      </c>
      <c r="D704" s="7" t="s">
        <v>5124</v>
      </c>
      <c r="E704" s="26">
        <v>1</v>
      </c>
      <c r="F704" s="7" t="s">
        <v>225</v>
      </c>
      <c r="G704" s="7" t="s">
        <v>219</v>
      </c>
      <c r="H704" s="19" t="str">
        <f t="shared" si="10"/>
        <v/>
      </c>
      <c r="I704" s="19" t="s">
        <v>1115</v>
      </c>
      <c r="J704" s="7" t="s">
        <v>337</v>
      </c>
      <c r="K704" s="25" t="s">
        <v>225</v>
      </c>
    </row>
    <row r="705" spans="1:11" x14ac:dyDescent="0.25">
      <c r="A705" s="12"/>
      <c r="B705" s="7" t="s">
        <v>222</v>
      </c>
      <c r="C705" s="25">
        <v>20043891</v>
      </c>
      <c r="D705" s="7" t="s">
        <v>5143</v>
      </c>
      <c r="E705" s="26">
        <v>1</v>
      </c>
      <c r="F705" s="7" t="s">
        <v>225</v>
      </c>
      <c r="G705" s="7" t="s">
        <v>219</v>
      </c>
      <c r="H705" s="19" t="str">
        <f t="shared" si="10"/>
        <v/>
      </c>
      <c r="I705" s="19" t="s">
        <v>221</v>
      </c>
      <c r="J705" s="7" t="s">
        <v>242</v>
      </c>
      <c r="K705" s="25" t="s">
        <v>225</v>
      </c>
    </row>
    <row r="706" spans="1:11" x14ac:dyDescent="0.25">
      <c r="A706" s="12"/>
      <c r="B706" s="7" t="s">
        <v>222</v>
      </c>
      <c r="C706" s="25">
        <v>20043898</v>
      </c>
      <c r="D706" s="7" t="s">
        <v>5119</v>
      </c>
      <c r="E706" s="26">
        <v>1</v>
      </c>
      <c r="F706" s="7" t="s">
        <v>225</v>
      </c>
      <c r="G706" s="7" t="s">
        <v>219</v>
      </c>
      <c r="H706" s="19" t="str">
        <f t="shared" si="10"/>
        <v/>
      </c>
      <c r="I706" s="19" t="s">
        <v>221</v>
      </c>
      <c r="J706" s="7" t="s">
        <v>309</v>
      </c>
      <c r="K706" s="25" t="s">
        <v>225</v>
      </c>
    </row>
    <row r="707" spans="1:11" x14ac:dyDescent="0.25">
      <c r="A707" s="12"/>
      <c r="B707" s="7" t="s">
        <v>222</v>
      </c>
      <c r="C707" s="25">
        <v>20043900</v>
      </c>
      <c r="D707" s="7" t="s">
        <v>5121</v>
      </c>
      <c r="E707" s="26">
        <v>1</v>
      </c>
      <c r="F707" s="7" t="s">
        <v>225</v>
      </c>
      <c r="G707" s="7" t="s">
        <v>219</v>
      </c>
      <c r="H707" s="19" t="str">
        <f t="shared" si="10"/>
        <v/>
      </c>
      <c r="I707" s="19" t="s">
        <v>221</v>
      </c>
      <c r="J707" s="7" t="s">
        <v>345</v>
      </c>
      <c r="K707" s="25" t="s">
        <v>225</v>
      </c>
    </row>
    <row r="708" spans="1:11" x14ac:dyDescent="0.25">
      <c r="A708" s="12"/>
      <c r="B708" s="7" t="s">
        <v>222</v>
      </c>
      <c r="C708" s="25">
        <v>20043901</v>
      </c>
      <c r="D708" s="7" t="s">
        <v>5122</v>
      </c>
      <c r="E708" s="26">
        <v>1</v>
      </c>
      <c r="F708" s="7" t="s">
        <v>225</v>
      </c>
      <c r="G708" s="7" t="s">
        <v>219</v>
      </c>
      <c r="H708" s="19" t="str">
        <f t="shared" si="10"/>
        <v/>
      </c>
      <c r="I708" s="19" t="s">
        <v>221</v>
      </c>
      <c r="J708" s="7" t="s">
        <v>246</v>
      </c>
      <c r="K708" s="25" t="s">
        <v>225</v>
      </c>
    </row>
    <row r="709" spans="1:11" x14ac:dyDescent="0.25">
      <c r="A709" s="12"/>
      <c r="B709" s="7" t="s">
        <v>228</v>
      </c>
      <c r="C709" s="25">
        <v>20043903</v>
      </c>
      <c r="D709" s="7" t="s">
        <v>5125</v>
      </c>
      <c r="E709" s="26">
        <v>1</v>
      </c>
      <c r="F709" s="7" t="s">
        <v>225</v>
      </c>
      <c r="G709" s="7" t="s">
        <v>219</v>
      </c>
      <c r="H709" s="19" t="str">
        <f t="shared" si="10"/>
        <v/>
      </c>
      <c r="I709" s="19" t="s">
        <v>1115</v>
      </c>
      <c r="J709" s="7" t="s">
        <v>337</v>
      </c>
      <c r="K709" s="25" t="s">
        <v>225</v>
      </c>
    </row>
    <row r="710" spans="1:11" x14ac:dyDescent="0.25">
      <c r="A710" s="12"/>
      <c r="B710" s="7" t="s">
        <v>228</v>
      </c>
      <c r="C710" s="25">
        <v>20043904</v>
      </c>
      <c r="D710" s="7" t="s">
        <v>5126</v>
      </c>
      <c r="E710" s="26">
        <v>1</v>
      </c>
      <c r="F710" s="7" t="s">
        <v>225</v>
      </c>
      <c r="G710" s="7" t="s">
        <v>219</v>
      </c>
      <c r="H710" s="19" t="str">
        <f t="shared" si="10"/>
        <v/>
      </c>
      <c r="I710" s="19" t="s">
        <v>1115</v>
      </c>
      <c r="J710" s="7" t="s">
        <v>337</v>
      </c>
      <c r="K710" s="25" t="s">
        <v>225</v>
      </c>
    </row>
    <row r="711" spans="1:11" x14ac:dyDescent="0.25">
      <c r="A711" s="12"/>
      <c r="B711" s="7" t="s">
        <v>222</v>
      </c>
      <c r="C711" s="25">
        <v>20043905</v>
      </c>
      <c r="D711" s="7" t="s">
        <v>5132</v>
      </c>
      <c r="E711" s="26">
        <v>1</v>
      </c>
      <c r="F711" s="7" t="s">
        <v>225</v>
      </c>
      <c r="G711" s="7" t="s">
        <v>219</v>
      </c>
      <c r="H711" s="19" t="str">
        <f t="shared" si="10"/>
        <v/>
      </c>
      <c r="I711" s="19" t="s">
        <v>221</v>
      </c>
      <c r="J711" s="7" t="s">
        <v>327</v>
      </c>
      <c r="K711" s="25" t="s">
        <v>225</v>
      </c>
    </row>
    <row r="712" spans="1:11" x14ac:dyDescent="0.25">
      <c r="A712" s="12"/>
      <c r="B712" s="7" t="s">
        <v>228</v>
      </c>
      <c r="C712" s="25">
        <v>20043908</v>
      </c>
      <c r="D712" s="7" t="s">
        <v>5127</v>
      </c>
      <c r="E712" s="26">
        <v>1</v>
      </c>
      <c r="F712" s="7" t="s">
        <v>225</v>
      </c>
      <c r="G712" s="7" t="s">
        <v>219</v>
      </c>
      <c r="H712" s="19" t="str">
        <f t="shared" si="10"/>
        <v/>
      </c>
      <c r="I712" s="19" t="s">
        <v>1115</v>
      </c>
      <c r="J712" s="7" t="s">
        <v>337</v>
      </c>
      <c r="K712" s="25" t="s">
        <v>225</v>
      </c>
    </row>
    <row r="713" spans="1:11" x14ac:dyDescent="0.25">
      <c r="A713" s="12"/>
      <c r="B713" s="7" t="s">
        <v>228</v>
      </c>
      <c r="C713" s="25">
        <v>20043909</v>
      </c>
      <c r="D713" s="7" t="s">
        <v>5128</v>
      </c>
      <c r="E713" s="26">
        <v>1</v>
      </c>
      <c r="F713" s="7" t="s">
        <v>225</v>
      </c>
      <c r="G713" s="7" t="s">
        <v>219</v>
      </c>
      <c r="H713" s="19" t="str">
        <f t="shared" si="10"/>
        <v/>
      </c>
      <c r="I713" s="19" t="s">
        <v>1115</v>
      </c>
      <c r="J713" s="7" t="s">
        <v>337</v>
      </c>
      <c r="K713" s="25" t="s">
        <v>225</v>
      </c>
    </row>
    <row r="714" spans="1:11" x14ac:dyDescent="0.25">
      <c r="A714" s="12"/>
      <c r="B714" s="7" t="s">
        <v>228</v>
      </c>
      <c r="C714" s="25">
        <v>20043910</v>
      </c>
      <c r="D714" s="7" t="s">
        <v>5129</v>
      </c>
      <c r="E714" s="26">
        <v>1</v>
      </c>
      <c r="F714" s="7" t="s">
        <v>225</v>
      </c>
      <c r="G714" s="7" t="s">
        <v>219</v>
      </c>
      <c r="H714" s="19" t="str">
        <f t="shared" si="10"/>
        <v/>
      </c>
      <c r="I714" s="19" t="s">
        <v>1115</v>
      </c>
      <c r="J714" s="7" t="s">
        <v>337</v>
      </c>
      <c r="K714" s="25" t="s">
        <v>225</v>
      </c>
    </row>
    <row r="715" spans="1:11" x14ac:dyDescent="0.25">
      <c r="A715" s="12"/>
      <c r="B715" s="7" t="s">
        <v>222</v>
      </c>
      <c r="C715" s="25">
        <v>20043912</v>
      </c>
      <c r="D715" s="7" t="s">
        <v>5131</v>
      </c>
      <c r="E715" s="26">
        <v>1</v>
      </c>
      <c r="F715" s="7" t="s">
        <v>225</v>
      </c>
      <c r="G715" s="7" t="s">
        <v>219</v>
      </c>
      <c r="H715" s="19" t="str">
        <f t="shared" si="10"/>
        <v/>
      </c>
      <c r="I715" s="19" t="s">
        <v>221</v>
      </c>
      <c r="J715" s="7" t="s">
        <v>1184</v>
      </c>
      <c r="K715" s="25" t="s">
        <v>225</v>
      </c>
    </row>
    <row r="716" spans="1:11" x14ac:dyDescent="0.25">
      <c r="A716" s="12"/>
      <c r="B716" s="7" t="s">
        <v>222</v>
      </c>
      <c r="C716" s="25">
        <v>20043920</v>
      </c>
      <c r="D716" s="7" t="s">
        <v>5140</v>
      </c>
      <c r="E716" s="26">
        <v>1</v>
      </c>
      <c r="F716" s="7" t="s">
        <v>225</v>
      </c>
      <c r="G716" s="7" t="s">
        <v>219</v>
      </c>
      <c r="H716" s="19" t="str">
        <f t="shared" si="10"/>
        <v/>
      </c>
      <c r="I716" s="19" t="s">
        <v>221</v>
      </c>
      <c r="J716" s="7" t="s">
        <v>315</v>
      </c>
      <c r="K716" s="25" t="s">
        <v>225</v>
      </c>
    </row>
    <row r="717" spans="1:11" x14ac:dyDescent="0.25">
      <c r="A717" s="12"/>
      <c r="B717" s="7" t="s">
        <v>230</v>
      </c>
      <c r="C717" s="25">
        <v>20043923</v>
      </c>
      <c r="D717" s="7" t="s">
        <v>5142</v>
      </c>
      <c r="E717" s="26">
        <v>1</v>
      </c>
      <c r="F717" s="7" t="s">
        <v>273</v>
      </c>
      <c r="G717" s="7" t="s">
        <v>219</v>
      </c>
      <c r="H717" s="19" t="str">
        <f t="shared" si="10"/>
        <v/>
      </c>
      <c r="I717" s="19" t="s">
        <v>910</v>
      </c>
      <c r="J717" s="7" t="s">
        <v>309</v>
      </c>
      <c r="K717" s="25" t="s">
        <v>273</v>
      </c>
    </row>
    <row r="718" spans="1:11" x14ac:dyDescent="0.25">
      <c r="A718" s="12"/>
      <c r="B718" s="7" t="s">
        <v>222</v>
      </c>
      <c r="C718" s="25">
        <v>20043938</v>
      </c>
      <c r="D718" s="7" t="s">
        <v>5145</v>
      </c>
      <c r="E718" s="26">
        <v>1</v>
      </c>
      <c r="F718" s="7" t="s">
        <v>225</v>
      </c>
      <c r="G718" s="7" t="s">
        <v>219</v>
      </c>
      <c r="H718" s="19" t="str">
        <f t="shared" si="10"/>
        <v/>
      </c>
      <c r="I718" s="19" t="s">
        <v>221</v>
      </c>
      <c r="J718" s="7" t="s">
        <v>347</v>
      </c>
      <c r="K718" s="25" t="s">
        <v>225</v>
      </c>
    </row>
    <row r="719" spans="1:11" x14ac:dyDescent="0.25">
      <c r="A719" s="12"/>
      <c r="B719" s="7" t="s">
        <v>222</v>
      </c>
      <c r="C719" s="25">
        <v>20043941</v>
      </c>
      <c r="D719" s="7" t="s">
        <v>5154</v>
      </c>
      <c r="E719" s="26">
        <v>1</v>
      </c>
      <c r="F719" s="7" t="s">
        <v>225</v>
      </c>
      <c r="G719" s="7" t="s">
        <v>219</v>
      </c>
      <c r="H719" s="19" t="str">
        <f t="shared" ref="H719:H782" si="11">IF(A719="", "", A719*E719)</f>
        <v/>
      </c>
      <c r="I719" s="19" t="s">
        <v>221</v>
      </c>
      <c r="J719" s="7" t="s">
        <v>313</v>
      </c>
      <c r="K719" s="25" t="s">
        <v>225</v>
      </c>
    </row>
    <row r="720" spans="1:11" x14ac:dyDescent="0.25">
      <c r="A720" s="12"/>
      <c r="B720" s="7" t="s">
        <v>222</v>
      </c>
      <c r="C720" s="25">
        <v>20044027</v>
      </c>
      <c r="D720" s="7" t="s">
        <v>5208</v>
      </c>
      <c r="E720" s="26">
        <v>1</v>
      </c>
      <c r="F720" s="7" t="s">
        <v>225</v>
      </c>
      <c r="G720" s="7" t="s">
        <v>219</v>
      </c>
      <c r="H720" s="19" t="str">
        <f t="shared" si="11"/>
        <v/>
      </c>
      <c r="I720" s="19" t="s">
        <v>221</v>
      </c>
      <c r="J720" s="7" t="s">
        <v>311</v>
      </c>
      <c r="K720" s="25" t="s">
        <v>225</v>
      </c>
    </row>
    <row r="721" spans="1:11" x14ac:dyDescent="0.25">
      <c r="A721" s="12"/>
      <c r="B721" s="7" t="s">
        <v>222</v>
      </c>
      <c r="C721" s="25">
        <v>20044058</v>
      </c>
      <c r="D721" s="7" t="s">
        <v>5209</v>
      </c>
      <c r="E721" s="26">
        <v>1</v>
      </c>
      <c r="F721" s="7" t="s">
        <v>225</v>
      </c>
      <c r="G721" s="7" t="s">
        <v>219</v>
      </c>
      <c r="H721" s="19" t="str">
        <f t="shared" si="11"/>
        <v/>
      </c>
      <c r="I721" s="19" t="s">
        <v>221</v>
      </c>
      <c r="J721" s="7" t="s">
        <v>311</v>
      </c>
      <c r="K721" s="25" t="s">
        <v>225</v>
      </c>
    </row>
    <row r="722" spans="1:11" x14ac:dyDescent="0.25">
      <c r="A722" s="12"/>
      <c r="B722" s="7" t="s">
        <v>222</v>
      </c>
      <c r="C722" s="25">
        <v>20044075</v>
      </c>
      <c r="D722" s="7" t="s">
        <v>5221</v>
      </c>
      <c r="E722" s="26">
        <v>1</v>
      </c>
      <c r="F722" s="7" t="s">
        <v>225</v>
      </c>
      <c r="G722" s="7" t="s">
        <v>219</v>
      </c>
      <c r="H722" s="19" t="str">
        <f t="shared" si="11"/>
        <v/>
      </c>
      <c r="I722" s="19" t="s">
        <v>221</v>
      </c>
      <c r="J722" s="7" t="s">
        <v>315</v>
      </c>
      <c r="K722" s="25" t="s">
        <v>225</v>
      </c>
    </row>
    <row r="723" spans="1:11" x14ac:dyDescent="0.25">
      <c r="A723" s="12"/>
      <c r="B723" s="7" t="s">
        <v>222</v>
      </c>
      <c r="C723" s="25">
        <v>20044098</v>
      </c>
      <c r="D723" s="7" t="s">
        <v>5228</v>
      </c>
      <c r="E723" s="26">
        <v>1</v>
      </c>
      <c r="F723" s="7" t="s">
        <v>352</v>
      </c>
      <c r="G723" s="7" t="s">
        <v>5550</v>
      </c>
      <c r="H723" s="19" t="str">
        <f t="shared" si="11"/>
        <v/>
      </c>
      <c r="I723" s="19" t="s">
        <v>221</v>
      </c>
      <c r="J723" s="7" t="s">
        <v>4855</v>
      </c>
      <c r="K723" s="25" t="s">
        <v>352</v>
      </c>
    </row>
    <row r="724" spans="1:11" x14ac:dyDescent="0.25">
      <c r="A724" s="12"/>
      <c r="B724" s="7" t="s">
        <v>222</v>
      </c>
      <c r="C724" s="25">
        <v>20044124</v>
      </c>
      <c r="D724" s="7" t="s">
        <v>5242</v>
      </c>
      <c r="E724" s="26">
        <v>1</v>
      </c>
      <c r="F724" s="7" t="s">
        <v>225</v>
      </c>
      <c r="G724" s="7" t="s">
        <v>219</v>
      </c>
      <c r="H724" s="19" t="str">
        <f t="shared" si="11"/>
        <v/>
      </c>
      <c r="I724" s="19" t="s">
        <v>221</v>
      </c>
      <c r="J724" s="7" t="s">
        <v>1184</v>
      </c>
      <c r="K724" s="25" t="s">
        <v>225</v>
      </c>
    </row>
    <row r="725" spans="1:11" x14ac:dyDescent="0.25">
      <c r="A725" s="12"/>
      <c r="B725" s="7" t="s">
        <v>4785</v>
      </c>
      <c r="C725" s="25">
        <v>20044219</v>
      </c>
      <c r="D725" s="7" t="s">
        <v>5252</v>
      </c>
      <c r="E725" s="26">
        <v>1</v>
      </c>
      <c r="F725" s="7" t="s">
        <v>225</v>
      </c>
      <c r="G725" s="7" t="s">
        <v>219</v>
      </c>
      <c r="H725" s="19" t="str">
        <f t="shared" si="11"/>
        <v/>
      </c>
      <c r="I725" s="19" t="s">
        <v>321</v>
      </c>
      <c r="J725" s="7" t="s">
        <v>246</v>
      </c>
      <c r="K725" s="25" t="s">
        <v>225</v>
      </c>
    </row>
    <row r="726" spans="1:11" x14ac:dyDescent="0.25">
      <c r="A726" s="12"/>
      <c r="B726" s="7" t="s">
        <v>228</v>
      </c>
      <c r="C726" s="25">
        <v>20044260</v>
      </c>
      <c r="D726" s="7" t="s">
        <v>5290</v>
      </c>
      <c r="E726" s="26">
        <v>1</v>
      </c>
      <c r="F726" s="7" t="s">
        <v>225</v>
      </c>
      <c r="G726" s="7" t="s">
        <v>219</v>
      </c>
      <c r="H726" s="19" t="str">
        <f t="shared" si="11"/>
        <v/>
      </c>
      <c r="I726" s="19" t="s">
        <v>1115</v>
      </c>
      <c r="J726" s="7" t="s">
        <v>440</v>
      </c>
      <c r="K726" s="25" t="s">
        <v>225</v>
      </c>
    </row>
    <row r="727" spans="1:11" x14ac:dyDescent="0.25">
      <c r="A727" s="12"/>
      <c r="B727" s="7" t="s">
        <v>222</v>
      </c>
      <c r="C727" s="25">
        <v>20044276</v>
      </c>
      <c r="D727" s="7" t="s">
        <v>5305</v>
      </c>
      <c r="E727" s="26">
        <v>1</v>
      </c>
      <c r="F727" s="7" t="s">
        <v>225</v>
      </c>
      <c r="G727" s="7" t="s">
        <v>219</v>
      </c>
      <c r="H727" s="19" t="str">
        <f t="shared" si="11"/>
        <v/>
      </c>
      <c r="I727" s="19" t="s">
        <v>221</v>
      </c>
      <c r="J727" s="7" t="s">
        <v>246</v>
      </c>
      <c r="K727" s="25" t="s">
        <v>225</v>
      </c>
    </row>
    <row r="728" spans="1:11" x14ac:dyDescent="0.25">
      <c r="A728" s="12"/>
      <c r="B728" s="7" t="s">
        <v>222</v>
      </c>
      <c r="C728" s="25">
        <v>20044290</v>
      </c>
      <c r="D728" s="7" t="s">
        <v>5308</v>
      </c>
      <c r="E728" s="26">
        <v>1</v>
      </c>
      <c r="F728" s="7" t="s">
        <v>225</v>
      </c>
      <c r="G728" s="7" t="s">
        <v>219</v>
      </c>
      <c r="H728" s="19" t="str">
        <f t="shared" si="11"/>
        <v/>
      </c>
      <c r="I728" s="19" t="s">
        <v>221</v>
      </c>
      <c r="J728" s="7" t="s">
        <v>313</v>
      </c>
      <c r="K728" s="25" t="s">
        <v>225</v>
      </c>
    </row>
    <row r="729" spans="1:11" x14ac:dyDescent="0.25">
      <c r="A729" s="12"/>
      <c r="B729" s="7" t="s">
        <v>222</v>
      </c>
      <c r="C729" s="25">
        <v>20044291</v>
      </c>
      <c r="D729" s="7" t="s">
        <v>5309</v>
      </c>
      <c r="E729" s="26">
        <v>1</v>
      </c>
      <c r="F729" s="7" t="s">
        <v>225</v>
      </c>
      <c r="G729" s="7" t="s">
        <v>219</v>
      </c>
      <c r="H729" s="19" t="str">
        <f t="shared" si="11"/>
        <v/>
      </c>
      <c r="I729" s="19" t="s">
        <v>221</v>
      </c>
      <c r="J729" s="7" t="s">
        <v>313</v>
      </c>
      <c r="K729" s="25" t="s">
        <v>225</v>
      </c>
    </row>
    <row r="730" spans="1:11" x14ac:dyDescent="0.25">
      <c r="A730" s="12"/>
      <c r="B730" s="7" t="s">
        <v>230</v>
      </c>
      <c r="C730" s="25">
        <v>20044293</v>
      </c>
      <c r="D730" s="7" t="s">
        <v>5311</v>
      </c>
      <c r="E730" s="26">
        <v>1</v>
      </c>
      <c r="F730" s="7" t="s">
        <v>225</v>
      </c>
      <c r="G730" s="7" t="s">
        <v>219</v>
      </c>
      <c r="H730" s="19" t="str">
        <f t="shared" si="11"/>
        <v/>
      </c>
      <c r="I730" s="19" t="s">
        <v>910</v>
      </c>
      <c r="J730" s="7" t="s">
        <v>309</v>
      </c>
      <c r="K730" s="25" t="s">
        <v>225</v>
      </c>
    </row>
    <row r="731" spans="1:11" x14ac:dyDescent="0.25">
      <c r="A731" s="12"/>
      <c r="B731" s="7" t="s">
        <v>343</v>
      </c>
      <c r="C731" s="25">
        <v>20044300</v>
      </c>
      <c r="D731" s="7" t="s">
        <v>5317</v>
      </c>
      <c r="E731" s="26">
        <v>1</v>
      </c>
      <c r="F731" s="7" t="s">
        <v>225</v>
      </c>
      <c r="G731" s="7" t="s">
        <v>219</v>
      </c>
      <c r="H731" s="19" t="str">
        <f t="shared" si="11"/>
        <v/>
      </c>
      <c r="I731" s="19" t="s">
        <v>912</v>
      </c>
      <c r="J731" s="7" t="s">
        <v>311</v>
      </c>
      <c r="K731" s="25" t="s">
        <v>225</v>
      </c>
    </row>
    <row r="732" spans="1:11" x14ac:dyDescent="0.25">
      <c r="A732" s="12"/>
      <c r="B732" s="7" t="s">
        <v>343</v>
      </c>
      <c r="C732" s="25">
        <v>20044304</v>
      </c>
      <c r="D732" s="7" t="s">
        <v>5321</v>
      </c>
      <c r="E732" s="26">
        <v>1</v>
      </c>
      <c r="F732" s="7" t="s">
        <v>225</v>
      </c>
      <c r="G732" s="7" t="s">
        <v>219</v>
      </c>
      <c r="H732" s="19" t="str">
        <f t="shared" si="11"/>
        <v/>
      </c>
      <c r="I732" s="19" t="s">
        <v>912</v>
      </c>
      <c r="J732" s="7" t="s">
        <v>347</v>
      </c>
      <c r="K732" s="25" t="s">
        <v>225</v>
      </c>
    </row>
    <row r="733" spans="1:11" x14ac:dyDescent="0.25">
      <c r="A733" s="12"/>
      <c r="B733" s="7" t="s">
        <v>343</v>
      </c>
      <c r="C733" s="25">
        <v>20044306</v>
      </c>
      <c r="D733" s="7" t="s">
        <v>5323</v>
      </c>
      <c r="E733" s="26">
        <v>1</v>
      </c>
      <c r="F733" s="7" t="s">
        <v>225</v>
      </c>
      <c r="G733" s="7" t="s">
        <v>219</v>
      </c>
      <c r="H733" s="19" t="str">
        <f t="shared" si="11"/>
        <v/>
      </c>
      <c r="I733" s="19" t="s">
        <v>912</v>
      </c>
      <c r="J733" s="7" t="s">
        <v>347</v>
      </c>
      <c r="K733" s="25" t="s">
        <v>225</v>
      </c>
    </row>
    <row r="734" spans="1:11" x14ac:dyDescent="0.25">
      <c r="A734" s="12"/>
      <c r="B734" s="7" t="s">
        <v>228</v>
      </c>
      <c r="C734" s="25">
        <v>20050303</v>
      </c>
      <c r="D734" s="7" t="s">
        <v>5333</v>
      </c>
      <c r="E734" s="26">
        <v>1</v>
      </c>
      <c r="F734" s="7" t="s">
        <v>225</v>
      </c>
      <c r="G734" s="7" t="s">
        <v>219</v>
      </c>
      <c r="H734" s="19" t="str">
        <f t="shared" si="11"/>
        <v/>
      </c>
      <c r="I734" s="19" t="s">
        <v>1115</v>
      </c>
      <c r="J734" s="7" t="s">
        <v>337</v>
      </c>
      <c r="K734" s="25" t="s">
        <v>225</v>
      </c>
    </row>
    <row r="735" spans="1:11" x14ac:dyDescent="0.25">
      <c r="A735" s="12"/>
      <c r="B735" s="7" t="s">
        <v>233</v>
      </c>
      <c r="C735" s="25">
        <v>20050314</v>
      </c>
      <c r="D735" s="7" t="s">
        <v>5338</v>
      </c>
      <c r="E735" s="26">
        <v>1</v>
      </c>
      <c r="F735" s="7" t="s">
        <v>225</v>
      </c>
      <c r="G735" s="7" t="s">
        <v>219</v>
      </c>
      <c r="H735" s="19" t="str">
        <f t="shared" si="11"/>
        <v/>
      </c>
      <c r="I735" s="19" t="s">
        <v>328</v>
      </c>
      <c r="J735" s="7" t="s">
        <v>246</v>
      </c>
      <c r="K735" s="25" t="s">
        <v>225</v>
      </c>
    </row>
    <row r="736" spans="1:11" x14ac:dyDescent="0.25">
      <c r="A736" s="12"/>
      <c r="B736" s="7" t="s">
        <v>222</v>
      </c>
      <c r="C736" s="25">
        <v>20050315</v>
      </c>
      <c r="D736" s="7" t="s">
        <v>5340</v>
      </c>
      <c r="E736" s="26">
        <v>1</v>
      </c>
      <c r="F736" s="7" t="s">
        <v>225</v>
      </c>
      <c r="G736" s="7" t="s">
        <v>219</v>
      </c>
      <c r="H736" s="19" t="str">
        <f t="shared" si="11"/>
        <v/>
      </c>
      <c r="I736" s="19" t="s">
        <v>221</v>
      </c>
      <c r="J736" s="7" t="s">
        <v>315</v>
      </c>
      <c r="K736" s="25" t="s">
        <v>225</v>
      </c>
    </row>
    <row r="737" spans="1:11" x14ac:dyDescent="0.25">
      <c r="A737" s="12"/>
      <c r="B737" s="7" t="s">
        <v>222</v>
      </c>
      <c r="C737" s="25">
        <v>20050316</v>
      </c>
      <c r="D737" s="7" t="s">
        <v>5341</v>
      </c>
      <c r="E737" s="26">
        <v>1</v>
      </c>
      <c r="F737" s="7" t="s">
        <v>225</v>
      </c>
      <c r="G737" s="7" t="s">
        <v>219</v>
      </c>
      <c r="H737" s="19" t="str">
        <f t="shared" si="11"/>
        <v/>
      </c>
      <c r="I737" s="19" t="s">
        <v>221</v>
      </c>
      <c r="J737" s="7" t="s">
        <v>315</v>
      </c>
      <c r="K737" s="25" t="s">
        <v>225</v>
      </c>
    </row>
    <row r="738" spans="1:11" x14ac:dyDescent="0.25">
      <c r="A738" s="12"/>
      <c r="B738" s="7" t="s">
        <v>222</v>
      </c>
      <c r="C738" s="25">
        <v>20050332</v>
      </c>
      <c r="D738" s="7" t="s">
        <v>5339</v>
      </c>
      <c r="E738" s="26">
        <v>1</v>
      </c>
      <c r="F738" s="7" t="s">
        <v>225</v>
      </c>
      <c r="G738" s="7" t="s">
        <v>219</v>
      </c>
      <c r="H738" s="19" t="str">
        <f t="shared" si="11"/>
        <v/>
      </c>
      <c r="I738" s="19" t="s">
        <v>221</v>
      </c>
      <c r="J738" s="7" t="s">
        <v>315</v>
      </c>
      <c r="K738" s="25" t="s">
        <v>225</v>
      </c>
    </row>
    <row r="739" spans="1:11" x14ac:dyDescent="0.25">
      <c r="A739" s="12"/>
      <c r="B739" s="7" t="s">
        <v>222</v>
      </c>
      <c r="C739" s="25">
        <v>20050333</v>
      </c>
      <c r="D739" s="7" t="s">
        <v>5342</v>
      </c>
      <c r="E739" s="26">
        <v>1</v>
      </c>
      <c r="F739" s="7" t="s">
        <v>225</v>
      </c>
      <c r="G739" s="7" t="s">
        <v>219</v>
      </c>
      <c r="H739" s="19" t="str">
        <f t="shared" si="11"/>
        <v/>
      </c>
      <c r="I739" s="19" t="s">
        <v>221</v>
      </c>
      <c r="J739" s="7" t="s">
        <v>315</v>
      </c>
      <c r="K739" s="25" t="s">
        <v>225</v>
      </c>
    </row>
    <row r="740" spans="1:11" x14ac:dyDescent="0.25">
      <c r="A740" s="12"/>
      <c r="B740" s="7" t="s">
        <v>222</v>
      </c>
      <c r="C740" s="25">
        <v>20050334</v>
      </c>
      <c r="D740" s="7" t="s">
        <v>5343</v>
      </c>
      <c r="E740" s="26">
        <v>1</v>
      </c>
      <c r="F740" s="7" t="s">
        <v>225</v>
      </c>
      <c r="G740" s="7" t="s">
        <v>219</v>
      </c>
      <c r="H740" s="19" t="str">
        <f t="shared" si="11"/>
        <v/>
      </c>
      <c r="I740" s="19" t="s">
        <v>221</v>
      </c>
      <c r="J740" s="7" t="s">
        <v>315</v>
      </c>
      <c r="K740" s="25" t="s">
        <v>225</v>
      </c>
    </row>
    <row r="741" spans="1:11" x14ac:dyDescent="0.25">
      <c r="A741" s="12"/>
      <c r="B741" s="7" t="s">
        <v>222</v>
      </c>
      <c r="C741" s="25">
        <v>20050335</v>
      </c>
      <c r="D741" s="7" t="s">
        <v>5344</v>
      </c>
      <c r="E741" s="26">
        <v>1</v>
      </c>
      <c r="F741" s="7" t="s">
        <v>225</v>
      </c>
      <c r="G741" s="7" t="s">
        <v>219</v>
      </c>
      <c r="H741" s="19" t="str">
        <f t="shared" si="11"/>
        <v/>
      </c>
      <c r="I741" s="19" t="s">
        <v>221</v>
      </c>
      <c r="J741" s="7" t="s">
        <v>315</v>
      </c>
      <c r="K741" s="25" t="s">
        <v>225</v>
      </c>
    </row>
    <row r="742" spans="1:11" x14ac:dyDescent="0.25">
      <c r="A742" s="12"/>
      <c r="B742" s="7" t="s">
        <v>222</v>
      </c>
      <c r="C742" s="25">
        <v>20050342</v>
      </c>
      <c r="D742" s="7" t="s">
        <v>5345</v>
      </c>
      <c r="E742" s="26">
        <v>1</v>
      </c>
      <c r="F742" s="7" t="s">
        <v>225</v>
      </c>
      <c r="G742" s="7" t="s">
        <v>219</v>
      </c>
      <c r="H742" s="19" t="str">
        <f t="shared" si="11"/>
        <v/>
      </c>
      <c r="I742" s="19" t="s">
        <v>221</v>
      </c>
      <c r="J742" s="7" t="s">
        <v>315</v>
      </c>
      <c r="K742" s="25" t="s">
        <v>225</v>
      </c>
    </row>
    <row r="743" spans="1:11" x14ac:dyDescent="0.25">
      <c r="A743" s="12"/>
      <c r="B743" s="7" t="s">
        <v>222</v>
      </c>
      <c r="C743" s="25">
        <v>20050343</v>
      </c>
      <c r="D743" s="7" t="s">
        <v>5346</v>
      </c>
      <c r="E743" s="26">
        <v>1</v>
      </c>
      <c r="F743" s="7" t="s">
        <v>225</v>
      </c>
      <c r="G743" s="7" t="s">
        <v>219</v>
      </c>
      <c r="H743" s="19" t="str">
        <f t="shared" si="11"/>
        <v/>
      </c>
      <c r="I743" s="19" t="s">
        <v>221</v>
      </c>
      <c r="J743" s="7" t="s">
        <v>315</v>
      </c>
      <c r="K743" s="25" t="s">
        <v>225</v>
      </c>
    </row>
    <row r="744" spans="1:11" x14ac:dyDescent="0.25">
      <c r="A744" s="12"/>
      <c r="B744" s="7" t="s">
        <v>222</v>
      </c>
      <c r="C744" s="25">
        <v>20050385</v>
      </c>
      <c r="D744" s="7" t="s">
        <v>5396</v>
      </c>
      <c r="E744" s="26">
        <v>1</v>
      </c>
      <c r="F744" s="7" t="s">
        <v>225</v>
      </c>
      <c r="G744" s="7" t="s">
        <v>219</v>
      </c>
      <c r="H744" s="19" t="str">
        <f t="shared" si="11"/>
        <v/>
      </c>
      <c r="I744" s="19" t="s">
        <v>221</v>
      </c>
      <c r="J744" s="7" t="s">
        <v>5397</v>
      </c>
      <c r="K744" s="25" t="s">
        <v>225</v>
      </c>
    </row>
    <row r="745" spans="1:11" x14ac:dyDescent="0.25">
      <c r="A745" s="12"/>
      <c r="B745" s="7" t="s">
        <v>230</v>
      </c>
      <c r="C745" s="25">
        <v>20050392</v>
      </c>
      <c r="D745" s="7" t="s">
        <v>5384</v>
      </c>
      <c r="E745" s="26">
        <v>1</v>
      </c>
      <c r="F745" s="7" t="s">
        <v>225</v>
      </c>
      <c r="G745" s="7" t="s">
        <v>219</v>
      </c>
      <c r="H745" s="19" t="str">
        <f t="shared" si="11"/>
        <v/>
      </c>
      <c r="I745" s="19" t="s">
        <v>910</v>
      </c>
      <c r="J745" s="7" t="s">
        <v>242</v>
      </c>
      <c r="K745" s="25" t="s">
        <v>225</v>
      </c>
    </row>
    <row r="746" spans="1:11" x14ac:dyDescent="0.25">
      <c r="A746" s="12"/>
      <c r="B746" s="7" t="s">
        <v>222</v>
      </c>
      <c r="C746" s="25">
        <v>20050409</v>
      </c>
      <c r="D746" s="7" t="s">
        <v>5395</v>
      </c>
      <c r="E746" s="26">
        <v>1</v>
      </c>
      <c r="F746" s="7" t="s">
        <v>225</v>
      </c>
      <c r="G746" s="7" t="s">
        <v>219</v>
      </c>
      <c r="H746" s="19" t="str">
        <f t="shared" si="11"/>
        <v/>
      </c>
      <c r="I746" s="19" t="s">
        <v>221</v>
      </c>
      <c r="J746" s="7" t="s">
        <v>311</v>
      </c>
      <c r="K746" s="25" t="s">
        <v>225</v>
      </c>
    </row>
    <row r="747" spans="1:11" x14ac:dyDescent="0.25">
      <c r="A747" s="12"/>
      <c r="B747" s="7" t="s">
        <v>230</v>
      </c>
      <c r="C747" s="25">
        <v>20050423</v>
      </c>
      <c r="D747" s="7" t="s">
        <v>5399</v>
      </c>
      <c r="E747" s="26">
        <v>1</v>
      </c>
      <c r="F747" s="7" t="s">
        <v>225</v>
      </c>
      <c r="G747" s="7" t="s">
        <v>219</v>
      </c>
      <c r="H747" s="19" t="str">
        <f t="shared" si="11"/>
        <v/>
      </c>
      <c r="I747" s="19" t="s">
        <v>910</v>
      </c>
      <c r="J747" s="7" t="s">
        <v>309</v>
      </c>
      <c r="K747" s="25" t="s">
        <v>225</v>
      </c>
    </row>
    <row r="748" spans="1:11" x14ac:dyDescent="0.25">
      <c r="A748" s="12"/>
      <c r="B748" s="7" t="s">
        <v>222</v>
      </c>
      <c r="C748" s="25">
        <v>20050432</v>
      </c>
      <c r="D748" s="7" t="s">
        <v>5401</v>
      </c>
      <c r="E748" s="26">
        <v>1</v>
      </c>
      <c r="F748" s="7" t="s">
        <v>225</v>
      </c>
      <c r="G748" s="7" t="s">
        <v>219</v>
      </c>
      <c r="H748" s="19" t="str">
        <f t="shared" si="11"/>
        <v/>
      </c>
      <c r="I748" s="19" t="s">
        <v>221</v>
      </c>
      <c r="J748" s="7" t="s">
        <v>5397</v>
      </c>
      <c r="K748" s="25" t="s">
        <v>225</v>
      </c>
    </row>
    <row r="749" spans="1:11" x14ac:dyDescent="0.25">
      <c r="A749" s="12"/>
      <c r="B749" s="7" t="s">
        <v>222</v>
      </c>
      <c r="C749" s="25">
        <v>20050442</v>
      </c>
      <c r="D749" s="7" t="s">
        <v>5402</v>
      </c>
      <c r="E749" s="26">
        <v>1</v>
      </c>
      <c r="F749" s="7" t="s">
        <v>225</v>
      </c>
      <c r="G749" s="7" t="s">
        <v>219</v>
      </c>
      <c r="H749" s="19" t="str">
        <f t="shared" si="11"/>
        <v/>
      </c>
      <c r="I749" s="19" t="s">
        <v>221</v>
      </c>
      <c r="J749" s="7" t="s">
        <v>5397</v>
      </c>
      <c r="K749" s="25" t="s">
        <v>225</v>
      </c>
    </row>
    <row r="750" spans="1:11" x14ac:dyDescent="0.25">
      <c r="A750" s="12"/>
      <c r="B750" s="7" t="s">
        <v>222</v>
      </c>
      <c r="C750" s="25">
        <v>20050462</v>
      </c>
      <c r="D750" s="7" t="s">
        <v>5404</v>
      </c>
      <c r="E750" s="26">
        <v>1</v>
      </c>
      <c r="F750" s="7" t="s">
        <v>225</v>
      </c>
      <c r="G750" s="7" t="s">
        <v>219</v>
      </c>
      <c r="H750" s="19" t="str">
        <f t="shared" si="11"/>
        <v/>
      </c>
      <c r="I750" s="19" t="s">
        <v>221</v>
      </c>
      <c r="J750" s="7" t="s">
        <v>5397</v>
      </c>
      <c r="K750" s="25" t="s">
        <v>225</v>
      </c>
    </row>
    <row r="751" spans="1:11" x14ac:dyDescent="0.25">
      <c r="A751" s="12"/>
      <c r="B751" s="7" t="s">
        <v>222</v>
      </c>
      <c r="C751" s="25">
        <v>20050472</v>
      </c>
      <c r="D751" s="7" t="s">
        <v>5405</v>
      </c>
      <c r="E751" s="26">
        <v>1</v>
      </c>
      <c r="F751" s="7" t="s">
        <v>225</v>
      </c>
      <c r="G751" s="7" t="s">
        <v>219</v>
      </c>
      <c r="H751" s="19" t="str">
        <f t="shared" si="11"/>
        <v/>
      </c>
      <c r="I751" s="19" t="s">
        <v>221</v>
      </c>
      <c r="J751" s="7" t="s">
        <v>5397</v>
      </c>
      <c r="K751" s="25" t="s">
        <v>225</v>
      </c>
    </row>
    <row r="752" spans="1:11" x14ac:dyDescent="0.25">
      <c r="A752" s="12"/>
      <c r="B752" s="7" t="s">
        <v>223</v>
      </c>
      <c r="C752" s="25">
        <v>20050482</v>
      </c>
      <c r="D752" s="7" t="s">
        <v>5406</v>
      </c>
      <c r="E752" s="26">
        <v>1</v>
      </c>
      <c r="F752" s="7" t="s">
        <v>225</v>
      </c>
      <c r="G752" s="7" t="s">
        <v>219</v>
      </c>
      <c r="H752" s="19" t="str">
        <f t="shared" si="11"/>
        <v/>
      </c>
      <c r="I752" s="19" t="s">
        <v>399</v>
      </c>
      <c r="J752" s="7" t="s">
        <v>311</v>
      </c>
      <c r="K752" s="25" t="s">
        <v>225</v>
      </c>
    </row>
    <row r="753" spans="1:11" x14ac:dyDescent="0.25">
      <c r="A753" s="12"/>
      <c r="B753" s="7" t="s">
        <v>223</v>
      </c>
      <c r="C753" s="25">
        <v>20050483</v>
      </c>
      <c r="D753" s="7" t="s">
        <v>5407</v>
      </c>
      <c r="E753" s="26">
        <v>1</v>
      </c>
      <c r="F753" s="7" t="s">
        <v>225</v>
      </c>
      <c r="G753" s="7" t="s">
        <v>219</v>
      </c>
      <c r="H753" s="19" t="str">
        <f t="shared" si="11"/>
        <v/>
      </c>
      <c r="I753" s="19" t="s">
        <v>399</v>
      </c>
      <c r="J753" s="7" t="s">
        <v>311</v>
      </c>
      <c r="K753" s="25" t="s">
        <v>225</v>
      </c>
    </row>
    <row r="754" spans="1:11" x14ac:dyDescent="0.25">
      <c r="A754" s="12"/>
      <c r="B754" s="7" t="s">
        <v>223</v>
      </c>
      <c r="C754" s="25">
        <v>20050484</v>
      </c>
      <c r="D754" s="7" t="s">
        <v>5408</v>
      </c>
      <c r="E754" s="26">
        <v>1</v>
      </c>
      <c r="F754" s="7" t="s">
        <v>225</v>
      </c>
      <c r="G754" s="7" t="s">
        <v>219</v>
      </c>
      <c r="H754" s="19" t="str">
        <f t="shared" si="11"/>
        <v/>
      </c>
      <c r="I754" s="19" t="s">
        <v>399</v>
      </c>
      <c r="J754" s="7" t="s">
        <v>311</v>
      </c>
      <c r="K754" s="25" t="s">
        <v>225</v>
      </c>
    </row>
    <row r="755" spans="1:11" x14ac:dyDescent="0.25">
      <c r="A755" s="12"/>
      <c r="B755" s="7" t="s">
        <v>223</v>
      </c>
      <c r="C755" s="25">
        <v>20050485</v>
      </c>
      <c r="D755" s="7" t="s">
        <v>5409</v>
      </c>
      <c r="E755" s="26">
        <v>1</v>
      </c>
      <c r="F755" s="7" t="s">
        <v>225</v>
      </c>
      <c r="G755" s="7" t="s">
        <v>219</v>
      </c>
      <c r="H755" s="19" t="str">
        <f t="shared" si="11"/>
        <v/>
      </c>
      <c r="I755" s="19" t="s">
        <v>399</v>
      </c>
      <c r="J755" s="7" t="s">
        <v>311</v>
      </c>
      <c r="K755" s="25" t="s">
        <v>225</v>
      </c>
    </row>
    <row r="756" spans="1:11" x14ac:dyDescent="0.25">
      <c r="A756" s="12"/>
      <c r="B756" s="7" t="s">
        <v>223</v>
      </c>
      <c r="C756" s="25">
        <v>20050486</v>
      </c>
      <c r="D756" s="7" t="s">
        <v>5410</v>
      </c>
      <c r="E756" s="26">
        <v>1</v>
      </c>
      <c r="F756" s="7" t="s">
        <v>225</v>
      </c>
      <c r="G756" s="7" t="s">
        <v>219</v>
      </c>
      <c r="H756" s="19" t="str">
        <f t="shared" si="11"/>
        <v/>
      </c>
      <c r="I756" s="19" t="s">
        <v>399</v>
      </c>
      <c r="J756" s="7" t="s">
        <v>311</v>
      </c>
      <c r="K756" s="25" t="s">
        <v>225</v>
      </c>
    </row>
    <row r="757" spans="1:11" x14ac:dyDescent="0.25">
      <c r="A757" s="12"/>
      <c r="B757" s="7" t="s">
        <v>222</v>
      </c>
      <c r="C757" s="25">
        <v>20050534</v>
      </c>
      <c r="D757" s="7" t="s">
        <v>5428</v>
      </c>
      <c r="E757" s="26">
        <v>1</v>
      </c>
      <c r="F757" s="7" t="s">
        <v>225</v>
      </c>
      <c r="G757" s="7" t="s">
        <v>219</v>
      </c>
      <c r="H757" s="19" t="str">
        <f t="shared" si="11"/>
        <v/>
      </c>
      <c r="I757" s="19" t="s">
        <v>221</v>
      </c>
      <c r="J757" s="7" t="s">
        <v>347</v>
      </c>
      <c r="K757" s="25" t="s">
        <v>225</v>
      </c>
    </row>
    <row r="758" spans="1:11" x14ac:dyDescent="0.25">
      <c r="A758" s="12"/>
      <c r="B758" s="7" t="s">
        <v>222</v>
      </c>
      <c r="C758" s="25">
        <v>20050535</v>
      </c>
      <c r="D758" s="7" t="s">
        <v>5429</v>
      </c>
      <c r="E758" s="26">
        <v>1</v>
      </c>
      <c r="F758" s="7" t="s">
        <v>225</v>
      </c>
      <c r="G758" s="7" t="s">
        <v>219</v>
      </c>
      <c r="H758" s="19" t="str">
        <f t="shared" si="11"/>
        <v/>
      </c>
      <c r="I758" s="19" t="s">
        <v>221</v>
      </c>
      <c r="J758" s="7" t="s">
        <v>347</v>
      </c>
      <c r="K758" s="25" t="s">
        <v>225</v>
      </c>
    </row>
    <row r="759" spans="1:11" x14ac:dyDescent="0.25">
      <c r="A759" s="12"/>
      <c r="B759" s="7" t="s">
        <v>222</v>
      </c>
      <c r="C759" s="25">
        <v>20050536</v>
      </c>
      <c r="D759" s="7" t="s">
        <v>5430</v>
      </c>
      <c r="E759" s="26">
        <v>1</v>
      </c>
      <c r="F759" s="7" t="s">
        <v>225</v>
      </c>
      <c r="G759" s="7" t="s">
        <v>219</v>
      </c>
      <c r="H759" s="19" t="str">
        <f t="shared" si="11"/>
        <v/>
      </c>
      <c r="I759" s="19" t="s">
        <v>221</v>
      </c>
      <c r="J759" s="7" t="s">
        <v>347</v>
      </c>
      <c r="K759" s="25" t="s">
        <v>225</v>
      </c>
    </row>
    <row r="760" spans="1:11" x14ac:dyDescent="0.25">
      <c r="A760" s="12"/>
      <c r="B760" s="7" t="s">
        <v>222</v>
      </c>
      <c r="C760" s="25">
        <v>20050537</v>
      </c>
      <c r="D760" s="7" t="s">
        <v>5431</v>
      </c>
      <c r="E760" s="26">
        <v>1</v>
      </c>
      <c r="F760" s="7" t="s">
        <v>225</v>
      </c>
      <c r="G760" s="7" t="s">
        <v>219</v>
      </c>
      <c r="H760" s="19" t="str">
        <f t="shared" si="11"/>
        <v/>
      </c>
      <c r="I760" s="19" t="s">
        <v>221</v>
      </c>
      <c r="J760" s="7" t="s">
        <v>347</v>
      </c>
      <c r="K760" s="25" t="s">
        <v>225</v>
      </c>
    </row>
    <row r="761" spans="1:11" x14ac:dyDescent="0.25">
      <c r="A761" s="12"/>
      <c r="B761" s="7" t="s">
        <v>222</v>
      </c>
      <c r="C761" s="25">
        <v>20050538</v>
      </c>
      <c r="D761" s="7" t="s">
        <v>5432</v>
      </c>
      <c r="E761" s="26">
        <v>1</v>
      </c>
      <c r="F761" s="7" t="s">
        <v>225</v>
      </c>
      <c r="G761" s="7" t="s">
        <v>219</v>
      </c>
      <c r="H761" s="19" t="str">
        <f t="shared" si="11"/>
        <v/>
      </c>
      <c r="I761" s="19" t="s">
        <v>221</v>
      </c>
      <c r="J761" s="7" t="s">
        <v>347</v>
      </c>
      <c r="K761" s="25" t="s">
        <v>225</v>
      </c>
    </row>
    <row r="762" spans="1:11" x14ac:dyDescent="0.25">
      <c r="A762" s="12"/>
      <c r="B762" s="7" t="s">
        <v>222</v>
      </c>
      <c r="C762" s="25">
        <v>20050539</v>
      </c>
      <c r="D762" s="7" t="s">
        <v>5433</v>
      </c>
      <c r="E762" s="26">
        <v>1</v>
      </c>
      <c r="F762" s="7" t="s">
        <v>225</v>
      </c>
      <c r="G762" s="7" t="s">
        <v>219</v>
      </c>
      <c r="H762" s="19" t="str">
        <f t="shared" si="11"/>
        <v/>
      </c>
      <c r="I762" s="19" t="s">
        <v>221</v>
      </c>
      <c r="J762" s="7" t="s">
        <v>347</v>
      </c>
      <c r="K762" s="25" t="s">
        <v>225</v>
      </c>
    </row>
    <row r="763" spans="1:11" x14ac:dyDescent="0.25">
      <c r="A763" s="12"/>
      <c r="B763" s="7" t="s">
        <v>222</v>
      </c>
      <c r="C763" s="25">
        <v>20050540</v>
      </c>
      <c r="D763" s="7" t="s">
        <v>5434</v>
      </c>
      <c r="E763" s="26">
        <v>1</v>
      </c>
      <c r="F763" s="7" t="s">
        <v>225</v>
      </c>
      <c r="G763" s="7" t="s">
        <v>219</v>
      </c>
      <c r="H763" s="19" t="str">
        <f t="shared" si="11"/>
        <v/>
      </c>
      <c r="I763" s="19" t="s">
        <v>221</v>
      </c>
      <c r="J763" s="7" t="s">
        <v>347</v>
      </c>
      <c r="K763" s="25" t="s">
        <v>225</v>
      </c>
    </row>
    <row r="764" spans="1:11" x14ac:dyDescent="0.25">
      <c r="A764" s="12"/>
      <c r="B764" s="7" t="s">
        <v>222</v>
      </c>
      <c r="C764" s="25">
        <v>20050541</v>
      </c>
      <c r="D764" s="7" t="s">
        <v>5435</v>
      </c>
      <c r="E764" s="26">
        <v>1</v>
      </c>
      <c r="F764" s="7" t="s">
        <v>225</v>
      </c>
      <c r="G764" s="7" t="s">
        <v>219</v>
      </c>
      <c r="H764" s="19" t="str">
        <f t="shared" si="11"/>
        <v/>
      </c>
      <c r="I764" s="19" t="s">
        <v>221</v>
      </c>
      <c r="J764" s="7" t="s">
        <v>347</v>
      </c>
      <c r="K764" s="25" t="s">
        <v>225</v>
      </c>
    </row>
    <row r="765" spans="1:11" x14ac:dyDescent="0.25">
      <c r="A765" s="12"/>
      <c r="B765" s="7" t="s">
        <v>222</v>
      </c>
      <c r="C765" s="25">
        <v>20050552</v>
      </c>
      <c r="D765" s="7" t="s">
        <v>5436</v>
      </c>
      <c r="E765" s="26">
        <v>1</v>
      </c>
      <c r="F765" s="7" t="s">
        <v>225</v>
      </c>
      <c r="G765" s="7" t="s">
        <v>219</v>
      </c>
      <c r="H765" s="19" t="str">
        <f t="shared" si="11"/>
        <v/>
      </c>
      <c r="I765" s="19" t="s">
        <v>221</v>
      </c>
      <c r="J765" s="7" t="s">
        <v>313</v>
      </c>
      <c r="K765" s="25" t="s">
        <v>225</v>
      </c>
    </row>
    <row r="766" spans="1:11" x14ac:dyDescent="0.25">
      <c r="A766" s="12"/>
      <c r="B766" s="7" t="s">
        <v>230</v>
      </c>
      <c r="C766" s="25">
        <v>20050554</v>
      </c>
      <c r="D766" s="7" t="s">
        <v>5438</v>
      </c>
      <c r="E766" s="26">
        <v>1</v>
      </c>
      <c r="F766" s="7" t="s">
        <v>225</v>
      </c>
      <c r="G766" s="7" t="s">
        <v>219</v>
      </c>
      <c r="H766" s="19" t="str">
        <f t="shared" si="11"/>
        <v/>
      </c>
      <c r="I766" s="19" t="s">
        <v>910</v>
      </c>
      <c r="J766" s="7" t="s">
        <v>309</v>
      </c>
      <c r="K766" s="25" t="s">
        <v>225</v>
      </c>
    </row>
    <row r="767" spans="1:11" x14ac:dyDescent="0.25">
      <c r="A767" s="12"/>
      <c r="B767" s="7" t="s">
        <v>230</v>
      </c>
      <c r="C767" s="25">
        <v>20050555</v>
      </c>
      <c r="D767" s="7" t="s">
        <v>5439</v>
      </c>
      <c r="E767" s="26">
        <v>1</v>
      </c>
      <c r="F767" s="7" t="s">
        <v>225</v>
      </c>
      <c r="G767" s="7" t="s">
        <v>219</v>
      </c>
      <c r="H767" s="19" t="str">
        <f t="shared" si="11"/>
        <v/>
      </c>
      <c r="I767" s="19" t="s">
        <v>910</v>
      </c>
      <c r="J767" s="7" t="s">
        <v>309</v>
      </c>
      <c r="K767" s="25" t="s">
        <v>225</v>
      </c>
    </row>
    <row r="768" spans="1:11" x14ac:dyDescent="0.25">
      <c r="A768" s="12"/>
      <c r="B768" s="7" t="s">
        <v>227</v>
      </c>
      <c r="C768" s="25">
        <v>20050584</v>
      </c>
      <c r="D768" s="7" t="s">
        <v>5443</v>
      </c>
      <c r="E768" s="26">
        <v>1</v>
      </c>
      <c r="F768" s="7" t="s">
        <v>225</v>
      </c>
      <c r="G768" s="7" t="s">
        <v>219</v>
      </c>
      <c r="H768" s="19" t="str">
        <f t="shared" si="11"/>
        <v/>
      </c>
      <c r="I768" s="19" t="s">
        <v>37</v>
      </c>
      <c r="J768" s="7" t="s">
        <v>942</v>
      </c>
      <c r="K768" s="25" t="s">
        <v>225</v>
      </c>
    </row>
    <row r="769" spans="1:11" x14ac:dyDescent="0.25">
      <c r="A769" s="12"/>
      <c r="B769" s="7" t="s">
        <v>222</v>
      </c>
      <c r="C769" s="25">
        <v>20050758</v>
      </c>
      <c r="D769" s="7" t="s">
        <v>5589</v>
      </c>
      <c r="E769" s="26">
        <v>1</v>
      </c>
      <c r="F769" s="7" t="s">
        <v>225</v>
      </c>
      <c r="G769" s="7" t="s">
        <v>219</v>
      </c>
      <c r="H769" s="19" t="str">
        <f t="shared" si="11"/>
        <v/>
      </c>
      <c r="I769" s="19" t="s">
        <v>221</v>
      </c>
      <c r="J769" s="7" t="s">
        <v>347</v>
      </c>
      <c r="K769" s="25" t="s">
        <v>225</v>
      </c>
    </row>
    <row r="770" spans="1:11" x14ac:dyDescent="0.25">
      <c r="A770" s="12"/>
      <c r="B770" s="7" t="s">
        <v>222</v>
      </c>
      <c r="C770" s="25">
        <v>20050761</v>
      </c>
      <c r="D770" s="7" t="s">
        <v>5593</v>
      </c>
      <c r="E770" s="26">
        <v>0</v>
      </c>
      <c r="F770" s="7" t="s">
        <v>225</v>
      </c>
      <c r="G770" s="7" t="s">
        <v>219</v>
      </c>
      <c r="H770" s="19" t="str">
        <f t="shared" si="11"/>
        <v/>
      </c>
      <c r="I770" s="19" t="s">
        <v>221</v>
      </c>
      <c r="J770" s="7" t="s">
        <v>347</v>
      </c>
      <c r="K770" s="25" t="s">
        <v>225</v>
      </c>
    </row>
    <row r="771" spans="1:11" x14ac:dyDescent="0.25">
      <c r="A771" s="12"/>
      <c r="B771" s="7" t="s">
        <v>222</v>
      </c>
      <c r="C771" s="25">
        <v>20050762</v>
      </c>
      <c r="D771" s="7" t="s">
        <v>11267</v>
      </c>
      <c r="E771" s="26">
        <v>1</v>
      </c>
      <c r="F771" s="7" t="s">
        <v>225</v>
      </c>
      <c r="G771" s="7" t="s">
        <v>219</v>
      </c>
      <c r="H771" s="19" t="str">
        <f t="shared" si="11"/>
        <v/>
      </c>
      <c r="I771" s="19" t="s">
        <v>221</v>
      </c>
      <c r="J771" s="7" t="s">
        <v>309</v>
      </c>
      <c r="K771" s="25" t="s">
        <v>225</v>
      </c>
    </row>
    <row r="772" spans="1:11" x14ac:dyDescent="0.25">
      <c r="A772" s="12"/>
      <c r="B772" s="7" t="s">
        <v>222</v>
      </c>
      <c r="C772" s="25">
        <v>20050792</v>
      </c>
      <c r="D772" s="7" t="s">
        <v>5598</v>
      </c>
      <c r="E772" s="26">
        <v>1</v>
      </c>
      <c r="F772" s="7" t="s">
        <v>225</v>
      </c>
      <c r="G772" s="7" t="s">
        <v>219</v>
      </c>
      <c r="H772" s="19" t="str">
        <f t="shared" si="11"/>
        <v/>
      </c>
      <c r="I772" s="19" t="s">
        <v>221</v>
      </c>
      <c r="J772" s="7" t="s">
        <v>311</v>
      </c>
      <c r="K772" s="25" t="s">
        <v>225</v>
      </c>
    </row>
    <row r="773" spans="1:11" x14ac:dyDescent="0.25">
      <c r="A773" s="12"/>
      <c r="B773" s="7" t="s">
        <v>222</v>
      </c>
      <c r="C773" s="25">
        <v>20050812</v>
      </c>
      <c r="D773" s="7" t="s">
        <v>5601</v>
      </c>
      <c r="E773" s="26">
        <v>3</v>
      </c>
      <c r="F773" s="7" t="s">
        <v>225</v>
      </c>
      <c r="G773" s="7" t="s">
        <v>219</v>
      </c>
      <c r="H773" s="19" t="str">
        <f t="shared" si="11"/>
        <v/>
      </c>
      <c r="I773" s="19" t="s">
        <v>221</v>
      </c>
      <c r="J773" s="7" t="s">
        <v>315</v>
      </c>
      <c r="K773" s="25" t="s">
        <v>225</v>
      </c>
    </row>
    <row r="774" spans="1:11" x14ac:dyDescent="0.25">
      <c r="A774" s="12"/>
      <c r="B774" s="7" t="s">
        <v>222</v>
      </c>
      <c r="C774" s="25">
        <v>20050813</v>
      </c>
      <c r="D774" s="7" t="s">
        <v>5606</v>
      </c>
      <c r="E774" s="26">
        <v>1</v>
      </c>
      <c r="F774" s="7" t="s">
        <v>225</v>
      </c>
      <c r="G774" s="7" t="s">
        <v>219</v>
      </c>
      <c r="H774" s="19" t="str">
        <f t="shared" si="11"/>
        <v/>
      </c>
      <c r="I774" s="19" t="s">
        <v>221</v>
      </c>
      <c r="J774" s="7" t="s">
        <v>347</v>
      </c>
      <c r="K774" s="25" t="s">
        <v>225</v>
      </c>
    </row>
    <row r="775" spans="1:11" x14ac:dyDescent="0.25">
      <c r="A775" s="12"/>
      <c r="B775" s="7" t="s">
        <v>222</v>
      </c>
      <c r="C775" s="25">
        <v>20050825</v>
      </c>
      <c r="D775" s="7" t="s">
        <v>11707</v>
      </c>
      <c r="E775" s="26">
        <v>1</v>
      </c>
      <c r="F775" s="7" t="s">
        <v>273</v>
      </c>
      <c r="G775" s="7" t="s">
        <v>219</v>
      </c>
      <c r="H775" s="19" t="str">
        <f t="shared" si="11"/>
        <v/>
      </c>
      <c r="I775" s="19" t="s">
        <v>221</v>
      </c>
      <c r="J775" s="7" t="s">
        <v>397</v>
      </c>
      <c r="K775" s="25" t="s">
        <v>273</v>
      </c>
    </row>
    <row r="776" spans="1:11" x14ac:dyDescent="0.25">
      <c r="A776" s="12"/>
      <c r="B776" s="7" t="s">
        <v>223</v>
      </c>
      <c r="C776" s="25">
        <v>20050832</v>
      </c>
      <c r="D776" s="7" t="s">
        <v>10933</v>
      </c>
      <c r="E776" s="26">
        <v>1</v>
      </c>
      <c r="F776" s="7" t="s">
        <v>225</v>
      </c>
      <c r="G776" s="7" t="s">
        <v>219</v>
      </c>
      <c r="H776" s="19" t="str">
        <f t="shared" si="11"/>
        <v/>
      </c>
      <c r="I776" s="19" t="s">
        <v>399</v>
      </c>
      <c r="J776" s="7" t="s">
        <v>311</v>
      </c>
      <c r="K776" s="25" t="s">
        <v>225</v>
      </c>
    </row>
    <row r="777" spans="1:11" x14ac:dyDescent="0.25">
      <c r="A777" s="12"/>
      <c r="B777" s="7" t="s">
        <v>222</v>
      </c>
      <c r="C777" s="25">
        <v>20050884</v>
      </c>
      <c r="D777" s="7" t="s">
        <v>11085</v>
      </c>
      <c r="E777" s="26">
        <v>1</v>
      </c>
      <c r="F777" s="7" t="s">
        <v>225</v>
      </c>
      <c r="G777" s="7" t="s">
        <v>219</v>
      </c>
      <c r="H777" s="19" t="str">
        <f t="shared" si="11"/>
        <v/>
      </c>
      <c r="I777" s="19" t="s">
        <v>221</v>
      </c>
      <c r="J777" s="7" t="s">
        <v>347</v>
      </c>
      <c r="K777" s="25" t="s">
        <v>225</v>
      </c>
    </row>
    <row r="778" spans="1:11" x14ac:dyDescent="0.25">
      <c r="A778" s="12"/>
      <c r="B778" s="7" t="s">
        <v>230</v>
      </c>
      <c r="C778" s="25">
        <v>20050955</v>
      </c>
      <c r="D778" s="7" t="s">
        <v>11343</v>
      </c>
      <c r="E778" s="26">
        <v>1</v>
      </c>
      <c r="F778" s="7" t="s">
        <v>225</v>
      </c>
      <c r="G778" s="7" t="s">
        <v>219</v>
      </c>
      <c r="H778" s="19" t="str">
        <f t="shared" si="11"/>
        <v/>
      </c>
      <c r="I778" s="19" t="s">
        <v>910</v>
      </c>
      <c r="J778" s="7" t="s">
        <v>1184</v>
      </c>
      <c r="K778" s="25" t="s">
        <v>225</v>
      </c>
    </row>
    <row r="779" spans="1:11" x14ac:dyDescent="0.25">
      <c r="A779" s="12"/>
      <c r="B779" s="7" t="s">
        <v>223</v>
      </c>
      <c r="C779" s="25">
        <v>20050973</v>
      </c>
      <c r="D779" s="7" t="s">
        <v>11285</v>
      </c>
      <c r="E779" s="26">
        <v>1</v>
      </c>
      <c r="F779" s="7" t="s">
        <v>225</v>
      </c>
      <c r="G779" s="7" t="s">
        <v>219</v>
      </c>
      <c r="H779" s="19" t="str">
        <f t="shared" si="11"/>
        <v/>
      </c>
      <c r="I779" s="19" t="s">
        <v>399</v>
      </c>
      <c r="J779" s="7" t="s">
        <v>337</v>
      </c>
      <c r="K779" s="25" t="s">
        <v>225</v>
      </c>
    </row>
    <row r="780" spans="1:11" x14ac:dyDescent="0.25">
      <c r="A780" s="12"/>
      <c r="B780" s="7" t="s">
        <v>222</v>
      </c>
      <c r="C780" s="25">
        <v>20050983</v>
      </c>
      <c r="D780" s="7" t="s">
        <v>11292</v>
      </c>
      <c r="E780" s="26">
        <v>1</v>
      </c>
      <c r="F780" s="7" t="s">
        <v>225</v>
      </c>
      <c r="G780" s="7" t="s">
        <v>219</v>
      </c>
      <c r="H780" s="19" t="str">
        <f t="shared" si="11"/>
        <v/>
      </c>
      <c r="I780" s="19" t="s">
        <v>221</v>
      </c>
      <c r="J780" s="7" t="s">
        <v>311</v>
      </c>
      <c r="K780" s="25" t="s">
        <v>225</v>
      </c>
    </row>
    <row r="781" spans="1:11" x14ac:dyDescent="0.25">
      <c r="A781" s="12"/>
      <c r="B781" s="7" t="s">
        <v>222</v>
      </c>
      <c r="C781" s="25">
        <v>20051037</v>
      </c>
      <c r="D781" s="7" t="s">
        <v>11475</v>
      </c>
      <c r="E781" s="26">
        <v>1</v>
      </c>
      <c r="F781" s="7" t="s">
        <v>225</v>
      </c>
      <c r="G781" s="7" t="s">
        <v>219</v>
      </c>
      <c r="H781" s="19" t="str">
        <f t="shared" si="11"/>
        <v/>
      </c>
      <c r="I781" s="19" t="s">
        <v>221</v>
      </c>
      <c r="J781" s="7" t="s">
        <v>5397</v>
      </c>
      <c r="K781" s="25" t="s">
        <v>225</v>
      </c>
    </row>
    <row r="782" spans="1:11" x14ac:dyDescent="0.25">
      <c r="A782" s="12"/>
      <c r="B782" s="7" t="s">
        <v>222</v>
      </c>
      <c r="C782" s="25">
        <v>20051046</v>
      </c>
      <c r="D782" s="7" t="s">
        <v>11483</v>
      </c>
      <c r="E782" s="26">
        <v>1</v>
      </c>
      <c r="F782" s="7" t="s">
        <v>225</v>
      </c>
      <c r="G782" s="7" t="s">
        <v>219</v>
      </c>
      <c r="H782" s="19" t="str">
        <f t="shared" si="11"/>
        <v/>
      </c>
      <c r="I782" s="19" t="s">
        <v>221</v>
      </c>
      <c r="J782" s="7" t="s">
        <v>5397</v>
      </c>
      <c r="K782" s="25" t="s">
        <v>225</v>
      </c>
    </row>
    <row r="783" spans="1:11" x14ac:dyDescent="0.25">
      <c r="A783" s="12"/>
      <c r="B783" s="7" t="s">
        <v>222</v>
      </c>
      <c r="C783" s="25">
        <v>20051058</v>
      </c>
      <c r="D783" s="7" t="s">
        <v>11495</v>
      </c>
      <c r="E783" s="26">
        <v>1</v>
      </c>
      <c r="F783" s="7" t="s">
        <v>225</v>
      </c>
      <c r="G783" s="7" t="s">
        <v>219</v>
      </c>
      <c r="H783" s="19" t="str">
        <f t="shared" ref="H783:H827" si="12">IF(A783="", "", A783*E783)</f>
        <v/>
      </c>
      <c r="I783" s="19" t="s">
        <v>221</v>
      </c>
      <c r="J783" s="7" t="s">
        <v>5397</v>
      </c>
      <c r="K783" s="25" t="s">
        <v>225</v>
      </c>
    </row>
    <row r="784" spans="1:11" x14ac:dyDescent="0.25">
      <c r="A784" s="12"/>
      <c r="B784" s="7" t="s">
        <v>223</v>
      </c>
      <c r="C784" s="25">
        <v>20051084</v>
      </c>
      <c r="D784" s="7" t="s">
        <v>11654</v>
      </c>
      <c r="E784" s="26">
        <v>10</v>
      </c>
      <c r="F784" s="7" t="s">
        <v>225</v>
      </c>
      <c r="G784" s="7" t="s">
        <v>219</v>
      </c>
      <c r="H784" s="19" t="str">
        <f t="shared" si="12"/>
        <v/>
      </c>
      <c r="I784" s="19" t="s">
        <v>221</v>
      </c>
      <c r="J784" s="7" t="s">
        <v>309</v>
      </c>
      <c r="K784" s="25" t="s">
        <v>225</v>
      </c>
    </row>
    <row r="785" spans="1:11" x14ac:dyDescent="0.25">
      <c r="A785" s="12"/>
      <c r="B785" s="7" t="s">
        <v>223</v>
      </c>
      <c r="C785" s="25">
        <v>20051103</v>
      </c>
      <c r="D785" s="7" t="s">
        <v>11716</v>
      </c>
      <c r="E785" s="26">
        <v>3</v>
      </c>
      <c r="F785" s="7" t="s">
        <v>225</v>
      </c>
      <c r="G785" s="7" t="s">
        <v>219</v>
      </c>
      <c r="H785" s="19" t="str">
        <f t="shared" si="12"/>
        <v/>
      </c>
      <c r="I785" s="19" t="s">
        <v>221</v>
      </c>
      <c r="J785" s="7" t="s">
        <v>315</v>
      </c>
      <c r="K785" s="25" t="s">
        <v>225</v>
      </c>
    </row>
    <row r="786" spans="1:11" x14ac:dyDescent="0.25">
      <c r="A786" s="12"/>
      <c r="B786" s="7" t="s">
        <v>223</v>
      </c>
      <c r="C786" s="25">
        <v>20051112</v>
      </c>
      <c r="D786" s="7" t="s">
        <v>11722</v>
      </c>
      <c r="E786" s="26">
        <v>3</v>
      </c>
      <c r="F786" s="7" t="s">
        <v>225</v>
      </c>
      <c r="G786" s="7" t="s">
        <v>219</v>
      </c>
      <c r="H786" s="19" t="str">
        <f t="shared" si="12"/>
        <v/>
      </c>
      <c r="I786" s="19" t="s">
        <v>221</v>
      </c>
      <c r="J786" s="7" t="s">
        <v>315</v>
      </c>
      <c r="K786" s="25" t="s">
        <v>225</v>
      </c>
    </row>
    <row r="787" spans="1:11" x14ac:dyDescent="0.25">
      <c r="A787" s="12"/>
      <c r="B787" s="7" t="s">
        <v>222</v>
      </c>
      <c r="C787" s="25">
        <v>26000130</v>
      </c>
      <c r="D787" s="7" t="s">
        <v>2881</v>
      </c>
      <c r="E787" s="26">
        <v>1</v>
      </c>
      <c r="F787" s="7" t="s">
        <v>225</v>
      </c>
      <c r="G787" s="7" t="s">
        <v>219</v>
      </c>
      <c r="H787" s="19" t="str">
        <f t="shared" si="12"/>
        <v/>
      </c>
      <c r="I787" s="19" t="s">
        <v>221</v>
      </c>
      <c r="J787" s="7" t="s">
        <v>397</v>
      </c>
      <c r="K787" s="25" t="s">
        <v>225</v>
      </c>
    </row>
    <row r="788" spans="1:11" x14ac:dyDescent="0.25">
      <c r="A788" s="12"/>
      <c r="B788" s="7" t="s">
        <v>222</v>
      </c>
      <c r="C788" s="25">
        <v>26000140</v>
      </c>
      <c r="D788" s="7" t="s">
        <v>4923</v>
      </c>
      <c r="E788" s="26">
        <v>1</v>
      </c>
      <c r="F788" s="7" t="s">
        <v>225</v>
      </c>
      <c r="G788" s="7" t="s">
        <v>219</v>
      </c>
      <c r="H788" s="19" t="str">
        <f t="shared" si="12"/>
        <v/>
      </c>
      <c r="I788" s="19" t="s">
        <v>221</v>
      </c>
      <c r="J788" s="7" t="s">
        <v>397</v>
      </c>
      <c r="K788" s="25" t="s">
        <v>225</v>
      </c>
    </row>
    <row r="789" spans="1:11" x14ac:dyDescent="0.25">
      <c r="A789" s="12"/>
      <c r="B789" s="7" t="s">
        <v>222</v>
      </c>
      <c r="C789" s="25">
        <v>26000150</v>
      </c>
      <c r="D789" s="7" t="s">
        <v>3968</v>
      </c>
      <c r="E789" s="26">
        <v>1</v>
      </c>
      <c r="F789" s="7" t="s">
        <v>225</v>
      </c>
      <c r="G789" s="7" t="s">
        <v>219</v>
      </c>
      <c r="H789" s="19" t="str">
        <f t="shared" si="12"/>
        <v/>
      </c>
      <c r="I789" s="19" t="s">
        <v>221</v>
      </c>
      <c r="J789" s="7" t="s">
        <v>397</v>
      </c>
      <c r="K789" s="25" t="s">
        <v>225</v>
      </c>
    </row>
    <row r="790" spans="1:11" x14ac:dyDescent="0.25">
      <c r="A790" s="12"/>
      <c r="B790" s="7" t="s">
        <v>222</v>
      </c>
      <c r="C790" s="25">
        <v>26000276</v>
      </c>
      <c r="D790" s="7" t="s">
        <v>4864</v>
      </c>
      <c r="E790" s="26">
        <v>1</v>
      </c>
      <c r="F790" s="7" t="s">
        <v>225</v>
      </c>
      <c r="G790" s="7" t="s">
        <v>219</v>
      </c>
      <c r="H790" s="19" t="str">
        <f t="shared" si="12"/>
        <v/>
      </c>
      <c r="I790" s="19" t="s">
        <v>221</v>
      </c>
      <c r="J790" s="7" t="s">
        <v>397</v>
      </c>
      <c r="K790" s="25" t="s">
        <v>225</v>
      </c>
    </row>
    <row r="791" spans="1:11" x14ac:dyDescent="0.25">
      <c r="A791" s="12"/>
      <c r="B791" s="7" t="s">
        <v>222</v>
      </c>
      <c r="C791" s="25">
        <v>26000281</v>
      </c>
      <c r="D791" s="7" t="s">
        <v>4867</v>
      </c>
      <c r="E791" s="26">
        <v>1</v>
      </c>
      <c r="F791" s="7" t="s">
        <v>225</v>
      </c>
      <c r="G791" s="7" t="s">
        <v>219</v>
      </c>
      <c r="H791" s="19" t="str">
        <f t="shared" si="12"/>
        <v/>
      </c>
      <c r="I791" s="19" t="s">
        <v>221</v>
      </c>
      <c r="J791" s="7" t="s">
        <v>397</v>
      </c>
      <c r="K791" s="25" t="s">
        <v>225</v>
      </c>
    </row>
    <row r="792" spans="1:11" x14ac:dyDescent="0.25">
      <c r="A792" s="12"/>
      <c r="B792" s="7" t="s">
        <v>222</v>
      </c>
      <c r="C792" s="25">
        <v>26000500</v>
      </c>
      <c r="D792" s="7" t="s">
        <v>4280</v>
      </c>
      <c r="E792" s="26">
        <v>1</v>
      </c>
      <c r="F792" s="7" t="s">
        <v>352</v>
      </c>
      <c r="G792" s="7" t="s">
        <v>4281</v>
      </c>
      <c r="H792" s="19" t="str">
        <f t="shared" si="12"/>
        <v/>
      </c>
      <c r="I792" s="19" t="s">
        <v>221</v>
      </c>
      <c r="J792" s="7" t="s">
        <v>397</v>
      </c>
      <c r="K792" s="25" t="s">
        <v>352</v>
      </c>
    </row>
    <row r="793" spans="1:11" x14ac:dyDescent="0.25">
      <c r="A793" s="12"/>
      <c r="B793" s="7" t="s">
        <v>222</v>
      </c>
      <c r="C793" s="25">
        <v>26000505</v>
      </c>
      <c r="D793" s="7" t="s">
        <v>4282</v>
      </c>
      <c r="E793" s="26">
        <v>1</v>
      </c>
      <c r="F793" s="7" t="s">
        <v>352</v>
      </c>
      <c r="G793" s="7" t="s">
        <v>4283</v>
      </c>
      <c r="H793" s="19" t="str">
        <f t="shared" si="12"/>
        <v/>
      </c>
      <c r="I793" s="19" t="s">
        <v>221</v>
      </c>
      <c r="J793" s="7" t="s">
        <v>397</v>
      </c>
      <c r="K793" s="25" t="s">
        <v>352</v>
      </c>
    </row>
    <row r="794" spans="1:11" x14ac:dyDescent="0.25">
      <c r="A794" s="12"/>
      <c r="B794" s="7" t="s">
        <v>222</v>
      </c>
      <c r="C794" s="25">
        <v>26000622</v>
      </c>
      <c r="D794" s="7" t="s">
        <v>4947</v>
      </c>
      <c r="E794" s="26">
        <v>1</v>
      </c>
      <c r="F794" s="7" t="s">
        <v>225</v>
      </c>
      <c r="G794" s="7" t="s">
        <v>219</v>
      </c>
      <c r="H794" s="19" t="str">
        <f t="shared" si="12"/>
        <v/>
      </c>
      <c r="I794" s="19" t="s">
        <v>221</v>
      </c>
      <c r="J794" s="7" t="s">
        <v>397</v>
      </c>
      <c r="K794" s="25" t="s">
        <v>225</v>
      </c>
    </row>
    <row r="795" spans="1:11" x14ac:dyDescent="0.25">
      <c r="A795" s="12"/>
      <c r="B795" s="7" t="s">
        <v>222</v>
      </c>
      <c r="C795" s="25">
        <v>26000637</v>
      </c>
      <c r="D795" s="7" t="s">
        <v>4832</v>
      </c>
      <c r="E795" s="26">
        <v>1</v>
      </c>
      <c r="F795" s="7" t="s">
        <v>225</v>
      </c>
      <c r="G795" s="7" t="s">
        <v>219</v>
      </c>
      <c r="H795" s="19" t="str">
        <f t="shared" si="12"/>
        <v/>
      </c>
      <c r="I795" s="19" t="s">
        <v>221</v>
      </c>
      <c r="J795" s="7" t="s">
        <v>397</v>
      </c>
      <c r="K795" s="25" t="s">
        <v>225</v>
      </c>
    </row>
    <row r="796" spans="1:11" x14ac:dyDescent="0.25">
      <c r="A796" s="12"/>
      <c r="B796" s="7" t="s">
        <v>222</v>
      </c>
      <c r="C796" s="25">
        <v>26000641</v>
      </c>
      <c r="D796" s="7" t="s">
        <v>11739</v>
      </c>
      <c r="E796" s="26">
        <v>1</v>
      </c>
      <c r="F796" s="7" t="s">
        <v>352</v>
      </c>
      <c r="G796" s="7" t="s">
        <v>11234</v>
      </c>
      <c r="H796" s="19" t="str">
        <f t="shared" si="12"/>
        <v/>
      </c>
      <c r="I796" s="19" t="s">
        <v>221</v>
      </c>
      <c r="J796" s="7" t="s">
        <v>397</v>
      </c>
      <c r="K796" s="25" t="s">
        <v>352</v>
      </c>
    </row>
    <row r="797" spans="1:11" x14ac:dyDescent="0.25">
      <c r="A797" s="12"/>
      <c r="B797" s="7" t="s">
        <v>222</v>
      </c>
      <c r="C797" s="25">
        <v>26000642</v>
      </c>
      <c r="D797" s="7" t="s">
        <v>11740</v>
      </c>
      <c r="E797" s="26">
        <v>1</v>
      </c>
      <c r="F797" s="7" t="s">
        <v>352</v>
      </c>
      <c r="G797" s="7" t="s">
        <v>11234</v>
      </c>
      <c r="H797" s="19" t="str">
        <f t="shared" si="12"/>
        <v/>
      </c>
      <c r="I797" s="19" t="s">
        <v>221</v>
      </c>
      <c r="J797" s="7" t="s">
        <v>397</v>
      </c>
      <c r="K797" s="25" t="s">
        <v>352</v>
      </c>
    </row>
    <row r="798" spans="1:11" x14ac:dyDescent="0.25">
      <c r="A798" s="12"/>
      <c r="B798" s="7" t="s">
        <v>222</v>
      </c>
      <c r="C798" s="25">
        <v>26000643</v>
      </c>
      <c r="D798" s="7" t="s">
        <v>11741</v>
      </c>
      <c r="E798" s="26">
        <v>1</v>
      </c>
      <c r="F798" s="7" t="s">
        <v>352</v>
      </c>
      <c r="G798" s="7" t="s">
        <v>11792</v>
      </c>
      <c r="H798" s="19" t="str">
        <f t="shared" si="12"/>
        <v/>
      </c>
      <c r="I798" s="19" t="s">
        <v>221</v>
      </c>
      <c r="J798" s="7" t="s">
        <v>397</v>
      </c>
      <c r="K798" s="25" t="s">
        <v>352</v>
      </c>
    </row>
    <row r="799" spans="1:11" x14ac:dyDescent="0.25">
      <c r="A799" s="12"/>
      <c r="B799" s="7" t="s">
        <v>222</v>
      </c>
      <c r="C799" s="25">
        <v>26000644</v>
      </c>
      <c r="D799" s="7" t="s">
        <v>11742</v>
      </c>
      <c r="E799" s="26">
        <v>1</v>
      </c>
      <c r="F799" s="7" t="s">
        <v>352</v>
      </c>
      <c r="G799" s="7" t="s">
        <v>11792</v>
      </c>
      <c r="H799" s="19" t="str">
        <f t="shared" si="12"/>
        <v/>
      </c>
      <c r="I799" s="19" t="s">
        <v>221</v>
      </c>
      <c r="J799" s="7" t="s">
        <v>397</v>
      </c>
      <c r="K799" s="25" t="s">
        <v>352</v>
      </c>
    </row>
    <row r="800" spans="1:11" x14ac:dyDescent="0.25">
      <c r="A800" s="12"/>
      <c r="B800" s="7" t="s">
        <v>222</v>
      </c>
      <c r="C800" s="25">
        <v>26000645</v>
      </c>
      <c r="D800" s="7" t="s">
        <v>11743</v>
      </c>
      <c r="E800" s="26">
        <v>1</v>
      </c>
      <c r="F800" s="7" t="s">
        <v>352</v>
      </c>
      <c r="G800" s="7" t="s">
        <v>11792</v>
      </c>
      <c r="H800" s="19" t="str">
        <f t="shared" si="12"/>
        <v/>
      </c>
      <c r="I800" s="19" t="s">
        <v>221</v>
      </c>
      <c r="J800" s="7" t="s">
        <v>397</v>
      </c>
      <c r="K800" s="25" t="s">
        <v>352</v>
      </c>
    </row>
    <row r="801" spans="1:11" x14ac:dyDescent="0.25">
      <c r="A801" s="12"/>
      <c r="B801" s="7" t="s">
        <v>222</v>
      </c>
      <c r="C801" s="25">
        <v>26000646</v>
      </c>
      <c r="D801" s="7" t="s">
        <v>11744</v>
      </c>
      <c r="E801" s="26">
        <v>1</v>
      </c>
      <c r="F801" s="7" t="s">
        <v>352</v>
      </c>
      <c r="G801" s="7" t="s">
        <v>11792</v>
      </c>
      <c r="H801" s="19" t="str">
        <f t="shared" si="12"/>
        <v/>
      </c>
      <c r="I801" s="19" t="s">
        <v>221</v>
      </c>
      <c r="J801" s="7" t="s">
        <v>397</v>
      </c>
      <c r="K801" s="25" t="s">
        <v>352</v>
      </c>
    </row>
    <row r="802" spans="1:11" x14ac:dyDescent="0.25">
      <c r="A802" s="12"/>
      <c r="B802" s="7" t="s">
        <v>222</v>
      </c>
      <c r="C802" s="25">
        <v>26000647</v>
      </c>
      <c r="D802" s="7" t="s">
        <v>11745</v>
      </c>
      <c r="E802" s="26">
        <v>1</v>
      </c>
      <c r="F802" s="7" t="s">
        <v>352</v>
      </c>
      <c r="G802" s="7" t="s">
        <v>11792</v>
      </c>
      <c r="H802" s="19" t="str">
        <f t="shared" si="12"/>
        <v/>
      </c>
      <c r="I802" s="19" t="s">
        <v>221</v>
      </c>
      <c r="J802" s="7" t="s">
        <v>397</v>
      </c>
      <c r="K802" s="25" t="s">
        <v>352</v>
      </c>
    </row>
    <row r="803" spans="1:11" x14ac:dyDescent="0.25">
      <c r="A803" s="12"/>
      <c r="B803" s="7" t="s">
        <v>222</v>
      </c>
      <c r="C803" s="25">
        <v>26000648</v>
      </c>
      <c r="D803" s="7" t="s">
        <v>11747</v>
      </c>
      <c r="E803" s="26">
        <v>1</v>
      </c>
      <c r="F803" s="7" t="s">
        <v>352</v>
      </c>
      <c r="G803" s="7" t="s">
        <v>11792</v>
      </c>
      <c r="H803" s="19" t="str">
        <f t="shared" si="12"/>
        <v/>
      </c>
      <c r="I803" s="19" t="s">
        <v>221</v>
      </c>
      <c r="J803" s="7" t="s">
        <v>397</v>
      </c>
      <c r="K803" s="25" t="s">
        <v>352</v>
      </c>
    </row>
    <row r="804" spans="1:11" x14ac:dyDescent="0.25">
      <c r="A804" s="12"/>
      <c r="B804" s="7" t="s">
        <v>222</v>
      </c>
      <c r="C804" s="25">
        <v>26000649</v>
      </c>
      <c r="D804" s="7" t="s">
        <v>11749</v>
      </c>
      <c r="E804" s="26">
        <v>1</v>
      </c>
      <c r="F804" s="7" t="s">
        <v>352</v>
      </c>
      <c r="G804" s="7" t="s">
        <v>11792</v>
      </c>
      <c r="H804" s="19" t="str">
        <f t="shared" si="12"/>
        <v/>
      </c>
      <c r="I804" s="19" t="s">
        <v>221</v>
      </c>
      <c r="J804" s="7" t="s">
        <v>397</v>
      </c>
      <c r="K804" s="25" t="s">
        <v>352</v>
      </c>
    </row>
    <row r="805" spans="1:11" x14ac:dyDescent="0.25">
      <c r="A805" s="12"/>
      <c r="B805" s="7" t="s">
        <v>222</v>
      </c>
      <c r="C805" s="25">
        <v>26000650</v>
      </c>
      <c r="D805" s="7" t="s">
        <v>11750</v>
      </c>
      <c r="E805" s="26">
        <v>1</v>
      </c>
      <c r="F805" s="7" t="s">
        <v>352</v>
      </c>
      <c r="G805" s="7" t="s">
        <v>11792</v>
      </c>
      <c r="H805" s="19" t="str">
        <f t="shared" si="12"/>
        <v/>
      </c>
      <c r="I805" s="19" t="s">
        <v>221</v>
      </c>
      <c r="J805" s="7" t="s">
        <v>397</v>
      </c>
      <c r="K805" s="25" t="s">
        <v>352</v>
      </c>
    </row>
    <row r="806" spans="1:11" x14ac:dyDescent="0.25">
      <c r="A806" s="12"/>
      <c r="B806" s="7" t="s">
        <v>222</v>
      </c>
      <c r="C806" s="25">
        <v>26000651</v>
      </c>
      <c r="D806" s="7" t="s">
        <v>11751</v>
      </c>
      <c r="E806" s="26">
        <v>1</v>
      </c>
      <c r="F806" s="7" t="s">
        <v>352</v>
      </c>
      <c r="G806" s="7" t="s">
        <v>10979</v>
      </c>
      <c r="H806" s="19" t="str">
        <f t="shared" si="12"/>
        <v/>
      </c>
      <c r="I806" s="19" t="s">
        <v>221</v>
      </c>
      <c r="J806" s="7" t="s">
        <v>397</v>
      </c>
      <c r="K806" s="25" t="s">
        <v>352</v>
      </c>
    </row>
    <row r="807" spans="1:11" x14ac:dyDescent="0.25">
      <c r="A807" s="12"/>
      <c r="B807" s="7" t="s">
        <v>222</v>
      </c>
      <c r="C807" s="25">
        <v>26000653</v>
      </c>
      <c r="D807" s="7" t="s">
        <v>11755</v>
      </c>
      <c r="E807" s="26">
        <v>1</v>
      </c>
      <c r="F807" s="7" t="s">
        <v>352</v>
      </c>
      <c r="G807" s="7" t="s">
        <v>11239</v>
      </c>
      <c r="H807" s="19" t="str">
        <f t="shared" si="12"/>
        <v/>
      </c>
      <c r="I807" s="19" t="s">
        <v>221</v>
      </c>
      <c r="J807" s="7" t="s">
        <v>397</v>
      </c>
      <c r="K807" s="25" t="s">
        <v>352</v>
      </c>
    </row>
    <row r="808" spans="1:11" x14ac:dyDescent="0.25">
      <c r="A808" s="12"/>
      <c r="B808" s="7" t="s">
        <v>222</v>
      </c>
      <c r="C808" s="25">
        <v>26000655</v>
      </c>
      <c r="D808" s="7" t="s">
        <v>11757</v>
      </c>
      <c r="E808" s="26">
        <v>1</v>
      </c>
      <c r="F808" s="7" t="s">
        <v>352</v>
      </c>
      <c r="G808" s="7" t="s">
        <v>10966</v>
      </c>
      <c r="H808" s="19" t="str">
        <f t="shared" si="12"/>
        <v/>
      </c>
      <c r="I808" s="19" t="s">
        <v>221</v>
      </c>
      <c r="J808" s="7" t="s">
        <v>397</v>
      </c>
      <c r="K808" s="25" t="s">
        <v>352</v>
      </c>
    </row>
    <row r="809" spans="1:11" x14ac:dyDescent="0.25">
      <c r="A809" s="12"/>
      <c r="B809" s="7" t="s">
        <v>222</v>
      </c>
      <c r="C809" s="25">
        <v>26000657</v>
      </c>
      <c r="D809" s="7" t="s">
        <v>11758</v>
      </c>
      <c r="E809" s="26">
        <v>1</v>
      </c>
      <c r="F809" s="7" t="s">
        <v>352</v>
      </c>
      <c r="G809" s="7" t="s">
        <v>11232</v>
      </c>
      <c r="H809" s="19" t="str">
        <f t="shared" si="12"/>
        <v/>
      </c>
      <c r="I809" s="19" t="s">
        <v>221</v>
      </c>
      <c r="J809" s="7" t="s">
        <v>397</v>
      </c>
      <c r="K809" s="25" t="s">
        <v>352</v>
      </c>
    </row>
    <row r="810" spans="1:11" x14ac:dyDescent="0.25">
      <c r="A810" s="12"/>
      <c r="B810" s="7" t="s">
        <v>222</v>
      </c>
      <c r="C810" s="25">
        <v>26000658</v>
      </c>
      <c r="D810" s="7" t="s">
        <v>11760</v>
      </c>
      <c r="E810" s="26">
        <v>1</v>
      </c>
      <c r="F810" s="7" t="s">
        <v>352</v>
      </c>
      <c r="G810" s="7" t="s">
        <v>11232</v>
      </c>
      <c r="H810" s="19" t="str">
        <f t="shared" si="12"/>
        <v/>
      </c>
      <c r="I810" s="19" t="s">
        <v>221</v>
      </c>
      <c r="J810" s="7" t="s">
        <v>397</v>
      </c>
      <c r="K810" s="25" t="s">
        <v>352</v>
      </c>
    </row>
    <row r="811" spans="1:11" x14ac:dyDescent="0.25">
      <c r="A811" s="12"/>
      <c r="B811" s="7" t="s">
        <v>222</v>
      </c>
      <c r="C811" s="25">
        <v>26000659</v>
      </c>
      <c r="D811" s="7" t="s">
        <v>11761</v>
      </c>
      <c r="E811" s="26">
        <v>1</v>
      </c>
      <c r="F811" s="7" t="s">
        <v>352</v>
      </c>
      <c r="G811" s="7" t="s">
        <v>11644</v>
      </c>
      <c r="H811" s="19" t="str">
        <f t="shared" si="12"/>
        <v/>
      </c>
      <c r="I811" s="19" t="s">
        <v>221</v>
      </c>
      <c r="J811" s="7" t="s">
        <v>397</v>
      </c>
      <c r="K811" s="25" t="s">
        <v>352</v>
      </c>
    </row>
    <row r="812" spans="1:11" x14ac:dyDescent="0.25">
      <c r="A812" s="12"/>
      <c r="B812" s="7" t="s">
        <v>222</v>
      </c>
      <c r="C812" s="25">
        <v>26000661</v>
      </c>
      <c r="D812" s="7" t="s">
        <v>11763</v>
      </c>
      <c r="E812" s="26">
        <v>1</v>
      </c>
      <c r="F812" s="7" t="s">
        <v>352</v>
      </c>
      <c r="G812" s="7" t="s">
        <v>11239</v>
      </c>
      <c r="H812" s="19" t="str">
        <f t="shared" si="12"/>
        <v/>
      </c>
      <c r="I812" s="19" t="s">
        <v>221</v>
      </c>
      <c r="J812" s="7" t="s">
        <v>397</v>
      </c>
      <c r="K812" s="25" t="s">
        <v>352</v>
      </c>
    </row>
    <row r="813" spans="1:11" x14ac:dyDescent="0.25">
      <c r="A813" s="12"/>
      <c r="B813" s="7" t="s">
        <v>222</v>
      </c>
      <c r="C813" s="25">
        <v>26000663</v>
      </c>
      <c r="D813" s="7" t="s">
        <v>11497</v>
      </c>
      <c r="E813" s="26">
        <v>1</v>
      </c>
      <c r="F813" s="7" t="s">
        <v>352</v>
      </c>
      <c r="G813" s="7" t="s">
        <v>116</v>
      </c>
      <c r="H813" s="19" t="str">
        <f t="shared" si="12"/>
        <v/>
      </c>
      <c r="I813" s="19" t="s">
        <v>221</v>
      </c>
      <c r="J813" s="7" t="s">
        <v>397</v>
      </c>
      <c r="K813" s="25" t="s">
        <v>352</v>
      </c>
    </row>
    <row r="814" spans="1:11" x14ac:dyDescent="0.25">
      <c r="A814" s="12"/>
      <c r="B814" s="7" t="s">
        <v>222</v>
      </c>
      <c r="C814" s="25">
        <v>26000664</v>
      </c>
      <c r="D814" s="7" t="s">
        <v>11567</v>
      </c>
      <c r="E814" s="26">
        <v>1</v>
      </c>
      <c r="F814" s="7" t="s">
        <v>352</v>
      </c>
      <c r="G814" s="7" t="s">
        <v>11569</v>
      </c>
      <c r="H814" s="19" t="str">
        <f t="shared" si="12"/>
        <v/>
      </c>
      <c r="I814" s="19" t="s">
        <v>221</v>
      </c>
      <c r="J814" s="7" t="s">
        <v>397</v>
      </c>
      <c r="K814" s="25" t="s">
        <v>352</v>
      </c>
    </row>
    <row r="815" spans="1:11" x14ac:dyDescent="0.25">
      <c r="A815" s="12"/>
      <c r="B815" s="7" t="s">
        <v>222</v>
      </c>
      <c r="C815" s="25">
        <v>26000665</v>
      </c>
      <c r="D815" s="7" t="s">
        <v>11765</v>
      </c>
      <c r="E815" s="26">
        <v>1</v>
      </c>
      <c r="F815" s="7" t="s">
        <v>352</v>
      </c>
      <c r="G815" s="7" t="s">
        <v>11226</v>
      </c>
      <c r="H815" s="19" t="str">
        <f t="shared" si="12"/>
        <v/>
      </c>
      <c r="I815" s="19" t="s">
        <v>221</v>
      </c>
      <c r="J815" s="7" t="s">
        <v>397</v>
      </c>
      <c r="K815" s="25" t="s">
        <v>352</v>
      </c>
    </row>
    <row r="816" spans="1:11" x14ac:dyDescent="0.25">
      <c r="A816" s="12"/>
      <c r="B816" s="7" t="s">
        <v>222</v>
      </c>
      <c r="C816" s="25">
        <v>26000721</v>
      </c>
      <c r="D816" s="7" t="s">
        <v>11776</v>
      </c>
      <c r="E816" s="26">
        <v>1</v>
      </c>
      <c r="F816" s="7" t="s">
        <v>352</v>
      </c>
      <c r="G816" s="7" t="s">
        <v>11230</v>
      </c>
      <c r="H816" s="19" t="str">
        <f t="shared" si="12"/>
        <v/>
      </c>
      <c r="I816" s="19" t="s">
        <v>221</v>
      </c>
      <c r="J816" s="7" t="s">
        <v>397</v>
      </c>
      <c r="K816" s="25" t="s">
        <v>352</v>
      </c>
    </row>
    <row r="817" spans="1:11" x14ac:dyDescent="0.25">
      <c r="A817" s="12"/>
      <c r="B817" s="7" t="s">
        <v>222</v>
      </c>
      <c r="C817" s="25">
        <v>26000725</v>
      </c>
      <c r="D817" s="7" t="s">
        <v>11778</v>
      </c>
      <c r="E817" s="26">
        <v>1</v>
      </c>
      <c r="F817" s="7" t="s">
        <v>352</v>
      </c>
      <c r="G817" s="7" t="s">
        <v>11651</v>
      </c>
      <c r="H817" s="19" t="str">
        <f t="shared" si="12"/>
        <v/>
      </c>
      <c r="I817" s="19" t="s">
        <v>221</v>
      </c>
      <c r="J817" s="7" t="s">
        <v>397</v>
      </c>
      <c r="K817" s="25" t="s">
        <v>352</v>
      </c>
    </row>
    <row r="818" spans="1:11" x14ac:dyDescent="0.25">
      <c r="A818" s="12"/>
      <c r="B818" s="7" t="s">
        <v>222</v>
      </c>
      <c r="C818" s="25">
        <v>26000729</v>
      </c>
      <c r="D818" s="7" t="s">
        <v>11308</v>
      </c>
      <c r="E818" s="26">
        <v>1</v>
      </c>
      <c r="F818" s="7" t="s">
        <v>352</v>
      </c>
      <c r="G818" s="7" t="s">
        <v>11218</v>
      </c>
      <c r="H818" s="19" t="str">
        <f t="shared" si="12"/>
        <v/>
      </c>
      <c r="I818" s="19" t="s">
        <v>221</v>
      </c>
      <c r="J818" s="7" t="s">
        <v>397</v>
      </c>
      <c r="K818" s="25" t="s">
        <v>352</v>
      </c>
    </row>
    <row r="819" spans="1:11" x14ac:dyDescent="0.25">
      <c r="A819" s="12"/>
      <c r="B819" s="7" t="s">
        <v>222</v>
      </c>
      <c r="C819" s="25">
        <v>26000733</v>
      </c>
      <c r="D819" s="7" t="s">
        <v>11780</v>
      </c>
      <c r="E819" s="26">
        <v>1</v>
      </c>
      <c r="F819" s="7" t="s">
        <v>352</v>
      </c>
      <c r="G819" s="7" t="s">
        <v>11241</v>
      </c>
      <c r="H819" s="19" t="str">
        <f t="shared" si="12"/>
        <v/>
      </c>
      <c r="I819" s="19" t="s">
        <v>221</v>
      </c>
      <c r="J819" s="7" t="s">
        <v>397</v>
      </c>
      <c r="K819" s="25" t="s">
        <v>352</v>
      </c>
    </row>
    <row r="820" spans="1:11" x14ac:dyDescent="0.25">
      <c r="A820" s="12"/>
      <c r="B820" s="7" t="s">
        <v>222</v>
      </c>
      <c r="C820" s="25">
        <v>26000736</v>
      </c>
      <c r="D820" s="7" t="s">
        <v>11781</v>
      </c>
      <c r="E820" s="26">
        <v>1</v>
      </c>
      <c r="F820" s="7" t="s">
        <v>352</v>
      </c>
      <c r="G820" s="7" t="s">
        <v>11236</v>
      </c>
      <c r="H820" s="19" t="str">
        <f t="shared" si="12"/>
        <v/>
      </c>
      <c r="I820" s="19" t="s">
        <v>221</v>
      </c>
      <c r="J820" s="7" t="s">
        <v>397</v>
      </c>
      <c r="K820" s="25" t="s">
        <v>352</v>
      </c>
    </row>
    <row r="821" spans="1:11" x14ac:dyDescent="0.25">
      <c r="A821" s="12"/>
      <c r="B821" s="7" t="s">
        <v>222</v>
      </c>
      <c r="C821" s="25">
        <v>26000737</v>
      </c>
      <c r="D821" s="7" t="s">
        <v>11782</v>
      </c>
      <c r="E821" s="26">
        <v>1</v>
      </c>
      <c r="F821" s="7" t="s">
        <v>352</v>
      </c>
      <c r="G821" s="7" t="s">
        <v>11236</v>
      </c>
      <c r="H821" s="19" t="str">
        <f t="shared" si="12"/>
        <v/>
      </c>
      <c r="I821" s="19" t="s">
        <v>221</v>
      </c>
      <c r="J821" s="7" t="s">
        <v>397</v>
      </c>
      <c r="K821" s="25" t="s">
        <v>352</v>
      </c>
    </row>
    <row r="822" spans="1:11" x14ac:dyDescent="0.25">
      <c r="A822" s="12"/>
      <c r="B822" s="7" t="s">
        <v>222</v>
      </c>
      <c r="C822" s="25">
        <v>26000741</v>
      </c>
      <c r="D822" s="7" t="s">
        <v>11785</v>
      </c>
      <c r="E822" s="26">
        <v>1</v>
      </c>
      <c r="F822" s="7" t="s">
        <v>352</v>
      </c>
      <c r="G822" s="7" t="s">
        <v>11792</v>
      </c>
      <c r="H822" s="19" t="str">
        <f t="shared" si="12"/>
        <v/>
      </c>
      <c r="I822" s="19" t="s">
        <v>221</v>
      </c>
      <c r="J822" s="7" t="s">
        <v>397</v>
      </c>
      <c r="K822" s="25" t="s">
        <v>352</v>
      </c>
    </row>
    <row r="823" spans="1:11" x14ac:dyDescent="0.25">
      <c r="A823" s="12"/>
      <c r="B823" s="7" t="s">
        <v>222</v>
      </c>
      <c r="C823" s="25">
        <v>26000745</v>
      </c>
      <c r="D823" s="7" t="s">
        <v>11788</v>
      </c>
      <c r="E823" s="26">
        <v>1</v>
      </c>
      <c r="F823" s="7" t="s">
        <v>352</v>
      </c>
      <c r="G823" s="7" t="s">
        <v>11792</v>
      </c>
      <c r="H823" s="19" t="str">
        <f t="shared" si="12"/>
        <v/>
      </c>
      <c r="I823" s="19" t="s">
        <v>221</v>
      </c>
      <c r="J823" s="7" t="s">
        <v>397</v>
      </c>
      <c r="K823" s="25" t="s">
        <v>352</v>
      </c>
    </row>
    <row r="824" spans="1:11" x14ac:dyDescent="0.25">
      <c r="A824" s="12"/>
      <c r="B824" s="7" t="s">
        <v>222</v>
      </c>
      <c r="C824" s="25">
        <v>26000753</v>
      </c>
      <c r="D824" s="7" t="s">
        <v>11790</v>
      </c>
      <c r="E824" s="26">
        <v>1</v>
      </c>
      <c r="F824" s="7" t="s">
        <v>352</v>
      </c>
      <c r="G824" s="7" t="s">
        <v>11792</v>
      </c>
      <c r="H824" s="19" t="str">
        <f t="shared" si="12"/>
        <v/>
      </c>
      <c r="I824" s="19" t="s">
        <v>221</v>
      </c>
      <c r="J824" s="7" t="s">
        <v>397</v>
      </c>
      <c r="K824" s="25" t="s">
        <v>352</v>
      </c>
    </row>
    <row r="825" spans="1:11" x14ac:dyDescent="0.25">
      <c r="A825" s="12"/>
      <c r="B825" s="7" t="s">
        <v>222</v>
      </c>
      <c r="C825" s="25">
        <v>26000756</v>
      </c>
      <c r="D825" s="7" t="s">
        <v>4587</v>
      </c>
      <c r="E825" s="26">
        <v>1</v>
      </c>
      <c r="F825" s="7" t="s">
        <v>225</v>
      </c>
      <c r="G825" s="7" t="s">
        <v>219</v>
      </c>
      <c r="H825" s="19" t="str">
        <f t="shared" si="12"/>
        <v/>
      </c>
      <c r="I825" s="19" t="s">
        <v>221</v>
      </c>
      <c r="J825" s="7" t="s">
        <v>397</v>
      </c>
      <c r="K825" s="25" t="s">
        <v>225</v>
      </c>
    </row>
    <row r="826" spans="1:11" x14ac:dyDescent="0.25">
      <c r="A826" s="12"/>
      <c r="B826" s="7" t="s">
        <v>222</v>
      </c>
      <c r="C826" s="25">
        <v>26000757</v>
      </c>
      <c r="D826" s="7" t="s">
        <v>4369</v>
      </c>
      <c r="E826" s="26">
        <v>1</v>
      </c>
      <c r="F826" s="7" t="s">
        <v>352</v>
      </c>
      <c r="G826" s="7" t="s">
        <v>11228</v>
      </c>
      <c r="H826" s="19" t="str">
        <f t="shared" si="12"/>
        <v/>
      </c>
      <c r="I826" s="19" t="s">
        <v>221</v>
      </c>
      <c r="J826" s="7" t="s">
        <v>397</v>
      </c>
      <c r="K826" s="25" t="s">
        <v>352</v>
      </c>
    </row>
    <row r="827" spans="1:11" x14ac:dyDescent="0.25">
      <c r="A827" s="12"/>
      <c r="B827" s="7" t="s">
        <v>222</v>
      </c>
      <c r="C827" s="25">
        <v>26000860</v>
      </c>
      <c r="D827" s="7" t="s">
        <v>11309</v>
      </c>
      <c r="E827" s="26">
        <v>1</v>
      </c>
      <c r="F827" s="7" t="s">
        <v>352</v>
      </c>
      <c r="G827" s="7" t="s">
        <v>4322</v>
      </c>
      <c r="H827" s="19" t="str">
        <f t="shared" si="12"/>
        <v/>
      </c>
      <c r="I827" s="19" t="s">
        <v>221</v>
      </c>
      <c r="J827" s="7" t="s">
        <v>397</v>
      </c>
      <c r="K827" s="25" t="s">
        <v>352</v>
      </c>
    </row>
    <row r="828" spans="1:11" x14ac:dyDescent="0.25">
      <c r="A828" s="12"/>
      <c r="B828" s="7" t="s">
        <v>222</v>
      </c>
      <c r="C828" s="25">
        <v>26001030</v>
      </c>
      <c r="D828" s="7" t="s">
        <v>2885</v>
      </c>
      <c r="E828" s="26">
        <v>1</v>
      </c>
      <c r="F828" s="7" t="s">
        <v>225</v>
      </c>
      <c r="G828" s="7" t="s">
        <v>219</v>
      </c>
      <c r="H828" s="19" t="str">
        <f>IF(A828="", "", A828*E828)</f>
        <v/>
      </c>
      <c r="I828" s="19" t="s">
        <v>221</v>
      </c>
      <c r="J828" s="7" t="s">
        <v>440</v>
      </c>
      <c r="K828" s="25" t="s">
        <v>225</v>
      </c>
    </row>
    <row r="829" spans="1:11" x14ac:dyDescent="0.25">
      <c r="A829" s="12"/>
      <c r="B829" s="7" t="s">
        <v>222</v>
      </c>
      <c r="C829" s="25">
        <v>26001090</v>
      </c>
      <c r="D829" s="7" t="s">
        <v>2888</v>
      </c>
      <c r="E829" s="26">
        <v>1</v>
      </c>
      <c r="F829" s="7" t="s">
        <v>225</v>
      </c>
      <c r="G829" s="7" t="s">
        <v>219</v>
      </c>
      <c r="H829" s="19" t="str">
        <f>IF(A829="", "", A829*E829)</f>
        <v/>
      </c>
      <c r="I829" s="19" t="s">
        <v>221</v>
      </c>
      <c r="J829" s="7" t="s">
        <v>440</v>
      </c>
      <c r="K829" s="25" t="s">
        <v>225</v>
      </c>
    </row>
    <row r="830" spans="1:11" x14ac:dyDescent="0.25">
      <c r="A830" s="12"/>
      <c r="B830" s="7" t="s">
        <v>222</v>
      </c>
      <c r="C830" s="25">
        <v>26001120</v>
      </c>
      <c r="D830" s="7" t="s">
        <v>2893</v>
      </c>
      <c r="E830" s="26">
        <v>1</v>
      </c>
      <c r="F830" s="7" t="s">
        <v>225</v>
      </c>
      <c r="G830" s="7" t="s">
        <v>219</v>
      </c>
      <c r="H830" s="19" t="str">
        <f t="shared" ref="H830:H837" si="13">IF(A830="", "", A830*E830)</f>
        <v/>
      </c>
      <c r="I830" s="19" t="s">
        <v>221</v>
      </c>
      <c r="J830" s="7" t="s">
        <v>440</v>
      </c>
      <c r="K830" s="25" t="s">
        <v>225</v>
      </c>
    </row>
    <row r="831" spans="1:11" x14ac:dyDescent="0.25">
      <c r="A831" s="12"/>
      <c r="B831" s="7" t="s">
        <v>222</v>
      </c>
      <c r="C831" s="25">
        <v>26001150</v>
      </c>
      <c r="D831" s="7" t="s">
        <v>2898</v>
      </c>
      <c r="E831" s="26">
        <v>1</v>
      </c>
      <c r="F831" s="7" t="s">
        <v>225</v>
      </c>
      <c r="G831" s="7" t="s">
        <v>219</v>
      </c>
      <c r="H831" s="19" t="str">
        <f t="shared" si="13"/>
        <v/>
      </c>
      <c r="I831" s="19" t="s">
        <v>221</v>
      </c>
      <c r="J831" s="7" t="s">
        <v>440</v>
      </c>
      <c r="K831" s="25" t="s">
        <v>225</v>
      </c>
    </row>
    <row r="832" spans="1:11" x14ac:dyDescent="0.25">
      <c r="A832" s="12"/>
      <c r="B832" s="7" t="s">
        <v>222</v>
      </c>
      <c r="C832" s="25">
        <v>26001510</v>
      </c>
      <c r="D832" s="7" t="s">
        <v>4103</v>
      </c>
      <c r="E832" s="26">
        <v>1</v>
      </c>
      <c r="F832" s="7" t="s">
        <v>225</v>
      </c>
      <c r="G832" s="7" t="s">
        <v>219</v>
      </c>
      <c r="H832" s="19" t="str">
        <f t="shared" si="13"/>
        <v/>
      </c>
      <c r="I832" s="19" t="s">
        <v>221</v>
      </c>
      <c r="J832" s="7" t="s">
        <v>440</v>
      </c>
      <c r="K832" s="25" t="s">
        <v>225</v>
      </c>
    </row>
    <row r="833" spans="1:11" x14ac:dyDescent="0.25">
      <c r="A833" s="12"/>
      <c r="B833" s="7" t="s">
        <v>222</v>
      </c>
      <c r="C833" s="25">
        <v>26001520</v>
      </c>
      <c r="D833" s="7" t="s">
        <v>4104</v>
      </c>
      <c r="E833" s="26">
        <v>1</v>
      </c>
      <c r="F833" s="7" t="s">
        <v>225</v>
      </c>
      <c r="G833" s="7" t="s">
        <v>219</v>
      </c>
      <c r="H833" s="19" t="str">
        <f t="shared" si="13"/>
        <v/>
      </c>
      <c r="I833" s="19" t="s">
        <v>221</v>
      </c>
      <c r="J833" s="7" t="s">
        <v>440</v>
      </c>
      <c r="K833" s="25" t="s">
        <v>225</v>
      </c>
    </row>
    <row r="834" spans="1:11" x14ac:dyDescent="0.25">
      <c r="A834" s="12"/>
      <c r="B834" s="7" t="s">
        <v>222</v>
      </c>
      <c r="C834" s="25">
        <v>26003000</v>
      </c>
      <c r="D834" s="7" t="s">
        <v>4207</v>
      </c>
      <c r="E834" s="26">
        <v>1</v>
      </c>
      <c r="F834" s="7" t="s">
        <v>225</v>
      </c>
      <c r="G834" s="7" t="s">
        <v>219</v>
      </c>
      <c r="H834" s="19" t="str">
        <f t="shared" si="13"/>
        <v/>
      </c>
      <c r="I834" s="19" t="s">
        <v>221</v>
      </c>
      <c r="J834" s="7" t="s">
        <v>440</v>
      </c>
      <c r="K834" s="25" t="s">
        <v>225</v>
      </c>
    </row>
    <row r="835" spans="1:11" x14ac:dyDescent="0.25">
      <c r="A835" s="12"/>
      <c r="B835" s="7" t="s">
        <v>222</v>
      </c>
      <c r="C835" s="25">
        <v>26003100</v>
      </c>
      <c r="D835" s="7" t="s">
        <v>4208</v>
      </c>
      <c r="E835" s="26">
        <v>1</v>
      </c>
      <c r="F835" s="7" t="s">
        <v>225</v>
      </c>
      <c r="G835" s="7" t="s">
        <v>219</v>
      </c>
      <c r="H835" s="19" t="str">
        <f t="shared" si="13"/>
        <v/>
      </c>
      <c r="I835" s="19" t="s">
        <v>221</v>
      </c>
      <c r="J835" s="7" t="s">
        <v>440</v>
      </c>
      <c r="K835" s="25" t="s">
        <v>225</v>
      </c>
    </row>
    <row r="836" spans="1:11" x14ac:dyDescent="0.25">
      <c r="A836" s="12"/>
      <c r="B836" s="7" t="s">
        <v>222</v>
      </c>
      <c r="C836" s="25">
        <v>26003200</v>
      </c>
      <c r="D836" s="7" t="s">
        <v>4209</v>
      </c>
      <c r="E836" s="26">
        <v>1</v>
      </c>
      <c r="F836" s="7" t="s">
        <v>225</v>
      </c>
      <c r="G836" s="7" t="s">
        <v>219</v>
      </c>
      <c r="H836" s="19" t="str">
        <f t="shared" si="13"/>
        <v/>
      </c>
      <c r="I836" s="19" t="s">
        <v>221</v>
      </c>
      <c r="J836" s="7" t="s">
        <v>440</v>
      </c>
      <c r="K836" s="25" t="s">
        <v>225</v>
      </c>
    </row>
    <row r="837" spans="1:11" x14ac:dyDescent="0.25">
      <c r="A837" s="12"/>
      <c r="B837" s="7" t="s">
        <v>222</v>
      </c>
      <c r="C837" s="25">
        <v>26003300</v>
      </c>
      <c r="D837" s="7" t="s">
        <v>4210</v>
      </c>
      <c r="E837" s="26">
        <v>1</v>
      </c>
      <c r="F837" s="7" t="s">
        <v>225</v>
      </c>
      <c r="G837" s="7" t="s">
        <v>219</v>
      </c>
      <c r="H837" s="19" t="str">
        <f t="shared" si="13"/>
        <v/>
      </c>
      <c r="I837" s="19" t="s">
        <v>221</v>
      </c>
      <c r="J837" s="7" t="s">
        <v>440</v>
      </c>
      <c r="K837" s="25" t="s">
        <v>225</v>
      </c>
    </row>
  </sheetData>
  <autoFilter ref="A13:P837" xr:uid="{00000000-0009-0000-0000-000000000000}"/>
  <mergeCells count="2">
    <mergeCell ref="H5:K9"/>
    <mergeCell ref="A1:K1"/>
  </mergeCells>
  <dataValidations count="1">
    <dataValidation type="textLength" allowBlank="1" showInputMessage="1" showErrorMessage="1" errorTitle="fout" error="alleen 8-cijferige artikelnummers" sqref="K3" xr:uid="{00000000-0002-0000-0000-000000000000}">
      <formula1>8</formula1>
      <formula2>8</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2000000}">
          <x14:formula1>
            <xm:f>'Adres Tel'!$G$2:$G$1048576</xm:f>
          </x14:formula1>
          <xm:sqref>D4:D5</xm:sqref>
        </x14:dataValidation>
        <x14:dataValidation type="list" allowBlank="1" showInputMessage="1" showErrorMessage="1" xr:uid="{00000000-0002-0000-0000-000001000000}">
          <x14:formula1>
            <xm:f>'Adres Tel'!$B$2:$B$1048576</xm:f>
          </x14:formula1>
          <xm:sqref>D3</xm:sqref>
        </x14:dataValidation>
        <x14:dataValidation type="list" allowBlank="1" showInputMessage="1" showErrorMessage="1" xr:uid="{ABEF353E-ECD7-4AE1-9640-F8E404A6ED9C}">
          <x14:formula1>
            <xm:f>'Adres Tel'!$C2:$C1000000</xm:f>
          </x14:formula1>
          <xm:sqref>D6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tabColor rgb="FF00B050"/>
  </sheetPr>
  <dimension ref="A1:P859"/>
  <sheetViews>
    <sheetView tabSelected="1" zoomScale="91" zoomScaleNormal="91" workbookViewId="0">
      <selection sqref="A1:K1"/>
    </sheetView>
  </sheetViews>
  <sheetFormatPr defaultColWidth="8.5703125" defaultRowHeight="15" x14ac:dyDescent="0.25"/>
  <cols>
    <col min="1" max="1" width="16.42578125" customWidth="1"/>
    <col min="2" max="2" width="15.5703125" bestFit="1" customWidth="1"/>
    <col min="3" max="3" width="16.5703125" bestFit="1" customWidth="1"/>
    <col min="4" max="4" width="47.42578125" bestFit="1" customWidth="1"/>
    <col min="5" max="5" width="26.42578125" bestFit="1" customWidth="1"/>
    <col min="6" max="6" width="11.42578125" customWidth="1"/>
    <col min="7" max="7" width="17.5703125" customWidth="1"/>
    <col min="8" max="8" width="21" bestFit="1" customWidth="1"/>
    <col min="9" max="9" width="17.42578125" customWidth="1"/>
    <col min="10" max="10" width="20.42578125" bestFit="1" customWidth="1"/>
    <col min="11" max="11" width="19.42578125" bestFit="1" customWidth="1"/>
    <col min="12" max="12" width="7.42578125" customWidth="1"/>
    <col min="13" max="13" width="10" customWidth="1"/>
  </cols>
  <sheetData>
    <row r="1" spans="1:16" ht="19.5" thickBot="1" x14ac:dyDescent="0.35">
      <c r="A1" s="104" t="s">
        <v>11663</v>
      </c>
      <c r="B1" s="104"/>
      <c r="C1" s="104"/>
      <c r="D1" s="104"/>
      <c r="E1" s="104"/>
      <c r="F1" s="104"/>
      <c r="G1" s="104"/>
      <c r="H1" s="104"/>
      <c r="I1" s="104"/>
      <c r="J1" s="104"/>
      <c r="K1" s="104"/>
    </row>
    <row r="2" spans="1:16" ht="15.75" thickBot="1" x14ac:dyDescent="0.3">
      <c r="C2" s="1" t="s">
        <v>0</v>
      </c>
      <c r="D2" s="9"/>
      <c r="E2" s="3" t="s">
        <v>1</v>
      </c>
      <c r="J2" s="3"/>
      <c r="M2" s="36" t="s">
        <v>30</v>
      </c>
      <c r="N2" s="37"/>
      <c r="O2" s="37"/>
      <c r="P2" s="38"/>
    </row>
    <row r="3" spans="1:16" ht="15.75" thickBot="1" x14ac:dyDescent="0.3">
      <c r="C3" s="1" t="s">
        <v>2</v>
      </c>
      <c r="D3" s="10" t="s">
        <v>10917</v>
      </c>
      <c r="E3" s="3" t="s">
        <v>3</v>
      </c>
      <c r="J3" s="8" t="s">
        <v>4</v>
      </c>
      <c r="K3" s="46"/>
      <c r="M3" s="39" t="s">
        <v>31</v>
      </c>
      <c r="N3" s="40"/>
      <c r="O3" s="40"/>
      <c r="P3" s="41"/>
    </row>
    <row r="4" spans="1:16" x14ac:dyDescent="0.25">
      <c r="C4" s="1" t="s">
        <v>5</v>
      </c>
      <c r="D4" s="10" t="s">
        <v>10917</v>
      </c>
      <c r="E4" s="3" t="s">
        <v>6</v>
      </c>
      <c r="J4" s="3"/>
      <c r="M4" s="45" t="s">
        <v>32</v>
      </c>
      <c r="N4" s="40"/>
      <c r="O4" s="40"/>
      <c r="P4" s="41"/>
    </row>
    <row r="5" spans="1:16" x14ac:dyDescent="0.25">
      <c r="C5" s="1" t="s">
        <v>7</v>
      </c>
      <c r="D5" s="10" t="s">
        <v>10917</v>
      </c>
      <c r="E5" s="3" t="s">
        <v>8</v>
      </c>
      <c r="H5" s="95" t="str">
        <f>IF(ISBLANK(K3),"Geen artikelnummer in zoekveld ingevuld",IF(ISERROR(VLOOKUP(K3,'Omschrijving Besteltekst'!A:C,3,FALSE)),"Geen additionele tekst(en)",VLOOKUP(K3,'Omschrijving Besteltekst'!A:C,3,FALSE)))</f>
        <v>Geen artikelnummer in zoekveld ingevuld</v>
      </c>
      <c r="I5" s="96"/>
      <c r="J5" s="96"/>
      <c r="K5" s="97"/>
      <c r="M5" s="45" t="s">
        <v>33</v>
      </c>
      <c r="N5" s="40"/>
      <c r="O5" s="40"/>
      <c r="P5" s="41"/>
    </row>
    <row r="6" spans="1:16" x14ac:dyDescent="0.25">
      <c r="C6" s="1" t="s">
        <v>9</v>
      </c>
      <c r="D6" s="6" t="str">
        <f>IF(D3="kies…","geen keuze gemaakt",VLOOKUP(D3,'Adres Tel'!B:C,2,FALSE))</f>
        <v>Maak een keuze</v>
      </c>
      <c r="E6" s="3" t="s">
        <v>10</v>
      </c>
      <c r="H6" s="98"/>
      <c r="I6" s="99"/>
      <c r="J6" s="99"/>
      <c r="K6" s="100"/>
      <c r="M6" s="39" t="s">
        <v>34</v>
      </c>
      <c r="N6" s="40"/>
      <c r="O6" s="40"/>
      <c r="P6" s="41"/>
    </row>
    <row r="7" spans="1:16" x14ac:dyDescent="0.25">
      <c r="C7" s="1" t="s">
        <v>11</v>
      </c>
      <c r="D7" s="10"/>
      <c r="E7" s="3" t="s">
        <v>12</v>
      </c>
      <c r="H7" s="98"/>
      <c r="I7" s="99"/>
      <c r="J7" s="99"/>
      <c r="K7" s="100"/>
      <c r="M7" s="39"/>
      <c r="N7" s="40"/>
      <c r="O7" s="40"/>
      <c r="P7" s="41"/>
    </row>
    <row r="8" spans="1:16" x14ac:dyDescent="0.25">
      <c r="C8" s="1" t="s">
        <v>13</v>
      </c>
      <c r="D8" s="10"/>
      <c r="E8" s="3" t="s">
        <v>14</v>
      </c>
      <c r="H8" s="98"/>
      <c r="I8" s="99"/>
      <c r="J8" s="99"/>
      <c r="K8" s="100"/>
      <c r="M8" s="39"/>
      <c r="N8" s="40"/>
      <c r="O8" s="40"/>
      <c r="P8" s="41"/>
    </row>
    <row r="9" spans="1:16" x14ac:dyDescent="0.25">
      <c r="C9" s="2" t="s">
        <v>15</v>
      </c>
      <c r="D9" s="10"/>
      <c r="E9" s="3" t="s">
        <v>16</v>
      </c>
      <c r="H9" s="101"/>
      <c r="I9" s="102"/>
      <c r="J9" s="102"/>
      <c r="K9" s="103"/>
      <c r="M9" s="39"/>
      <c r="N9" s="40"/>
      <c r="O9" s="40"/>
      <c r="P9" s="41"/>
    </row>
    <row r="10" spans="1:16" s="18" customFormat="1" ht="15.75" thickBot="1" x14ac:dyDescent="0.3">
      <c r="C10" s="35" t="s">
        <v>35</v>
      </c>
      <c r="D10" s="11"/>
      <c r="E10" s="34" t="s">
        <v>36</v>
      </c>
      <c r="I10" s="29"/>
      <c r="J10" s="29"/>
      <c r="K10" s="29"/>
      <c r="M10" s="42"/>
      <c r="N10" s="43"/>
      <c r="O10" s="43"/>
      <c r="P10" s="44"/>
    </row>
    <row r="11" spans="1:16" x14ac:dyDescent="0.25">
      <c r="A11" s="18"/>
      <c r="B11" s="18"/>
      <c r="C11" s="29"/>
      <c r="D11" s="29"/>
      <c r="E11" s="29"/>
      <c r="F11" s="29"/>
      <c r="G11" s="29"/>
      <c r="H11" s="29"/>
      <c r="I11" s="29"/>
      <c r="J11" s="29"/>
      <c r="K11" s="29"/>
      <c r="L11" s="29"/>
    </row>
    <row r="12" spans="1:16" s="1" customFormat="1" x14ac:dyDescent="0.25">
      <c r="A12" s="13" t="s">
        <v>17</v>
      </c>
      <c r="B12" s="13" t="s">
        <v>18</v>
      </c>
      <c r="C12" s="20"/>
      <c r="D12" s="20"/>
      <c r="E12" s="20"/>
      <c r="F12" s="20"/>
      <c r="G12" s="20"/>
      <c r="H12" s="16" t="s">
        <v>19</v>
      </c>
      <c r="I12" s="16" t="s">
        <v>19</v>
      </c>
      <c r="J12" s="20"/>
      <c r="K12" s="23"/>
      <c r="L12" s="23"/>
      <c r="O12" s="4"/>
      <c r="P12" s="5"/>
    </row>
    <row r="13" spans="1:16" ht="26.25" x14ac:dyDescent="0.25">
      <c r="A13" s="14" t="s">
        <v>20</v>
      </c>
      <c r="B13" s="15" t="s">
        <v>21</v>
      </c>
      <c r="C13" s="24" t="s">
        <v>22</v>
      </c>
      <c r="D13" s="21" t="s">
        <v>23</v>
      </c>
      <c r="E13" s="22" t="s">
        <v>24</v>
      </c>
      <c r="F13" s="22" t="s">
        <v>25</v>
      </c>
      <c r="G13" s="22" t="s">
        <v>26</v>
      </c>
      <c r="H13" s="17" t="s">
        <v>20</v>
      </c>
      <c r="I13" s="28" t="s">
        <v>27</v>
      </c>
      <c r="J13" s="23" t="s">
        <v>28</v>
      </c>
      <c r="K13" s="23" t="s">
        <v>38</v>
      </c>
      <c r="L13" s="23" t="s">
        <v>39</v>
      </c>
    </row>
    <row r="14" spans="1:16" x14ac:dyDescent="0.25">
      <c r="A14" s="1"/>
      <c r="B14" s="7" t="s">
        <v>222</v>
      </c>
      <c r="C14" s="25">
        <v>20000266</v>
      </c>
      <c r="D14" s="7" t="s">
        <v>312</v>
      </c>
      <c r="E14" s="26">
        <v>1</v>
      </c>
      <c r="F14" s="7" t="s">
        <v>225</v>
      </c>
      <c r="G14" s="7" t="s">
        <v>219</v>
      </c>
      <c r="H14" s="19" t="str">
        <f t="shared" ref="H14" si="0">IF(A14="", "", A14*E14)</f>
        <v/>
      </c>
      <c r="I14" s="19" t="s">
        <v>221</v>
      </c>
      <c r="J14" s="7" t="s">
        <v>309</v>
      </c>
      <c r="K14" s="1"/>
      <c r="L14" s="7" t="s">
        <v>195</v>
      </c>
    </row>
    <row r="15" spans="1:16" ht="12" customHeight="1" x14ac:dyDescent="0.25">
      <c r="A15" s="1"/>
      <c r="B15" s="7" t="s">
        <v>222</v>
      </c>
      <c r="C15" s="25">
        <v>20000283</v>
      </c>
      <c r="D15" s="7" t="s">
        <v>314</v>
      </c>
      <c r="E15" s="26">
        <v>1</v>
      </c>
      <c r="F15" s="7" t="s">
        <v>225</v>
      </c>
      <c r="G15" s="7" t="s">
        <v>219</v>
      </c>
      <c r="H15" s="19" t="str">
        <f t="shared" ref="H15:H78" si="1">IF(A15="", "", A15*E15)</f>
        <v/>
      </c>
      <c r="I15" s="19" t="s">
        <v>221</v>
      </c>
      <c r="J15" s="7" t="s">
        <v>315</v>
      </c>
      <c r="K15" s="1"/>
      <c r="L15" s="7" t="s">
        <v>195</v>
      </c>
    </row>
    <row r="16" spans="1:16" x14ac:dyDescent="0.25">
      <c r="A16" s="1"/>
      <c r="B16" s="7" t="s">
        <v>222</v>
      </c>
      <c r="C16" s="25">
        <v>20000294</v>
      </c>
      <c r="D16" s="7" t="s">
        <v>317</v>
      </c>
      <c r="E16" s="26">
        <v>1</v>
      </c>
      <c r="F16" s="7" t="s">
        <v>225</v>
      </c>
      <c r="G16" s="7" t="s">
        <v>219</v>
      </c>
      <c r="H16" s="19" t="str">
        <f t="shared" si="1"/>
        <v/>
      </c>
      <c r="I16" s="19" t="s">
        <v>221</v>
      </c>
      <c r="J16" s="7" t="s">
        <v>315</v>
      </c>
      <c r="K16" s="1"/>
      <c r="L16" s="7" t="s">
        <v>195</v>
      </c>
    </row>
    <row r="17" spans="1:13" x14ac:dyDescent="0.25">
      <c r="A17" s="1"/>
      <c r="B17" s="7" t="s">
        <v>222</v>
      </c>
      <c r="C17" s="25">
        <v>20000374</v>
      </c>
      <c r="D17" s="7" t="s">
        <v>331</v>
      </c>
      <c r="E17" s="26">
        <v>1</v>
      </c>
      <c r="F17" s="7" t="s">
        <v>225</v>
      </c>
      <c r="G17" s="7" t="s">
        <v>219</v>
      </c>
      <c r="H17" s="19" t="str">
        <f t="shared" si="1"/>
        <v/>
      </c>
      <c r="I17" s="19" t="s">
        <v>221</v>
      </c>
      <c r="J17" s="7" t="s">
        <v>315</v>
      </c>
      <c r="K17" s="1"/>
      <c r="L17" s="7" t="s">
        <v>195</v>
      </c>
    </row>
    <row r="18" spans="1:13" s="18" customFormat="1" x14ac:dyDescent="0.25">
      <c r="A18" s="1"/>
      <c r="B18" s="7" t="s">
        <v>222</v>
      </c>
      <c r="C18" s="25">
        <v>20000375</v>
      </c>
      <c r="D18" s="7" t="s">
        <v>332</v>
      </c>
      <c r="E18" s="26">
        <v>1</v>
      </c>
      <c r="F18" s="7" t="s">
        <v>225</v>
      </c>
      <c r="G18" s="7" t="s">
        <v>219</v>
      </c>
      <c r="H18" s="19" t="str">
        <f t="shared" si="1"/>
        <v/>
      </c>
      <c r="I18" s="19" t="s">
        <v>221</v>
      </c>
      <c r="J18" s="7" t="s">
        <v>315</v>
      </c>
      <c r="K18" s="1"/>
      <c r="L18" s="7" t="s">
        <v>195</v>
      </c>
      <c r="M18"/>
    </row>
    <row r="19" spans="1:13" x14ac:dyDescent="0.25">
      <c r="A19" s="1"/>
      <c r="B19" s="7" t="s">
        <v>222</v>
      </c>
      <c r="C19" s="25">
        <v>20000495</v>
      </c>
      <c r="D19" s="7" t="s">
        <v>344</v>
      </c>
      <c r="E19" s="26">
        <v>1</v>
      </c>
      <c r="F19" s="7" t="s">
        <v>225</v>
      </c>
      <c r="G19" s="7" t="s">
        <v>219</v>
      </c>
      <c r="H19" s="19" t="str">
        <f t="shared" si="1"/>
        <v/>
      </c>
      <c r="I19" s="19" t="s">
        <v>221</v>
      </c>
      <c r="J19" s="7" t="s">
        <v>345</v>
      </c>
      <c r="K19" s="1"/>
      <c r="L19" s="7" t="s">
        <v>195</v>
      </c>
    </row>
    <row r="20" spans="1:13" x14ac:dyDescent="0.25">
      <c r="A20" s="1"/>
      <c r="B20" s="7" t="s">
        <v>222</v>
      </c>
      <c r="C20" s="25">
        <v>20000496</v>
      </c>
      <c r="D20" s="7" t="s">
        <v>346</v>
      </c>
      <c r="E20" s="26">
        <v>1</v>
      </c>
      <c r="F20" s="7" t="s">
        <v>225</v>
      </c>
      <c r="G20" s="7" t="s">
        <v>219</v>
      </c>
      <c r="H20" s="19" t="str">
        <f t="shared" si="1"/>
        <v/>
      </c>
      <c r="I20" s="19" t="s">
        <v>221</v>
      </c>
      <c r="J20" s="7" t="s">
        <v>347</v>
      </c>
      <c r="K20" s="1"/>
      <c r="L20" s="7" t="s">
        <v>195</v>
      </c>
    </row>
    <row r="21" spans="1:13" x14ac:dyDescent="0.25">
      <c r="A21" s="1"/>
      <c r="B21" s="7" t="s">
        <v>222</v>
      </c>
      <c r="C21" s="25">
        <v>20000669</v>
      </c>
      <c r="D21" s="7" t="s">
        <v>367</v>
      </c>
      <c r="E21" s="26">
        <v>1</v>
      </c>
      <c r="F21" s="7" t="s">
        <v>225</v>
      </c>
      <c r="G21" s="7" t="s">
        <v>219</v>
      </c>
      <c r="H21" s="19" t="str">
        <f t="shared" si="1"/>
        <v/>
      </c>
      <c r="I21" s="19" t="s">
        <v>221</v>
      </c>
      <c r="J21" s="7" t="s">
        <v>327</v>
      </c>
      <c r="K21" s="1"/>
      <c r="L21" s="7" t="s">
        <v>195</v>
      </c>
    </row>
    <row r="22" spans="1:13" x14ac:dyDescent="0.25">
      <c r="A22" s="1"/>
      <c r="B22" s="7" t="s">
        <v>4785</v>
      </c>
      <c r="C22" s="25">
        <v>20000817</v>
      </c>
      <c r="D22" s="7" t="s">
        <v>378</v>
      </c>
      <c r="E22" s="26">
        <v>1</v>
      </c>
      <c r="F22" s="7" t="s">
        <v>225</v>
      </c>
      <c r="G22" s="7" t="s">
        <v>219</v>
      </c>
      <c r="H22" s="19" t="str">
        <f t="shared" si="1"/>
        <v/>
      </c>
      <c r="I22" s="19" t="s">
        <v>321</v>
      </c>
      <c r="J22" s="7" t="s">
        <v>246</v>
      </c>
      <c r="K22" s="1"/>
      <c r="L22" s="7" t="s">
        <v>195</v>
      </c>
    </row>
    <row r="23" spans="1:13" x14ac:dyDescent="0.25">
      <c r="A23" s="1"/>
      <c r="B23" s="7" t="s">
        <v>222</v>
      </c>
      <c r="C23" s="25">
        <v>20000944</v>
      </c>
      <c r="D23" s="7" t="s">
        <v>396</v>
      </c>
      <c r="E23" s="26">
        <v>1</v>
      </c>
      <c r="F23" s="7" t="s">
        <v>225</v>
      </c>
      <c r="G23" s="7" t="s">
        <v>219</v>
      </c>
      <c r="H23" s="19" t="str">
        <f t="shared" si="1"/>
        <v/>
      </c>
      <c r="I23" s="19" t="s">
        <v>221</v>
      </c>
      <c r="J23" s="7" t="s">
        <v>397</v>
      </c>
      <c r="K23" s="1"/>
      <c r="L23" s="7" t="s">
        <v>195</v>
      </c>
    </row>
    <row r="24" spans="1:13" x14ac:dyDescent="0.25">
      <c r="A24" s="1"/>
      <c r="B24" s="7" t="s">
        <v>227</v>
      </c>
      <c r="C24" s="25">
        <v>20000955</v>
      </c>
      <c r="D24" s="7" t="s">
        <v>401</v>
      </c>
      <c r="E24" s="26">
        <v>1</v>
      </c>
      <c r="F24" s="7" t="s">
        <v>225</v>
      </c>
      <c r="G24" s="7" t="s">
        <v>219</v>
      </c>
      <c r="H24" s="19" t="str">
        <f t="shared" si="1"/>
        <v/>
      </c>
      <c r="I24" s="19" t="s">
        <v>37</v>
      </c>
      <c r="J24" s="7" t="s">
        <v>345</v>
      </c>
      <c r="K24" s="1"/>
      <c r="L24" s="7" t="s">
        <v>195</v>
      </c>
    </row>
    <row r="25" spans="1:13" x14ac:dyDescent="0.25">
      <c r="A25" s="1"/>
      <c r="B25" s="7" t="s">
        <v>222</v>
      </c>
      <c r="C25" s="25">
        <v>20000973</v>
      </c>
      <c r="D25" s="7" t="s">
        <v>404</v>
      </c>
      <c r="E25" s="26">
        <v>1</v>
      </c>
      <c r="F25" s="7" t="s">
        <v>225</v>
      </c>
      <c r="G25" s="7" t="s">
        <v>219</v>
      </c>
      <c r="H25" s="19" t="str">
        <f t="shared" si="1"/>
        <v/>
      </c>
      <c r="I25" s="19" t="s">
        <v>221</v>
      </c>
      <c r="J25" s="7" t="s">
        <v>309</v>
      </c>
      <c r="K25" s="1"/>
      <c r="L25" s="7" t="s">
        <v>195</v>
      </c>
    </row>
    <row r="26" spans="1:13" x14ac:dyDescent="0.25">
      <c r="A26" s="1"/>
      <c r="B26" s="7" t="s">
        <v>222</v>
      </c>
      <c r="C26" s="25">
        <v>20000978</v>
      </c>
      <c r="D26" s="7" t="s">
        <v>405</v>
      </c>
      <c r="E26" s="26">
        <v>1</v>
      </c>
      <c r="F26" s="7" t="s">
        <v>225</v>
      </c>
      <c r="G26" s="7" t="s">
        <v>219</v>
      </c>
      <c r="H26" s="19" t="str">
        <f t="shared" si="1"/>
        <v/>
      </c>
      <c r="I26" s="19" t="s">
        <v>221</v>
      </c>
      <c r="J26" s="7" t="s">
        <v>309</v>
      </c>
      <c r="K26" s="1"/>
      <c r="L26" s="7" t="s">
        <v>195</v>
      </c>
    </row>
    <row r="27" spans="1:13" x14ac:dyDescent="0.25">
      <c r="A27" s="1"/>
      <c r="B27" s="7" t="s">
        <v>222</v>
      </c>
      <c r="C27" s="25">
        <v>20000982</v>
      </c>
      <c r="D27" s="7" t="s">
        <v>407</v>
      </c>
      <c r="E27" s="26">
        <v>1</v>
      </c>
      <c r="F27" s="7" t="s">
        <v>225</v>
      </c>
      <c r="G27" s="7" t="s">
        <v>219</v>
      </c>
      <c r="H27" s="19" t="str">
        <f t="shared" si="1"/>
        <v/>
      </c>
      <c r="I27" s="19" t="s">
        <v>221</v>
      </c>
      <c r="J27" s="7" t="s">
        <v>309</v>
      </c>
      <c r="K27" s="1"/>
      <c r="L27" s="7" t="s">
        <v>195</v>
      </c>
    </row>
    <row r="28" spans="1:13" x14ac:dyDescent="0.25">
      <c r="A28" s="1"/>
      <c r="B28" s="7" t="s">
        <v>222</v>
      </c>
      <c r="C28" s="25">
        <v>20000983</v>
      </c>
      <c r="D28" s="7" t="s">
        <v>408</v>
      </c>
      <c r="E28" s="26">
        <v>1</v>
      </c>
      <c r="F28" s="7" t="s">
        <v>225</v>
      </c>
      <c r="G28" s="7" t="s">
        <v>219</v>
      </c>
      <c r="H28" s="19" t="str">
        <f t="shared" si="1"/>
        <v/>
      </c>
      <c r="I28" s="19" t="s">
        <v>221</v>
      </c>
      <c r="J28" s="7" t="s">
        <v>309</v>
      </c>
      <c r="K28" s="1"/>
      <c r="L28" s="7" t="s">
        <v>195</v>
      </c>
    </row>
    <row r="29" spans="1:13" x14ac:dyDescent="0.25">
      <c r="A29" s="1"/>
      <c r="B29" s="7" t="s">
        <v>222</v>
      </c>
      <c r="C29" s="25">
        <v>20000984</v>
      </c>
      <c r="D29" s="7" t="s">
        <v>409</v>
      </c>
      <c r="E29" s="26">
        <v>1</v>
      </c>
      <c r="F29" s="7" t="s">
        <v>225</v>
      </c>
      <c r="G29" s="7" t="s">
        <v>219</v>
      </c>
      <c r="H29" s="19" t="str">
        <f t="shared" si="1"/>
        <v/>
      </c>
      <c r="I29" s="19" t="s">
        <v>221</v>
      </c>
      <c r="J29" s="7" t="s">
        <v>309</v>
      </c>
      <c r="K29" s="1"/>
      <c r="L29" s="7" t="s">
        <v>195</v>
      </c>
    </row>
    <row r="30" spans="1:13" x14ac:dyDescent="0.25">
      <c r="A30" s="1"/>
      <c r="B30" s="7" t="s">
        <v>222</v>
      </c>
      <c r="C30" s="25">
        <v>20000986</v>
      </c>
      <c r="D30" s="7" t="s">
        <v>410</v>
      </c>
      <c r="E30" s="26">
        <v>1</v>
      </c>
      <c r="F30" s="7" t="s">
        <v>225</v>
      </c>
      <c r="G30" s="7" t="s">
        <v>219</v>
      </c>
      <c r="H30" s="19" t="str">
        <f t="shared" si="1"/>
        <v/>
      </c>
      <c r="I30" s="19" t="s">
        <v>221</v>
      </c>
      <c r="J30" s="7" t="s">
        <v>309</v>
      </c>
      <c r="K30" s="1"/>
      <c r="L30" s="7" t="s">
        <v>195</v>
      </c>
    </row>
    <row r="31" spans="1:13" x14ac:dyDescent="0.25">
      <c r="A31" s="1"/>
      <c r="B31" s="7" t="s">
        <v>222</v>
      </c>
      <c r="C31" s="25">
        <v>20000996</v>
      </c>
      <c r="D31" s="7" t="s">
        <v>411</v>
      </c>
      <c r="E31" s="26">
        <v>1</v>
      </c>
      <c r="F31" s="7" t="s">
        <v>225</v>
      </c>
      <c r="G31" s="7" t="s">
        <v>219</v>
      </c>
      <c r="H31" s="19" t="str">
        <f t="shared" si="1"/>
        <v/>
      </c>
      <c r="I31" s="19" t="s">
        <v>221</v>
      </c>
      <c r="J31" s="7" t="s">
        <v>313</v>
      </c>
      <c r="K31" s="1"/>
      <c r="L31" s="7" t="s">
        <v>195</v>
      </c>
    </row>
    <row r="32" spans="1:13" x14ac:dyDescent="0.25">
      <c r="A32" s="1"/>
      <c r="B32" s="7" t="s">
        <v>222</v>
      </c>
      <c r="C32" s="25">
        <v>20001006</v>
      </c>
      <c r="D32" s="7" t="s">
        <v>412</v>
      </c>
      <c r="E32" s="26">
        <v>1</v>
      </c>
      <c r="F32" s="7" t="s">
        <v>225</v>
      </c>
      <c r="G32" s="7" t="s">
        <v>219</v>
      </c>
      <c r="H32" s="19" t="str">
        <f t="shared" si="1"/>
        <v/>
      </c>
      <c r="I32" s="19" t="s">
        <v>221</v>
      </c>
      <c r="J32" s="7" t="s">
        <v>313</v>
      </c>
      <c r="K32" s="1"/>
      <c r="L32" s="7" t="s">
        <v>195</v>
      </c>
    </row>
    <row r="33" spans="1:12" x14ac:dyDescent="0.25">
      <c r="A33" s="1"/>
      <c r="B33" s="7" t="s">
        <v>222</v>
      </c>
      <c r="C33" s="25">
        <v>20001010</v>
      </c>
      <c r="D33" s="7" t="s">
        <v>11323</v>
      </c>
      <c r="E33" s="26">
        <v>1</v>
      </c>
      <c r="F33" s="7" t="s">
        <v>225</v>
      </c>
      <c r="G33" s="7" t="s">
        <v>219</v>
      </c>
      <c r="H33" s="19" t="str">
        <f t="shared" si="1"/>
        <v/>
      </c>
      <c r="I33" s="19" t="s">
        <v>221</v>
      </c>
      <c r="J33" s="7" t="s">
        <v>313</v>
      </c>
      <c r="K33" s="1"/>
      <c r="L33" s="7" t="s">
        <v>195</v>
      </c>
    </row>
    <row r="34" spans="1:12" x14ac:dyDescent="0.25">
      <c r="A34" s="1"/>
      <c r="B34" s="7" t="s">
        <v>222</v>
      </c>
      <c r="C34" s="25">
        <v>20001011</v>
      </c>
      <c r="D34" s="7" t="s">
        <v>11324</v>
      </c>
      <c r="E34" s="26">
        <v>1</v>
      </c>
      <c r="F34" s="7" t="s">
        <v>225</v>
      </c>
      <c r="G34" s="7" t="s">
        <v>219</v>
      </c>
      <c r="H34" s="19" t="str">
        <f t="shared" si="1"/>
        <v/>
      </c>
      <c r="I34" s="19" t="s">
        <v>221</v>
      </c>
      <c r="J34" s="7" t="s">
        <v>313</v>
      </c>
      <c r="K34" s="1"/>
      <c r="L34" s="7" t="s">
        <v>195</v>
      </c>
    </row>
    <row r="35" spans="1:12" x14ac:dyDescent="0.25">
      <c r="A35" s="1"/>
      <c r="B35" s="7" t="s">
        <v>222</v>
      </c>
      <c r="C35" s="25">
        <v>20001012</v>
      </c>
      <c r="D35" s="7" t="s">
        <v>11325</v>
      </c>
      <c r="E35" s="26">
        <v>1</v>
      </c>
      <c r="F35" s="7" t="s">
        <v>225</v>
      </c>
      <c r="G35" s="7" t="s">
        <v>219</v>
      </c>
      <c r="H35" s="19" t="str">
        <f t="shared" si="1"/>
        <v/>
      </c>
      <c r="I35" s="19" t="s">
        <v>221</v>
      </c>
      <c r="J35" s="7" t="s">
        <v>313</v>
      </c>
      <c r="K35" s="1"/>
      <c r="L35" s="7" t="s">
        <v>195</v>
      </c>
    </row>
    <row r="36" spans="1:12" x14ac:dyDescent="0.25">
      <c r="A36" s="1"/>
      <c r="B36" s="7" t="s">
        <v>222</v>
      </c>
      <c r="C36" s="25">
        <v>20001013</v>
      </c>
      <c r="D36" s="7" t="s">
        <v>413</v>
      </c>
      <c r="E36" s="26">
        <v>1</v>
      </c>
      <c r="F36" s="7" t="s">
        <v>225</v>
      </c>
      <c r="G36" s="7" t="s">
        <v>219</v>
      </c>
      <c r="H36" s="19" t="str">
        <f t="shared" si="1"/>
        <v/>
      </c>
      <c r="I36" s="19" t="s">
        <v>221</v>
      </c>
      <c r="J36" s="7" t="s">
        <v>313</v>
      </c>
      <c r="K36" s="1"/>
      <c r="L36" s="7" t="s">
        <v>195</v>
      </c>
    </row>
    <row r="37" spans="1:12" x14ac:dyDescent="0.25">
      <c r="A37" s="1"/>
      <c r="B37" s="7" t="s">
        <v>222</v>
      </c>
      <c r="C37" s="25">
        <v>20001028</v>
      </c>
      <c r="D37" s="7" t="s">
        <v>415</v>
      </c>
      <c r="E37" s="26">
        <v>1</v>
      </c>
      <c r="F37" s="7" t="s">
        <v>225</v>
      </c>
      <c r="G37" s="7" t="s">
        <v>219</v>
      </c>
      <c r="H37" s="19" t="str">
        <f t="shared" si="1"/>
        <v/>
      </c>
      <c r="I37" s="19" t="s">
        <v>221</v>
      </c>
      <c r="J37" s="7" t="s">
        <v>345</v>
      </c>
      <c r="K37" s="1"/>
      <c r="L37" s="7" t="s">
        <v>195</v>
      </c>
    </row>
    <row r="38" spans="1:12" x14ac:dyDescent="0.25">
      <c r="A38" s="1"/>
      <c r="B38" s="7" t="s">
        <v>222</v>
      </c>
      <c r="C38" s="25">
        <v>20001036</v>
      </c>
      <c r="D38" s="7" t="s">
        <v>420</v>
      </c>
      <c r="E38" s="26">
        <v>1</v>
      </c>
      <c r="F38" s="7" t="s">
        <v>225</v>
      </c>
      <c r="G38" s="7" t="s">
        <v>219</v>
      </c>
      <c r="H38" s="19" t="str">
        <f t="shared" si="1"/>
        <v/>
      </c>
      <c r="I38" s="19" t="s">
        <v>221</v>
      </c>
      <c r="J38" s="7" t="s">
        <v>315</v>
      </c>
      <c r="K38" s="1"/>
      <c r="L38" s="7" t="s">
        <v>195</v>
      </c>
    </row>
    <row r="39" spans="1:12" x14ac:dyDescent="0.25">
      <c r="A39" s="1"/>
      <c r="B39" s="7" t="s">
        <v>222</v>
      </c>
      <c r="C39" s="25">
        <v>20001038</v>
      </c>
      <c r="D39" s="7" t="s">
        <v>421</v>
      </c>
      <c r="E39" s="26">
        <v>1</v>
      </c>
      <c r="F39" s="7" t="s">
        <v>225</v>
      </c>
      <c r="G39" s="7" t="s">
        <v>219</v>
      </c>
      <c r="H39" s="19" t="str">
        <f t="shared" si="1"/>
        <v/>
      </c>
      <c r="I39" s="19" t="s">
        <v>221</v>
      </c>
      <c r="J39" s="7" t="s">
        <v>315</v>
      </c>
      <c r="K39" s="1"/>
      <c r="L39" s="7" t="s">
        <v>195</v>
      </c>
    </row>
    <row r="40" spans="1:12" x14ac:dyDescent="0.25">
      <c r="A40" s="1"/>
      <c r="B40" s="7" t="s">
        <v>222</v>
      </c>
      <c r="C40" s="25">
        <v>20001039</v>
      </c>
      <c r="D40" s="7" t="s">
        <v>422</v>
      </c>
      <c r="E40" s="26">
        <v>1</v>
      </c>
      <c r="F40" s="7" t="s">
        <v>225</v>
      </c>
      <c r="G40" s="7" t="s">
        <v>219</v>
      </c>
      <c r="H40" s="19" t="str">
        <f t="shared" si="1"/>
        <v/>
      </c>
      <c r="I40" s="19" t="s">
        <v>221</v>
      </c>
      <c r="J40" s="7" t="s">
        <v>315</v>
      </c>
      <c r="K40" s="1"/>
      <c r="L40" s="7" t="s">
        <v>195</v>
      </c>
    </row>
    <row r="41" spans="1:12" x14ac:dyDescent="0.25">
      <c r="A41" s="1"/>
      <c r="B41" s="7" t="s">
        <v>222</v>
      </c>
      <c r="C41" s="25">
        <v>20001040</v>
      </c>
      <c r="D41" s="7" t="s">
        <v>423</v>
      </c>
      <c r="E41" s="26">
        <v>1</v>
      </c>
      <c r="F41" s="7" t="s">
        <v>225</v>
      </c>
      <c r="G41" s="7" t="s">
        <v>219</v>
      </c>
      <c r="H41" s="19" t="str">
        <f t="shared" si="1"/>
        <v/>
      </c>
      <c r="I41" s="19" t="s">
        <v>221</v>
      </c>
      <c r="J41" s="7" t="s">
        <v>315</v>
      </c>
      <c r="K41" s="1"/>
      <c r="L41" s="7" t="s">
        <v>195</v>
      </c>
    </row>
    <row r="42" spans="1:12" x14ac:dyDescent="0.25">
      <c r="A42" s="1"/>
      <c r="B42" s="7" t="s">
        <v>222</v>
      </c>
      <c r="C42" s="25">
        <v>20001041</v>
      </c>
      <c r="D42" s="7" t="s">
        <v>424</v>
      </c>
      <c r="E42" s="26">
        <v>1</v>
      </c>
      <c r="F42" s="7" t="s">
        <v>225</v>
      </c>
      <c r="G42" s="7" t="s">
        <v>219</v>
      </c>
      <c r="H42" s="19" t="str">
        <f t="shared" si="1"/>
        <v/>
      </c>
      <c r="I42" s="19" t="s">
        <v>221</v>
      </c>
      <c r="J42" s="7" t="s">
        <v>315</v>
      </c>
      <c r="K42" s="1"/>
      <c r="L42" s="7" t="s">
        <v>195</v>
      </c>
    </row>
    <row r="43" spans="1:12" x14ac:dyDescent="0.25">
      <c r="A43" s="1"/>
      <c r="B43" s="7" t="s">
        <v>222</v>
      </c>
      <c r="C43" s="25">
        <v>20001042</v>
      </c>
      <c r="D43" s="7" t="s">
        <v>425</v>
      </c>
      <c r="E43" s="26">
        <v>1</v>
      </c>
      <c r="F43" s="7" t="s">
        <v>225</v>
      </c>
      <c r="G43" s="7" t="s">
        <v>219</v>
      </c>
      <c r="H43" s="19" t="str">
        <f t="shared" si="1"/>
        <v/>
      </c>
      <c r="I43" s="19" t="s">
        <v>221</v>
      </c>
      <c r="J43" s="7" t="s">
        <v>315</v>
      </c>
      <c r="K43" s="1"/>
      <c r="L43" s="7" t="s">
        <v>195</v>
      </c>
    </row>
    <row r="44" spans="1:12" x14ac:dyDescent="0.25">
      <c r="A44" s="1"/>
      <c r="B44" s="7" t="s">
        <v>222</v>
      </c>
      <c r="C44" s="25">
        <v>20001047</v>
      </c>
      <c r="D44" s="7" t="s">
        <v>430</v>
      </c>
      <c r="E44" s="26">
        <v>1</v>
      </c>
      <c r="F44" s="7" t="s">
        <v>225</v>
      </c>
      <c r="G44" s="7" t="s">
        <v>219</v>
      </c>
      <c r="H44" s="19" t="str">
        <f t="shared" si="1"/>
        <v/>
      </c>
      <c r="I44" s="19" t="s">
        <v>221</v>
      </c>
      <c r="J44" s="7" t="s">
        <v>315</v>
      </c>
      <c r="K44" s="1"/>
      <c r="L44" s="7" t="s">
        <v>195</v>
      </c>
    </row>
    <row r="45" spans="1:12" x14ac:dyDescent="0.25">
      <c r="A45" s="1"/>
      <c r="B45" s="7" t="s">
        <v>222</v>
      </c>
      <c r="C45" s="25">
        <v>20001049</v>
      </c>
      <c r="D45" s="7" t="s">
        <v>431</v>
      </c>
      <c r="E45" s="26">
        <v>1</v>
      </c>
      <c r="F45" s="7" t="s">
        <v>225</v>
      </c>
      <c r="G45" s="7" t="s">
        <v>219</v>
      </c>
      <c r="H45" s="19" t="str">
        <f t="shared" si="1"/>
        <v/>
      </c>
      <c r="I45" s="19" t="s">
        <v>221</v>
      </c>
      <c r="J45" s="7" t="s">
        <v>315</v>
      </c>
      <c r="K45" s="1"/>
      <c r="L45" s="7" t="s">
        <v>195</v>
      </c>
    </row>
    <row r="46" spans="1:12" x14ac:dyDescent="0.25">
      <c r="A46" s="1"/>
      <c r="B46" s="7" t="s">
        <v>222</v>
      </c>
      <c r="C46" s="25">
        <v>20001050</v>
      </c>
      <c r="D46" s="7" t="s">
        <v>432</v>
      </c>
      <c r="E46" s="26">
        <v>1</v>
      </c>
      <c r="F46" s="7" t="s">
        <v>225</v>
      </c>
      <c r="G46" s="7" t="s">
        <v>219</v>
      </c>
      <c r="H46" s="19" t="str">
        <f t="shared" si="1"/>
        <v/>
      </c>
      <c r="I46" s="19" t="s">
        <v>221</v>
      </c>
      <c r="J46" s="7" t="s">
        <v>315</v>
      </c>
      <c r="K46" s="1"/>
      <c r="L46" s="7" t="s">
        <v>195</v>
      </c>
    </row>
    <row r="47" spans="1:12" x14ac:dyDescent="0.25">
      <c r="A47" s="1"/>
      <c r="B47" s="7" t="s">
        <v>222</v>
      </c>
      <c r="C47" s="25">
        <v>20001055</v>
      </c>
      <c r="D47" s="7" t="s">
        <v>434</v>
      </c>
      <c r="E47" s="26">
        <v>1</v>
      </c>
      <c r="F47" s="7" t="s">
        <v>225</v>
      </c>
      <c r="G47" s="7" t="s">
        <v>219</v>
      </c>
      <c r="H47" s="19" t="str">
        <f t="shared" si="1"/>
        <v/>
      </c>
      <c r="I47" s="19" t="s">
        <v>221</v>
      </c>
      <c r="J47" s="7" t="s">
        <v>315</v>
      </c>
      <c r="K47" s="1"/>
      <c r="L47" s="7" t="s">
        <v>195</v>
      </c>
    </row>
    <row r="48" spans="1:12" x14ac:dyDescent="0.25">
      <c r="A48" s="1"/>
      <c r="B48" s="7" t="s">
        <v>222</v>
      </c>
      <c r="C48" s="25">
        <v>20001069</v>
      </c>
      <c r="D48" s="7" t="s">
        <v>438</v>
      </c>
      <c r="E48" s="26">
        <v>1</v>
      </c>
      <c r="F48" s="7" t="s">
        <v>225</v>
      </c>
      <c r="G48" s="7" t="s">
        <v>219</v>
      </c>
      <c r="H48" s="19" t="str">
        <f t="shared" si="1"/>
        <v/>
      </c>
      <c r="I48" s="19" t="s">
        <v>221</v>
      </c>
      <c r="J48" s="7" t="s">
        <v>309</v>
      </c>
      <c r="K48" s="1"/>
      <c r="L48" s="7" t="s">
        <v>195</v>
      </c>
    </row>
    <row r="49" spans="1:12" x14ac:dyDescent="0.25">
      <c r="A49" s="1"/>
      <c r="B49" s="7" t="s">
        <v>222</v>
      </c>
      <c r="C49" s="25">
        <v>20001092</v>
      </c>
      <c r="D49" s="7" t="s">
        <v>443</v>
      </c>
      <c r="E49" s="26">
        <v>1</v>
      </c>
      <c r="F49" s="7" t="s">
        <v>225</v>
      </c>
      <c r="G49" s="7" t="s">
        <v>219</v>
      </c>
      <c r="H49" s="19" t="str">
        <f t="shared" si="1"/>
        <v/>
      </c>
      <c r="I49" s="19" t="s">
        <v>221</v>
      </c>
      <c r="J49" s="7" t="s">
        <v>345</v>
      </c>
      <c r="K49" s="1"/>
      <c r="L49" s="7" t="s">
        <v>195</v>
      </c>
    </row>
    <row r="50" spans="1:12" x14ac:dyDescent="0.25">
      <c r="A50" s="1"/>
      <c r="B50" s="7" t="s">
        <v>222</v>
      </c>
      <c r="C50" s="25">
        <v>20001097</v>
      </c>
      <c r="D50" s="7" t="s">
        <v>445</v>
      </c>
      <c r="E50" s="26">
        <v>1</v>
      </c>
      <c r="F50" s="7" t="s">
        <v>225</v>
      </c>
      <c r="G50" s="7" t="s">
        <v>219</v>
      </c>
      <c r="H50" s="19" t="str">
        <f t="shared" si="1"/>
        <v/>
      </c>
      <c r="I50" s="19" t="s">
        <v>221</v>
      </c>
      <c r="J50" s="7" t="s">
        <v>315</v>
      </c>
      <c r="K50" s="1"/>
      <c r="L50" s="7" t="s">
        <v>195</v>
      </c>
    </row>
    <row r="51" spans="1:12" x14ac:dyDescent="0.25">
      <c r="A51" s="1"/>
      <c r="B51" s="7" t="s">
        <v>222</v>
      </c>
      <c r="C51" s="25">
        <v>20001099</v>
      </c>
      <c r="D51" s="7" t="s">
        <v>446</v>
      </c>
      <c r="E51" s="26">
        <v>1</v>
      </c>
      <c r="F51" s="7" t="s">
        <v>225</v>
      </c>
      <c r="G51" s="7" t="s">
        <v>219</v>
      </c>
      <c r="H51" s="19" t="str">
        <f t="shared" si="1"/>
        <v/>
      </c>
      <c r="I51" s="19" t="s">
        <v>221</v>
      </c>
      <c r="J51" s="7" t="s">
        <v>315</v>
      </c>
      <c r="K51" s="1"/>
      <c r="L51" s="7" t="s">
        <v>195</v>
      </c>
    </row>
    <row r="52" spans="1:12" x14ac:dyDescent="0.25">
      <c r="A52" s="1"/>
      <c r="B52" s="7" t="s">
        <v>222</v>
      </c>
      <c r="C52" s="25">
        <v>20001101</v>
      </c>
      <c r="D52" s="7" t="s">
        <v>447</v>
      </c>
      <c r="E52" s="26">
        <v>1</v>
      </c>
      <c r="F52" s="7" t="s">
        <v>225</v>
      </c>
      <c r="G52" s="7" t="s">
        <v>219</v>
      </c>
      <c r="H52" s="19" t="str">
        <f t="shared" si="1"/>
        <v/>
      </c>
      <c r="I52" s="19" t="s">
        <v>221</v>
      </c>
      <c r="J52" s="7" t="s">
        <v>315</v>
      </c>
      <c r="K52" s="1"/>
      <c r="L52" s="7" t="s">
        <v>195</v>
      </c>
    </row>
    <row r="53" spans="1:12" x14ac:dyDescent="0.25">
      <c r="A53" s="1"/>
      <c r="B53" s="7" t="s">
        <v>222</v>
      </c>
      <c r="C53" s="25">
        <v>20001103</v>
      </c>
      <c r="D53" s="7" t="s">
        <v>448</v>
      </c>
      <c r="E53" s="26">
        <v>1</v>
      </c>
      <c r="F53" s="7" t="s">
        <v>225</v>
      </c>
      <c r="G53" s="7" t="s">
        <v>219</v>
      </c>
      <c r="H53" s="19" t="str">
        <f t="shared" si="1"/>
        <v/>
      </c>
      <c r="I53" s="19" t="s">
        <v>221</v>
      </c>
      <c r="J53" s="7" t="s">
        <v>315</v>
      </c>
      <c r="K53" s="1"/>
      <c r="L53" s="7" t="s">
        <v>195</v>
      </c>
    </row>
    <row r="54" spans="1:12" x14ac:dyDescent="0.25">
      <c r="A54" s="1"/>
      <c r="B54" s="7" t="s">
        <v>222</v>
      </c>
      <c r="C54" s="25">
        <v>20001104</v>
      </c>
      <c r="D54" s="7" t="s">
        <v>449</v>
      </c>
      <c r="E54" s="26">
        <v>1</v>
      </c>
      <c r="F54" s="7" t="s">
        <v>225</v>
      </c>
      <c r="G54" s="7" t="s">
        <v>219</v>
      </c>
      <c r="H54" s="19" t="str">
        <f t="shared" si="1"/>
        <v/>
      </c>
      <c r="I54" s="19" t="s">
        <v>221</v>
      </c>
      <c r="J54" s="7" t="s">
        <v>315</v>
      </c>
      <c r="K54" s="1"/>
      <c r="L54" s="7" t="s">
        <v>195</v>
      </c>
    </row>
    <row r="55" spans="1:12" x14ac:dyDescent="0.25">
      <c r="A55" s="1"/>
      <c r="B55" s="7" t="s">
        <v>222</v>
      </c>
      <c r="C55" s="25">
        <v>20001106</v>
      </c>
      <c r="D55" s="7" t="s">
        <v>451</v>
      </c>
      <c r="E55" s="26">
        <v>1</v>
      </c>
      <c r="F55" s="7" t="s">
        <v>225</v>
      </c>
      <c r="G55" s="7" t="s">
        <v>219</v>
      </c>
      <c r="H55" s="19" t="str">
        <f t="shared" si="1"/>
        <v/>
      </c>
      <c r="I55" s="19" t="s">
        <v>221</v>
      </c>
      <c r="J55" s="7" t="s">
        <v>315</v>
      </c>
      <c r="K55" s="1"/>
      <c r="L55" s="7" t="s">
        <v>195</v>
      </c>
    </row>
    <row r="56" spans="1:12" x14ac:dyDescent="0.25">
      <c r="A56" s="1"/>
      <c r="B56" s="7" t="s">
        <v>222</v>
      </c>
      <c r="C56" s="25">
        <v>20001107</v>
      </c>
      <c r="D56" s="7" t="s">
        <v>452</v>
      </c>
      <c r="E56" s="26">
        <v>1</v>
      </c>
      <c r="F56" s="7" t="s">
        <v>225</v>
      </c>
      <c r="G56" s="7" t="s">
        <v>219</v>
      </c>
      <c r="H56" s="19" t="str">
        <f t="shared" si="1"/>
        <v/>
      </c>
      <c r="I56" s="19" t="s">
        <v>221</v>
      </c>
      <c r="J56" s="7" t="s">
        <v>315</v>
      </c>
      <c r="K56" s="1"/>
      <c r="L56" s="7" t="s">
        <v>195</v>
      </c>
    </row>
    <row r="57" spans="1:12" x14ac:dyDescent="0.25">
      <c r="A57" s="1"/>
      <c r="B57" s="7" t="s">
        <v>222</v>
      </c>
      <c r="C57" s="25">
        <v>20001108</v>
      </c>
      <c r="D57" s="7" t="s">
        <v>453</v>
      </c>
      <c r="E57" s="26">
        <v>1</v>
      </c>
      <c r="F57" s="7" t="s">
        <v>225</v>
      </c>
      <c r="G57" s="7" t="s">
        <v>219</v>
      </c>
      <c r="H57" s="19" t="str">
        <f t="shared" si="1"/>
        <v/>
      </c>
      <c r="I57" s="19" t="s">
        <v>221</v>
      </c>
      <c r="J57" s="7" t="s">
        <v>315</v>
      </c>
      <c r="K57" s="1"/>
      <c r="L57" s="7" t="s">
        <v>195</v>
      </c>
    </row>
    <row r="58" spans="1:12" x14ac:dyDescent="0.25">
      <c r="A58" s="1"/>
      <c r="B58" s="7" t="s">
        <v>222</v>
      </c>
      <c r="C58" s="25">
        <v>20001113</v>
      </c>
      <c r="D58" s="7" t="s">
        <v>456</v>
      </c>
      <c r="E58" s="26">
        <v>1</v>
      </c>
      <c r="F58" s="7" t="s">
        <v>225</v>
      </c>
      <c r="G58" s="7" t="s">
        <v>219</v>
      </c>
      <c r="H58" s="19" t="str">
        <f t="shared" si="1"/>
        <v/>
      </c>
      <c r="I58" s="19" t="s">
        <v>221</v>
      </c>
      <c r="J58" s="7" t="s">
        <v>315</v>
      </c>
      <c r="K58" s="1"/>
      <c r="L58" s="7" t="s">
        <v>195</v>
      </c>
    </row>
    <row r="59" spans="1:12" x14ac:dyDescent="0.25">
      <c r="A59" s="1"/>
      <c r="B59" s="7" t="s">
        <v>222</v>
      </c>
      <c r="C59" s="25">
        <v>20001116</v>
      </c>
      <c r="D59" s="7" t="s">
        <v>458</v>
      </c>
      <c r="E59" s="26">
        <v>1</v>
      </c>
      <c r="F59" s="7" t="s">
        <v>225</v>
      </c>
      <c r="G59" s="7" t="s">
        <v>219</v>
      </c>
      <c r="H59" s="19" t="str">
        <f t="shared" si="1"/>
        <v/>
      </c>
      <c r="I59" s="19" t="s">
        <v>221</v>
      </c>
      <c r="J59" s="7" t="s">
        <v>315</v>
      </c>
      <c r="K59" s="1"/>
      <c r="L59" s="7" t="s">
        <v>195</v>
      </c>
    </row>
    <row r="60" spans="1:12" x14ac:dyDescent="0.25">
      <c r="A60" s="1"/>
      <c r="B60" s="7" t="s">
        <v>222</v>
      </c>
      <c r="C60" s="25">
        <v>20001117</v>
      </c>
      <c r="D60" s="7" t="s">
        <v>459</v>
      </c>
      <c r="E60" s="26">
        <v>1</v>
      </c>
      <c r="F60" s="7" t="s">
        <v>225</v>
      </c>
      <c r="G60" s="7" t="s">
        <v>219</v>
      </c>
      <c r="H60" s="19" t="str">
        <f t="shared" si="1"/>
        <v/>
      </c>
      <c r="I60" s="19" t="s">
        <v>221</v>
      </c>
      <c r="J60" s="7" t="s">
        <v>315</v>
      </c>
      <c r="K60" s="1"/>
      <c r="L60" s="7" t="s">
        <v>195</v>
      </c>
    </row>
    <row r="61" spans="1:12" x14ac:dyDescent="0.25">
      <c r="A61" s="1"/>
      <c r="B61" s="7" t="s">
        <v>222</v>
      </c>
      <c r="C61" s="25">
        <v>20001118</v>
      </c>
      <c r="D61" s="7" t="s">
        <v>460</v>
      </c>
      <c r="E61" s="26">
        <v>1</v>
      </c>
      <c r="F61" s="7" t="s">
        <v>225</v>
      </c>
      <c r="G61" s="7" t="s">
        <v>219</v>
      </c>
      <c r="H61" s="19" t="str">
        <f t="shared" si="1"/>
        <v/>
      </c>
      <c r="I61" s="19" t="s">
        <v>221</v>
      </c>
      <c r="J61" s="7" t="s">
        <v>315</v>
      </c>
      <c r="K61" s="1"/>
      <c r="L61" s="7" t="s">
        <v>195</v>
      </c>
    </row>
    <row r="62" spans="1:12" x14ac:dyDescent="0.25">
      <c r="A62" s="1"/>
      <c r="B62" s="7" t="s">
        <v>222</v>
      </c>
      <c r="C62" s="25">
        <v>20001119</v>
      </c>
      <c r="D62" s="7" t="s">
        <v>461</v>
      </c>
      <c r="E62" s="26">
        <v>1</v>
      </c>
      <c r="F62" s="7" t="s">
        <v>225</v>
      </c>
      <c r="G62" s="7" t="s">
        <v>219</v>
      </c>
      <c r="H62" s="19" t="str">
        <f t="shared" si="1"/>
        <v/>
      </c>
      <c r="I62" s="19" t="s">
        <v>221</v>
      </c>
      <c r="J62" s="7" t="s">
        <v>315</v>
      </c>
      <c r="K62" s="1"/>
      <c r="L62" s="7" t="s">
        <v>195</v>
      </c>
    </row>
    <row r="63" spans="1:12" x14ac:dyDescent="0.25">
      <c r="A63" s="1"/>
      <c r="B63" s="7" t="s">
        <v>222</v>
      </c>
      <c r="C63" s="25">
        <v>20001120</v>
      </c>
      <c r="D63" s="7" t="s">
        <v>462</v>
      </c>
      <c r="E63" s="26">
        <v>1</v>
      </c>
      <c r="F63" s="7" t="s">
        <v>225</v>
      </c>
      <c r="G63" s="7" t="s">
        <v>219</v>
      </c>
      <c r="H63" s="19" t="str">
        <f t="shared" si="1"/>
        <v/>
      </c>
      <c r="I63" s="19" t="s">
        <v>221</v>
      </c>
      <c r="J63" s="7" t="s">
        <v>315</v>
      </c>
      <c r="K63" s="1"/>
      <c r="L63" s="7" t="s">
        <v>195</v>
      </c>
    </row>
    <row r="64" spans="1:12" x14ac:dyDescent="0.25">
      <c r="A64" s="1"/>
      <c r="B64" s="7" t="s">
        <v>222</v>
      </c>
      <c r="C64" s="25">
        <v>20001121</v>
      </c>
      <c r="D64" s="7" t="s">
        <v>463</v>
      </c>
      <c r="E64" s="26">
        <v>1</v>
      </c>
      <c r="F64" s="7" t="s">
        <v>225</v>
      </c>
      <c r="G64" s="7" t="s">
        <v>219</v>
      </c>
      <c r="H64" s="19" t="str">
        <f t="shared" si="1"/>
        <v/>
      </c>
      <c r="I64" s="19" t="s">
        <v>221</v>
      </c>
      <c r="J64" s="7" t="s">
        <v>315</v>
      </c>
      <c r="K64" s="1"/>
      <c r="L64" s="7" t="s">
        <v>195</v>
      </c>
    </row>
    <row r="65" spans="1:12" x14ac:dyDescent="0.25">
      <c r="A65" s="1"/>
      <c r="B65" s="7" t="s">
        <v>222</v>
      </c>
      <c r="C65" s="25">
        <v>20001124</v>
      </c>
      <c r="D65" s="7" t="s">
        <v>466</v>
      </c>
      <c r="E65" s="26">
        <v>1</v>
      </c>
      <c r="F65" s="7" t="s">
        <v>225</v>
      </c>
      <c r="G65" s="7" t="s">
        <v>219</v>
      </c>
      <c r="H65" s="19" t="str">
        <f t="shared" si="1"/>
        <v/>
      </c>
      <c r="I65" s="19" t="s">
        <v>221</v>
      </c>
      <c r="J65" s="7" t="s">
        <v>347</v>
      </c>
      <c r="K65" s="1"/>
      <c r="L65" s="7" t="s">
        <v>195</v>
      </c>
    </row>
    <row r="66" spans="1:12" x14ac:dyDescent="0.25">
      <c r="A66" s="1"/>
      <c r="B66" s="7" t="s">
        <v>222</v>
      </c>
      <c r="C66" s="25">
        <v>20001125</v>
      </c>
      <c r="D66" s="7" t="s">
        <v>467</v>
      </c>
      <c r="E66" s="26">
        <v>1</v>
      </c>
      <c r="F66" s="7" t="s">
        <v>225</v>
      </c>
      <c r="G66" s="7" t="s">
        <v>219</v>
      </c>
      <c r="H66" s="19" t="str">
        <f t="shared" si="1"/>
        <v/>
      </c>
      <c r="I66" s="19" t="s">
        <v>221</v>
      </c>
      <c r="J66" s="7" t="s">
        <v>347</v>
      </c>
      <c r="K66" s="1"/>
      <c r="L66" s="7" t="s">
        <v>195</v>
      </c>
    </row>
    <row r="67" spans="1:12" x14ac:dyDescent="0.25">
      <c r="A67" s="1"/>
      <c r="B67" s="7" t="s">
        <v>222</v>
      </c>
      <c r="C67" s="25">
        <v>20001430</v>
      </c>
      <c r="D67" s="7" t="s">
        <v>559</v>
      </c>
      <c r="E67" s="26">
        <v>1</v>
      </c>
      <c r="F67" s="7" t="s">
        <v>225</v>
      </c>
      <c r="G67" s="7" t="s">
        <v>219</v>
      </c>
      <c r="H67" s="19" t="str">
        <f t="shared" si="1"/>
        <v/>
      </c>
      <c r="I67" s="19" t="s">
        <v>221</v>
      </c>
      <c r="J67" s="7" t="s">
        <v>385</v>
      </c>
      <c r="K67" s="1"/>
      <c r="L67" s="7" t="s">
        <v>195</v>
      </c>
    </row>
    <row r="68" spans="1:12" x14ac:dyDescent="0.25">
      <c r="A68" s="1"/>
      <c r="B68" s="7" t="s">
        <v>222</v>
      </c>
      <c r="C68" s="25">
        <v>20001431</v>
      </c>
      <c r="D68" s="7" t="s">
        <v>560</v>
      </c>
      <c r="E68" s="26">
        <v>1</v>
      </c>
      <c r="F68" s="7" t="s">
        <v>225</v>
      </c>
      <c r="G68" s="7" t="s">
        <v>219</v>
      </c>
      <c r="H68" s="19" t="str">
        <f t="shared" si="1"/>
        <v/>
      </c>
      <c r="I68" s="19" t="s">
        <v>221</v>
      </c>
      <c r="J68" s="7" t="s">
        <v>385</v>
      </c>
      <c r="K68" s="1"/>
      <c r="L68" s="7" t="s">
        <v>195</v>
      </c>
    </row>
    <row r="69" spans="1:12" x14ac:dyDescent="0.25">
      <c r="A69" s="1"/>
      <c r="B69" s="7" t="s">
        <v>222</v>
      </c>
      <c r="C69" s="25">
        <v>20001511</v>
      </c>
      <c r="D69" s="7" t="s">
        <v>586</v>
      </c>
      <c r="E69" s="26">
        <v>1</v>
      </c>
      <c r="F69" s="7" t="s">
        <v>225</v>
      </c>
      <c r="G69" s="7" t="s">
        <v>219</v>
      </c>
      <c r="H69" s="19" t="str">
        <f t="shared" si="1"/>
        <v/>
      </c>
      <c r="I69" s="19" t="s">
        <v>221</v>
      </c>
      <c r="J69" s="7" t="s">
        <v>348</v>
      </c>
      <c r="K69" s="1"/>
      <c r="L69" s="7" t="s">
        <v>195</v>
      </c>
    </row>
    <row r="70" spans="1:12" x14ac:dyDescent="0.25">
      <c r="A70" s="1"/>
      <c r="B70" s="7" t="s">
        <v>222</v>
      </c>
      <c r="C70" s="25">
        <v>20001721</v>
      </c>
      <c r="D70" s="7" t="s">
        <v>672</v>
      </c>
      <c r="E70" s="26">
        <v>1</v>
      </c>
      <c r="F70" s="7" t="s">
        <v>225</v>
      </c>
      <c r="G70" s="7" t="s">
        <v>219</v>
      </c>
      <c r="H70" s="19" t="str">
        <f t="shared" si="1"/>
        <v/>
      </c>
      <c r="I70" s="19" t="s">
        <v>221</v>
      </c>
      <c r="J70" s="7" t="s">
        <v>309</v>
      </c>
      <c r="K70" s="1"/>
      <c r="L70" s="7" t="s">
        <v>195</v>
      </c>
    </row>
    <row r="71" spans="1:12" x14ac:dyDescent="0.25">
      <c r="A71" s="1"/>
      <c r="B71" s="7" t="s">
        <v>229</v>
      </c>
      <c r="C71" s="25">
        <v>20001847</v>
      </c>
      <c r="D71" s="7" t="s">
        <v>715</v>
      </c>
      <c r="E71" s="26">
        <v>1</v>
      </c>
      <c r="F71" s="7" t="s">
        <v>225</v>
      </c>
      <c r="G71" s="7" t="s">
        <v>219</v>
      </c>
      <c r="H71" s="19" t="str">
        <f t="shared" si="1"/>
        <v/>
      </c>
      <c r="I71" s="19" t="s">
        <v>306</v>
      </c>
      <c r="J71" s="7" t="s">
        <v>313</v>
      </c>
      <c r="K71" s="1"/>
      <c r="L71" s="7" t="s">
        <v>195</v>
      </c>
    </row>
    <row r="72" spans="1:12" x14ac:dyDescent="0.25">
      <c r="A72" s="1"/>
      <c r="B72" s="7" t="s">
        <v>229</v>
      </c>
      <c r="C72" s="25">
        <v>20001848</v>
      </c>
      <c r="D72" s="7" t="s">
        <v>716</v>
      </c>
      <c r="E72" s="26">
        <v>1</v>
      </c>
      <c r="F72" s="7" t="s">
        <v>225</v>
      </c>
      <c r="G72" s="7" t="s">
        <v>219</v>
      </c>
      <c r="H72" s="19" t="str">
        <f t="shared" si="1"/>
        <v/>
      </c>
      <c r="I72" s="19" t="s">
        <v>306</v>
      </c>
      <c r="J72" s="7" t="s">
        <v>313</v>
      </c>
      <c r="K72" s="1"/>
      <c r="L72" s="7" t="s">
        <v>195</v>
      </c>
    </row>
    <row r="73" spans="1:12" x14ac:dyDescent="0.25">
      <c r="A73" s="1"/>
      <c r="B73" s="7" t="s">
        <v>229</v>
      </c>
      <c r="C73" s="25">
        <v>20001849</v>
      </c>
      <c r="D73" s="7" t="s">
        <v>717</v>
      </c>
      <c r="E73" s="26">
        <v>1</v>
      </c>
      <c r="F73" s="7" t="s">
        <v>225</v>
      </c>
      <c r="G73" s="7" t="s">
        <v>219</v>
      </c>
      <c r="H73" s="19" t="str">
        <f t="shared" si="1"/>
        <v/>
      </c>
      <c r="I73" s="19" t="s">
        <v>306</v>
      </c>
      <c r="J73" s="7" t="s">
        <v>313</v>
      </c>
      <c r="K73" s="1"/>
      <c r="L73" s="7" t="s">
        <v>195</v>
      </c>
    </row>
    <row r="74" spans="1:12" x14ac:dyDescent="0.25">
      <c r="A74" s="1"/>
      <c r="B74" s="7" t="s">
        <v>229</v>
      </c>
      <c r="C74" s="25">
        <v>20001850</v>
      </c>
      <c r="D74" s="7" t="s">
        <v>718</v>
      </c>
      <c r="E74" s="26">
        <v>1</v>
      </c>
      <c r="F74" s="7" t="s">
        <v>225</v>
      </c>
      <c r="G74" s="7" t="s">
        <v>219</v>
      </c>
      <c r="H74" s="19" t="str">
        <f t="shared" si="1"/>
        <v/>
      </c>
      <c r="I74" s="19" t="s">
        <v>306</v>
      </c>
      <c r="J74" s="7" t="s">
        <v>313</v>
      </c>
      <c r="K74" s="1"/>
      <c r="L74" s="7" t="s">
        <v>195</v>
      </c>
    </row>
    <row r="75" spans="1:12" x14ac:dyDescent="0.25">
      <c r="A75" s="1"/>
      <c r="B75" s="7" t="s">
        <v>229</v>
      </c>
      <c r="C75" s="25">
        <v>20001851</v>
      </c>
      <c r="D75" s="7" t="s">
        <v>719</v>
      </c>
      <c r="E75" s="26">
        <v>1</v>
      </c>
      <c r="F75" s="7" t="s">
        <v>225</v>
      </c>
      <c r="G75" s="7" t="s">
        <v>219</v>
      </c>
      <c r="H75" s="19" t="str">
        <f t="shared" si="1"/>
        <v/>
      </c>
      <c r="I75" s="19" t="s">
        <v>306</v>
      </c>
      <c r="J75" s="7" t="s">
        <v>313</v>
      </c>
      <c r="K75" s="1"/>
      <c r="L75" s="7" t="s">
        <v>195</v>
      </c>
    </row>
    <row r="76" spans="1:12" x14ac:dyDescent="0.25">
      <c r="A76" s="1"/>
      <c r="B76" s="7" t="s">
        <v>222</v>
      </c>
      <c r="C76" s="25">
        <v>20003531</v>
      </c>
      <c r="D76" s="7" t="s">
        <v>748</v>
      </c>
      <c r="E76" s="26">
        <v>1</v>
      </c>
      <c r="F76" s="7" t="s">
        <v>225</v>
      </c>
      <c r="G76" s="7" t="s">
        <v>219</v>
      </c>
      <c r="H76" s="19" t="str">
        <f t="shared" si="1"/>
        <v/>
      </c>
      <c r="I76" s="19" t="s">
        <v>221</v>
      </c>
      <c r="J76" s="7" t="s">
        <v>242</v>
      </c>
      <c r="K76" s="1"/>
      <c r="L76" s="7" t="s">
        <v>195</v>
      </c>
    </row>
    <row r="77" spans="1:12" x14ac:dyDescent="0.25">
      <c r="A77" s="1"/>
      <c r="B77" s="7" t="s">
        <v>222</v>
      </c>
      <c r="C77" s="25">
        <v>20004043</v>
      </c>
      <c r="D77" s="7" t="s">
        <v>905</v>
      </c>
      <c r="E77" s="26">
        <v>1</v>
      </c>
      <c r="F77" s="7" t="s">
        <v>225</v>
      </c>
      <c r="G77" s="7" t="s">
        <v>219</v>
      </c>
      <c r="H77" s="19" t="str">
        <f t="shared" si="1"/>
        <v/>
      </c>
      <c r="I77" s="19" t="s">
        <v>221</v>
      </c>
      <c r="J77" s="7" t="s">
        <v>311</v>
      </c>
      <c r="K77" s="1"/>
      <c r="L77" s="7" t="s">
        <v>195</v>
      </c>
    </row>
    <row r="78" spans="1:12" x14ac:dyDescent="0.25">
      <c r="A78" s="1"/>
      <c r="B78" s="7" t="s">
        <v>222</v>
      </c>
      <c r="C78" s="25">
        <v>20004044</v>
      </c>
      <c r="D78" s="7" t="s">
        <v>906</v>
      </c>
      <c r="E78" s="26">
        <v>1</v>
      </c>
      <c r="F78" s="7" t="s">
        <v>225</v>
      </c>
      <c r="G78" s="7" t="s">
        <v>219</v>
      </c>
      <c r="H78" s="19" t="str">
        <f t="shared" si="1"/>
        <v/>
      </c>
      <c r="I78" s="19" t="s">
        <v>221</v>
      </c>
      <c r="J78" s="7" t="s">
        <v>311</v>
      </c>
      <c r="K78" s="1"/>
      <c r="L78" s="7" t="s">
        <v>195</v>
      </c>
    </row>
    <row r="79" spans="1:12" x14ac:dyDescent="0.25">
      <c r="A79" s="1"/>
      <c r="B79" s="7" t="s">
        <v>222</v>
      </c>
      <c r="C79" s="25">
        <v>20004045</v>
      </c>
      <c r="D79" s="7" t="s">
        <v>907</v>
      </c>
      <c r="E79" s="26">
        <v>1</v>
      </c>
      <c r="F79" s="7" t="s">
        <v>225</v>
      </c>
      <c r="G79" s="7" t="s">
        <v>219</v>
      </c>
      <c r="H79" s="19" t="str">
        <f t="shared" ref="H79:H142" si="2">IF(A79="", "", A79*E79)</f>
        <v/>
      </c>
      <c r="I79" s="19" t="s">
        <v>221</v>
      </c>
      <c r="J79" s="7" t="s">
        <v>311</v>
      </c>
      <c r="K79" s="1"/>
      <c r="L79" s="7" t="s">
        <v>195</v>
      </c>
    </row>
    <row r="80" spans="1:12" x14ac:dyDescent="0.25">
      <c r="A80" s="1"/>
      <c r="B80" s="7" t="s">
        <v>343</v>
      </c>
      <c r="C80" s="25">
        <v>20004132</v>
      </c>
      <c r="D80" s="7" t="s">
        <v>913</v>
      </c>
      <c r="E80" s="26">
        <v>1</v>
      </c>
      <c r="F80" s="7" t="s">
        <v>225</v>
      </c>
      <c r="G80" s="7" t="s">
        <v>219</v>
      </c>
      <c r="H80" s="19" t="str">
        <f t="shared" si="2"/>
        <v/>
      </c>
      <c r="I80" s="19" t="s">
        <v>912</v>
      </c>
      <c r="J80" s="7" t="s">
        <v>309</v>
      </c>
      <c r="K80" s="1"/>
      <c r="L80" s="7" t="s">
        <v>195</v>
      </c>
    </row>
    <row r="81" spans="1:12" x14ac:dyDescent="0.25">
      <c r="A81" s="1"/>
      <c r="B81" s="7" t="s">
        <v>343</v>
      </c>
      <c r="C81" s="25">
        <v>20004134</v>
      </c>
      <c r="D81" s="7" t="s">
        <v>914</v>
      </c>
      <c r="E81" s="26">
        <v>1</v>
      </c>
      <c r="F81" s="7" t="s">
        <v>225</v>
      </c>
      <c r="G81" s="7" t="s">
        <v>219</v>
      </c>
      <c r="H81" s="19" t="str">
        <f t="shared" si="2"/>
        <v/>
      </c>
      <c r="I81" s="19" t="s">
        <v>912</v>
      </c>
      <c r="J81" s="7" t="s">
        <v>309</v>
      </c>
      <c r="K81" s="1"/>
      <c r="L81" s="7" t="s">
        <v>195</v>
      </c>
    </row>
    <row r="82" spans="1:12" x14ac:dyDescent="0.25">
      <c r="A82" s="1"/>
      <c r="B82" s="7" t="s">
        <v>227</v>
      </c>
      <c r="C82" s="25">
        <v>20004249</v>
      </c>
      <c r="D82" s="7" t="s">
        <v>915</v>
      </c>
      <c r="E82" s="26">
        <v>1</v>
      </c>
      <c r="F82" s="7" t="s">
        <v>225</v>
      </c>
      <c r="G82" s="7" t="s">
        <v>219</v>
      </c>
      <c r="H82" s="19" t="str">
        <f t="shared" si="2"/>
        <v/>
      </c>
      <c r="I82" s="19" t="s">
        <v>37</v>
      </c>
      <c r="J82" s="7" t="s">
        <v>242</v>
      </c>
      <c r="K82" s="1"/>
      <c r="L82" s="7" t="s">
        <v>195</v>
      </c>
    </row>
    <row r="83" spans="1:12" x14ac:dyDescent="0.25">
      <c r="A83" s="1"/>
      <c r="B83" s="7" t="s">
        <v>222</v>
      </c>
      <c r="C83" s="25">
        <v>20004336</v>
      </c>
      <c r="D83" s="7" t="s">
        <v>916</v>
      </c>
      <c r="E83" s="26">
        <v>1</v>
      </c>
      <c r="F83" s="7" t="s">
        <v>225</v>
      </c>
      <c r="G83" s="7" t="s">
        <v>219</v>
      </c>
      <c r="H83" s="19" t="str">
        <f t="shared" si="2"/>
        <v/>
      </c>
      <c r="I83" s="19" t="s">
        <v>221</v>
      </c>
      <c r="J83" s="7" t="s">
        <v>347</v>
      </c>
      <c r="K83" s="1"/>
      <c r="L83" s="7" t="s">
        <v>195</v>
      </c>
    </row>
    <row r="84" spans="1:12" x14ac:dyDescent="0.25">
      <c r="A84" s="1"/>
      <c r="B84" s="7" t="s">
        <v>230</v>
      </c>
      <c r="C84" s="25">
        <v>20004434</v>
      </c>
      <c r="D84" s="7" t="s">
        <v>922</v>
      </c>
      <c r="E84" s="26">
        <v>1</v>
      </c>
      <c r="F84" s="7" t="s">
        <v>225</v>
      </c>
      <c r="G84" s="7" t="s">
        <v>219</v>
      </c>
      <c r="H84" s="19" t="str">
        <f t="shared" si="2"/>
        <v/>
      </c>
      <c r="I84" s="19" t="s">
        <v>910</v>
      </c>
      <c r="J84" s="7" t="s">
        <v>397</v>
      </c>
      <c r="K84" s="1"/>
      <c r="L84" s="7" t="s">
        <v>195</v>
      </c>
    </row>
    <row r="85" spans="1:12" x14ac:dyDescent="0.25">
      <c r="A85" s="1"/>
      <c r="B85" s="7" t="s">
        <v>222</v>
      </c>
      <c r="C85" s="25">
        <v>20004437</v>
      </c>
      <c r="D85" s="7" t="s">
        <v>923</v>
      </c>
      <c r="E85" s="26">
        <v>1</v>
      </c>
      <c r="F85" s="7" t="s">
        <v>225</v>
      </c>
      <c r="G85" s="7" t="s">
        <v>219</v>
      </c>
      <c r="H85" s="19" t="str">
        <f t="shared" si="2"/>
        <v/>
      </c>
      <c r="I85" s="19" t="s">
        <v>221</v>
      </c>
      <c r="J85" s="7" t="s">
        <v>397</v>
      </c>
      <c r="K85" s="1"/>
      <c r="L85" s="7" t="s">
        <v>195</v>
      </c>
    </row>
    <row r="86" spans="1:12" x14ac:dyDescent="0.25">
      <c r="A86" s="1"/>
      <c r="B86" s="7" t="s">
        <v>222</v>
      </c>
      <c r="C86" s="25">
        <v>20004459</v>
      </c>
      <c r="D86" s="7" t="s">
        <v>927</v>
      </c>
      <c r="E86" s="26">
        <v>1</v>
      </c>
      <c r="F86" s="7" t="s">
        <v>225</v>
      </c>
      <c r="G86" s="7" t="s">
        <v>219</v>
      </c>
      <c r="H86" s="19" t="str">
        <f t="shared" si="2"/>
        <v/>
      </c>
      <c r="I86" s="19" t="s">
        <v>221</v>
      </c>
      <c r="J86" s="7" t="s">
        <v>397</v>
      </c>
      <c r="K86" s="1"/>
      <c r="L86" s="7" t="s">
        <v>195</v>
      </c>
    </row>
    <row r="87" spans="1:12" x14ac:dyDescent="0.25">
      <c r="A87" s="1"/>
      <c r="B87" s="7" t="s">
        <v>222</v>
      </c>
      <c r="C87" s="25">
        <v>20004461</v>
      </c>
      <c r="D87" s="7" t="s">
        <v>928</v>
      </c>
      <c r="E87" s="26">
        <v>1</v>
      </c>
      <c r="F87" s="7" t="s">
        <v>225</v>
      </c>
      <c r="G87" s="7" t="s">
        <v>219</v>
      </c>
      <c r="H87" s="19" t="str">
        <f t="shared" si="2"/>
        <v/>
      </c>
      <c r="I87" s="19" t="s">
        <v>221</v>
      </c>
      <c r="J87" s="7" t="s">
        <v>397</v>
      </c>
      <c r="K87" s="1"/>
      <c r="L87" s="7" t="s">
        <v>195</v>
      </c>
    </row>
    <row r="88" spans="1:12" x14ac:dyDescent="0.25">
      <c r="A88" s="1"/>
      <c r="B88" s="7" t="s">
        <v>222</v>
      </c>
      <c r="C88" s="25">
        <v>20004474</v>
      </c>
      <c r="D88" s="7" t="s">
        <v>930</v>
      </c>
      <c r="E88" s="26">
        <v>1</v>
      </c>
      <c r="F88" s="7" t="s">
        <v>225</v>
      </c>
      <c r="G88" s="7" t="s">
        <v>219</v>
      </c>
      <c r="H88" s="19" t="str">
        <f t="shared" si="2"/>
        <v/>
      </c>
      <c r="I88" s="19" t="s">
        <v>221</v>
      </c>
      <c r="J88" s="7" t="s">
        <v>440</v>
      </c>
      <c r="K88" s="1"/>
      <c r="L88" s="7" t="s">
        <v>195</v>
      </c>
    </row>
    <row r="89" spans="1:12" x14ac:dyDescent="0.25">
      <c r="A89" s="1"/>
      <c r="B89" s="7" t="s">
        <v>222</v>
      </c>
      <c r="C89" s="25">
        <v>20004476</v>
      </c>
      <c r="D89" s="7" t="s">
        <v>931</v>
      </c>
      <c r="E89" s="26">
        <v>1</v>
      </c>
      <c r="F89" s="7" t="s">
        <v>225</v>
      </c>
      <c r="G89" s="7" t="s">
        <v>219</v>
      </c>
      <c r="H89" s="19" t="str">
        <f t="shared" si="2"/>
        <v/>
      </c>
      <c r="I89" s="19" t="s">
        <v>221</v>
      </c>
      <c r="J89" s="7" t="s">
        <v>327</v>
      </c>
      <c r="K89" s="1"/>
      <c r="L89" s="7" t="s">
        <v>195</v>
      </c>
    </row>
    <row r="90" spans="1:12" x14ac:dyDescent="0.25">
      <c r="A90" s="1"/>
      <c r="B90" s="7" t="s">
        <v>226</v>
      </c>
      <c r="C90" s="25">
        <v>20004862</v>
      </c>
      <c r="D90" s="7" t="s">
        <v>932</v>
      </c>
      <c r="E90" s="26">
        <v>1</v>
      </c>
      <c r="F90" s="7" t="s">
        <v>225</v>
      </c>
      <c r="G90" s="7" t="s">
        <v>219</v>
      </c>
      <c r="H90" s="19" t="str">
        <f t="shared" si="2"/>
        <v/>
      </c>
      <c r="I90" s="19" t="s">
        <v>310</v>
      </c>
      <c r="J90" s="7" t="s">
        <v>347</v>
      </c>
      <c r="K90" s="1"/>
      <c r="L90" s="7" t="s">
        <v>195</v>
      </c>
    </row>
    <row r="91" spans="1:12" x14ac:dyDescent="0.25">
      <c r="A91" s="1"/>
      <c r="B91" s="7" t="s">
        <v>222</v>
      </c>
      <c r="C91" s="25">
        <v>20004960</v>
      </c>
      <c r="D91" s="7" t="s">
        <v>934</v>
      </c>
      <c r="E91" s="26">
        <v>1</v>
      </c>
      <c r="F91" s="7" t="s">
        <v>225</v>
      </c>
      <c r="G91" s="7" t="s">
        <v>219</v>
      </c>
      <c r="H91" s="19" t="str">
        <f t="shared" si="2"/>
        <v/>
      </c>
      <c r="I91" s="19" t="s">
        <v>221</v>
      </c>
      <c r="J91" s="7" t="s">
        <v>315</v>
      </c>
      <c r="K91" s="1"/>
      <c r="L91" s="7" t="s">
        <v>195</v>
      </c>
    </row>
    <row r="92" spans="1:12" x14ac:dyDescent="0.25">
      <c r="A92" s="1"/>
      <c r="B92" s="7" t="s">
        <v>222</v>
      </c>
      <c r="C92" s="25">
        <v>20005037</v>
      </c>
      <c r="D92" s="7" t="s">
        <v>939</v>
      </c>
      <c r="E92" s="26">
        <v>1</v>
      </c>
      <c r="F92" s="7" t="s">
        <v>225</v>
      </c>
      <c r="G92" s="7" t="s">
        <v>219</v>
      </c>
      <c r="H92" s="19" t="str">
        <f t="shared" si="2"/>
        <v/>
      </c>
      <c r="I92" s="19" t="s">
        <v>221</v>
      </c>
      <c r="J92" s="7" t="s">
        <v>347</v>
      </c>
      <c r="K92" s="1"/>
      <c r="L92" s="7" t="s">
        <v>195</v>
      </c>
    </row>
    <row r="93" spans="1:12" x14ac:dyDescent="0.25">
      <c r="A93" s="1"/>
      <c r="B93" s="7" t="s">
        <v>222</v>
      </c>
      <c r="C93" s="25">
        <v>20005038</v>
      </c>
      <c r="D93" s="7" t="s">
        <v>940</v>
      </c>
      <c r="E93" s="26">
        <v>1</v>
      </c>
      <c r="F93" s="7" t="s">
        <v>225</v>
      </c>
      <c r="G93" s="7" t="s">
        <v>219</v>
      </c>
      <c r="H93" s="19" t="str">
        <f t="shared" si="2"/>
        <v/>
      </c>
      <c r="I93" s="19" t="s">
        <v>221</v>
      </c>
      <c r="J93" s="7" t="s">
        <v>347</v>
      </c>
      <c r="K93" s="1"/>
      <c r="L93" s="7" t="s">
        <v>195</v>
      </c>
    </row>
    <row r="94" spans="1:12" x14ac:dyDescent="0.25">
      <c r="A94" s="1"/>
      <c r="B94" s="7" t="s">
        <v>227</v>
      </c>
      <c r="C94" s="25">
        <v>20005141</v>
      </c>
      <c r="D94" s="7" t="s">
        <v>948</v>
      </c>
      <c r="E94" s="26">
        <v>1</v>
      </c>
      <c r="F94" s="7" t="s">
        <v>225</v>
      </c>
      <c r="G94" s="7" t="s">
        <v>219</v>
      </c>
      <c r="H94" s="19" t="str">
        <f t="shared" si="2"/>
        <v/>
      </c>
      <c r="I94" s="19" t="s">
        <v>37</v>
      </c>
      <c r="J94" s="7" t="s">
        <v>402</v>
      </c>
      <c r="K94" s="1"/>
      <c r="L94" s="7" t="s">
        <v>232</v>
      </c>
    </row>
    <row r="95" spans="1:12" x14ac:dyDescent="0.25">
      <c r="A95" s="1"/>
      <c r="B95" s="7" t="s">
        <v>229</v>
      </c>
      <c r="C95" s="25">
        <v>20005201</v>
      </c>
      <c r="D95" s="7" t="s">
        <v>953</v>
      </c>
      <c r="E95" s="26">
        <v>1</v>
      </c>
      <c r="F95" s="7" t="s">
        <v>225</v>
      </c>
      <c r="G95" s="7" t="s">
        <v>219</v>
      </c>
      <c r="H95" s="19" t="str">
        <f t="shared" si="2"/>
        <v/>
      </c>
      <c r="I95" s="19" t="s">
        <v>306</v>
      </c>
      <c r="J95" s="7" t="s">
        <v>313</v>
      </c>
      <c r="K95" s="1"/>
      <c r="L95" s="7" t="s">
        <v>195</v>
      </c>
    </row>
    <row r="96" spans="1:12" x14ac:dyDescent="0.25">
      <c r="A96" s="1"/>
      <c r="B96" s="7" t="s">
        <v>222</v>
      </c>
      <c r="C96" s="25">
        <v>20005257</v>
      </c>
      <c r="D96" s="7" t="s">
        <v>966</v>
      </c>
      <c r="E96" s="26">
        <v>1</v>
      </c>
      <c r="F96" s="7" t="s">
        <v>225</v>
      </c>
      <c r="G96" s="7" t="s">
        <v>219</v>
      </c>
      <c r="H96" s="19" t="str">
        <f t="shared" si="2"/>
        <v/>
      </c>
      <c r="I96" s="19" t="s">
        <v>221</v>
      </c>
      <c r="J96" s="7" t="s">
        <v>347</v>
      </c>
      <c r="K96" s="1"/>
      <c r="L96" s="7" t="s">
        <v>195</v>
      </c>
    </row>
    <row r="97" spans="1:12" x14ac:dyDescent="0.25">
      <c r="A97" s="1"/>
      <c r="B97" s="7" t="s">
        <v>222</v>
      </c>
      <c r="C97" s="25">
        <v>20005259</v>
      </c>
      <c r="D97" s="7" t="s">
        <v>968</v>
      </c>
      <c r="E97" s="26">
        <v>1</v>
      </c>
      <c r="F97" s="7" t="s">
        <v>225</v>
      </c>
      <c r="G97" s="7" t="s">
        <v>219</v>
      </c>
      <c r="H97" s="19" t="str">
        <f t="shared" si="2"/>
        <v/>
      </c>
      <c r="I97" s="19" t="s">
        <v>221</v>
      </c>
      <c r="J97" s="7" t="s">
        <v>347</v>
      </c>
      <c r="K97" s="1"/>
      <c r="L97" s="7" t="s">
        <v>195</v>
      </c>
    </row>
    <row r="98" spans="1:12" x14ac:dyDescent="0.25">
      <c r="A98" s="1"/>
      <c r="B98" s="7" t="s">
        <v>222</v>
      </c>
      <c r="C98" s="25">
        <v>20005263</v>
      </c>
      <c r="D98" s="7" t="s">
        <v>969</v>
      </c>
      <c r="E98" s="26">
        <v>1</v>
      </c>
      <c r="F98" s="7" t="s">
        <v>225</v>
      </c>
      <c r="G98" s="7" t="s">
        <v>219</v>
      </c>
      <c r="H98" s="19" t="str">
        <f t="shared" si="2"/>
        <v/>
      </c>
      <c r="I98" s="19" t="s">
        <v>221</v>
      </c>
      <c r="J98" s="7" t="s">
        <v>315</v>
      </c>
      <c r="K98" s="1"/>
      <c r="L98" s="7" t="s">
        <v>195</v>
      </c>
    </row>
    <row r="99" spans="1:12" x14ac:dyDescent="0.25">
      <c r="A99" s="1"/>
      <c r="B99" s="7" t="s">
        <v>222</v>
      </c>
      <c r="C99" s="25">
        <v>20005264</v>
      </c>
      <c r="D99" s="7" t="s">
        <v>970</v>
      </c>
      <c r="E99" s="26">
        <v>1</v>
      </c>
      <c r="F99" s="7" t="s">
        <v>225</v>
      </c>
      <c r="G99" s="7" t="s">
        <v>219</v>
      </c>
      <c r="H99" s="19" t="str">
        <f t="shared" si="2"/>
        <v/>
      </c>
      <c r="I99" s="19" t="s">
        <v>221</v>
      </c>
      <c r="J99" s="7" t="s">
        <v>315</v>
      </c>
      <c r="K99" s="1"/>
      <c r="L99" s="7" t="s">
        <v>195</v>
      </c>
    </row>
    <row r="100" spans="1:12" x14ac:dyDescent="0.25">
      <c r="A100" s="1"/>
      <c r="B100" s="7" t="s">
        <v>222</v>
      </c>
      <c r="C100" s="25">
        <v>20005265</v>
      </c>
      <c r="D100" s="7" t="s">
        <v>11508</v>
      </c>
      <c r="E100" s="26">
        <v>1</v>
      </c>
      <c r="F100" s="7" t="s">
        <v>225</v>
      </c>
      <c r="G100" s="7" t="s">
        <v>219</v>
      </c>
      <c r="H100" s="19" t="str">
        <f t="shared" si="2"/>
        <v/>
      </c>
      <c r="I100" s="19" t="s">
        <v>221</v>
      </c>
      <c r="J100" s="7" t="s">
        <v>315</v>
      </c>
      <c r="K100" s="1"/>
      <c r="L100" s="7" t="s">
        <v>195</v>
      </c>
    </row>
    <row r="101" spans="1:12" x14ac:dyDescent="0.25">
      <c r="A101" s="1"/>
      <c r="B101" s="7" t="s">
        <v>222</v>
      </c>
      <c r="C101" s="25">
        <v>20005266</v>
      </c>
      <c r="D101" s="7" t="s">
        <v>971</v>
      </c>
      <c r="E101" s="26">
        <v>1</v>
      </c>
      <c r="F101" s="7" t="s">
        <v>225</v>
      </c>
      <c r="G101" s="7" t="s">
        <v>219</v>
      </c>
      <c r="H101" s="19" t="str">
        <f t="shared" si="2"/>
        <v/>
      </c>
      <c r="I101" s="19" t="s">
        <v>221</v>
      </c>
      <c r="J101" s="7" t="s">
        <v>315</v>
      </c>
      <c r="K101" s="1"/>
      <c r="L101" s="7" t="s">
        <v>195</v>
      </c>
    </row>
    <row r="102" spans="1:12" x14ac:dyDescent="0.25">
      <c r="A102" s="1"/>
      <c r="B102" s="7" t="s">
        <v>222</v>
      </c>
      <c r="C102" s="25">
        <v>20005270</v>
      </c>
      <c r="D102" s="7" t="s">
        <v>973</v>
      </c>
      <c r="E102" s="26">
        <v>1</v>
      </c>
      <c r="F102" s="7" t="s">
        <v>225</v>
      </c>
      <c r="G102" s="7" t="s">
        <v>219</v>
      </c>
      <c r="H102" s="19" t="str">
        <f t="shared" si="2"/>
        <v/>
      </c>
      <c r="I102" s="19" t="s">
        <v>221</v>
      </c>
      <c r="J102" s="7" t="s">
        <v>347</v>
      </c>
      <c r="K102" s="1"/>
      <c r="L102" s="7" t="s">
        <v>195</v>
      </c>
    </row>
    <row r="103" spans="1:12" x14ac:dyDescent="0.25">
      <c r="A103" s="1"/>
      <c r="B103" s="7" t="s">
        <v>222</v>
      </c>
      <c r="C103" s="25">
        <v>20005296</v>
      </c>
      <c r="D103" s="7" t="s">
        <v>975</v>
      </c>
      <c r="E103" s="26">
        <v>1</v>
      </c>
      <c r="F103" s="7" t="s">
        <v>225</v>
      </c>
      <c r="G103" s="7" t="s">
        <v>219</v>
      </c>
      <c r="H103" s="19" t="str">
        <f t="shared" si="2"/>
        <v/>
      </c>
      <c r="I103" s="19" t="s">
        <v>221</v>
      </c>
      <c r="J103" s="7" t="s">
        <v>313</v>
      </c>
      <c r="K103" s="1"/>
      <c r="L103" s="7" t="s">
        <v>195</v>
      </c>
    </row>
    <row r="104" spans="1:12" x14ac:dyDescent="0.25">
      <c r="A104" s="1"/>
      <c r="B104" s="7" t="s">
        <v>343</v>
      </c>
      <c r="C104" s="25">
        <v>20005450</v>
      </c>
      <c r="D104" s="7" t="s">
        <v>984</v>
      </c>
      <c r="E104" s="26">
        <v>1</v>
      </c>
      <c r="F104" s="7" t="s">
        <v>225</v>
      </c>
      <c r="G104" s="7" t="s">
        <v>219</v>
      </c>
      <c r="H104" s="19" t="str">
        <f t="shared" si="2"/>
        <v/>
      </c>
      <c r="I104" s="19" t="s">
        <v>912</v>
      </c>
      <c r="J104" s="7" t="s">
        <v>345</v>
      </c>
      <c r="K104" s="1"/>
      <c r="L104" s="7" t="s">
        <v>195</v>
      </c>
    </row>
    <row r="105" spans="1:12" x14ac:dyDescent="0.25">
      <c r="A105" s="1"/>
      <c r="B105" s="7" t="s">
        <v>343</v>
      </c>
      <c r="C105" s="25">
        <v>20005451</v>
      </c>
      <c r="D105" s="7" t="s">
        <v>985</v>
      </c>
      <c r="E105" s="26">
        <v>1</v>
      </c>
      <c r="F105" s="7" t="s">
        <v>225</v>
      </c>
      <c r="G105" s="7" t="s">
        <v>219</v>
      </c>
      <c r="H105" s="19" t="str">
        <f t="shared" si="2"/>
        <v/>
      </c>
      <c r="I105" s="19" t="s">
        <v>912</v>
      </c>
      <c r="J105" s="7" t="s">
        <v>345</v>
      </c>
      <c r="K105" s="1"/>
      <c r="L105" s="7" t="s">
        <v>195</v>
      </c>
    </row>
    <row r="106" spans="1:12" x14ac:dyDescent="0.25">
      <c r="A106" s="1"/>
      <c r="B106" s="7" t="s">
        <v>222</v>
      </c>
      <c r="C106" s="25">
        <v>20005459</v>
      </c>
      <c r="D106" s="7" t="s">
        <v>986</v>
      </c>
      <c r="E106" s="26">
        <v>1</v>
      </c>
      <c r="F106" s="7" t="s">
        <v>225</v>
      </c>
      <c r="G106" s="7" t="s">
        <v>219</v>
      </c>
      <c r="H106" s="19" t="str">
        <f t="shared" si="2"/>
        <v/>
      </c>
      <c r="I106" s="19" t="s">
        <v>221</v>
      </c>
      <c r="J106" s="7" t="s">
        <v>345</v>
      </c>
      <c r="K106" s="1"/>
      <c r="L106" s="7" t="s">
        <v>195</v>
      </c>
    </row>
    <row r="107" spans="1:12" x14ac:dyDescent="0.25">
      <c r="A107" s="1"/>
      <c r="B107" s="7" t="s">
        <v>222</v>
      </c>
      <c r="C107" s="25">
        <v>20005475</v>
      </c>
      <c r="D107" s="7" t="s">
        <v>988</v>
      </c>
      <c r="E107" s="26">
        <v>1</v>
      </c>
      <c r="F107" s="7" t="s">
        <v>225</v>
      </c>
      <c r="G107" s="7" t="s">
        <v>219</v>
      </c>
      <c r="H107" s="19" t="str">
        <f t="shared" si="2"/>
        <v/>
      </c>
      <c r="I107" s="19" t="s">
        <v>221</v>
      </c>
      <c r="J107" s="7" t="s">
        <v>954</v>
      </c>
      <c r="K107" s="1"/>
      <c r="L107" s="7" t="s">
        <v>195</v>
      </c>
    </row>
    <row r="108" spans="1:12" x14ac:dyDescent="0.25">
      <c r="A108" s="1"/>
      <c r="B108" s="7" t="s">
        <v>222</v>
      </c>
      <c r="C108" s="25">
        <v>20005493</v>
      </c>
      <c r="D108" s="7" t="s">
        <v>992</v>
      </c>
      <c r="E108" s="26">
        <v>1</v>
      </c>
      <c r="F108" s="7" t="s">
        <v>225</v>
      </c>
      <c r="G108" s="7" t="s">
        <v>219</v>
      </c>
      <c r="H108" s="19" t="str">
        <f t="shared" si="2"/>
        <v/>
      </c>
      <c r="I108" s="19" t="s">
        <v>221</v>
      </c>
      <c r="J108" s="7" t="s">
        <v>347</v>
      </c>
      <c r="K108" s="1"/>
      <c r="L108" s="7" t="s">
        <v>195</v>
      </c>
    </row>
    <row r="109" spans="1:12" x14ac:dyDescent="0.25">
      <c r="A109" s="1"/>
      <c r="B109" s="7" t="s">
        <v>222</v>
      </c>
      <c r="C109" s="25">
        <v>20005497</v>
      </c>
      <c r="D109" s="7" t="s">
        <v>993</v>
      </c>
      <c r="E109" s="26">
        <v>1</v>
      </c>
      <c r="F109" s="7" t="s">
        <v>225</v>
      </c>
      <c r="G109" s="7" t="s">
        <v>219</v>
      </c>
      <c r="H109" s="19" t="str">
        <f t="shared" si="2"/>
        <v/>
      </c>
      <c r="I109" s="19" t="s">
        <v>221</v>
      </c>
      <c r="J109" s="7" t="s">
        <v>347</v>
      </c>
      <c r="K109" s="1"/>
      <c r="L109" s="7" t="s">
        <v>195</v>
      </c>
    </row>
    <row r="110" spans="1:12" x14ac:dyDescent="0.25">
      <c r="A110" s="1"/>
      <c r="B110" s="7" t="s">
        <v>222</v>
      </c>
      <c r="C110" s="25">
        <v>20005499</v>
      </c>
      <c r="D110" s="7" t="s">
        <v>994</v>
      </c>
      <c r="E110" s="26">
        <v>1</v>
      </c>
      <c r="F110" s="7" t="s">
        <v>225</v>
      </c>
      <c r="G110" s="7" t="s">
        <v>219</v>
      </c>
      <c r="H110" s="19" t="str">
        <f t="shared" si="2"/>
        <v/>
      </c>
      <c r="I110" s="19" t="s">
        <v>221</v>
      </c>
      <c r="J110" s="7" t="s">
        <v>347</v>
      </c>
      <c r="K110" s="1"/>
      <c r="L110" s="7" t="s">
        <v>195</v>
      </c>
    </row>
    <row r="111" spans="1:12" x14ac:dyDescent="0.25">
      <c r="A111" s="1"/>
      <c r="B111" s="7" t="s">
        <v>222</v>
      </c>
      <c r="C111" s="25">
        <v>20005551</v>
      </c>
      <c r="D111" s="7" t="s">
        <v>997</v>
      </c>
      <c r="E111" s="26">
        <v>1</v>
      </c>
      <c r="F111" s="7" t="s">
        <v>225</v>
      </c>
      <c r="G111" s="7" t="s">
        <v>219</v>
      </c>
      <c r="H111" s="19" t="str">
        <f t="shared" si="2"/>
        <v/>
      </c>
      <c r="I111" s="19" t="s">
        <v>221</v>
      </c>
      <c r="J111" s="7" t="s">
        <v>315</v>
      </c>
      <c r="K111" s="1"/>
      <c r="L111" s="7" t="s">
        <v>195</v>
      </c>
    </row>
    <row r="112" spans="1:12" x14ac:dyDescent="0.25">
      <c r="A112" s="1"/>
      <c r="B112" s="7" t="s">
        <v>222</v>
      </c>
      <c r="C112" s="25">
        <v>20005555</v>
      </c>
      <c r="D112" s="7" t="s">
        <v>998</v>
      </c>
      <c r="E112" s="26">
        <v>1</v>
      </c>
      <c r="F112" s="7" t="s">
        <v>225</v>
      </c>
      <c r="G112" s="7" t="s">
        <v>219</v>
      </c>
      <c r="H112" s="19" t="str">
        <f t="shared" si="2"/>
        <v/>
      </c>
      <c r="I112" s="19" t="s">
        <v>221</v>
      </c>
      <c r="J112" s="7" t="s">
        <v>315</v>
      </c>
      <c r="K112" s="1"/>
      <c r="L112" s="7" t="s">
        <v>195</v>
      </c>
    </row>
    <row r="113" spans="1:12" x14ac:dyDescent="0.25">
      <c r="A113" s="1"/>
      <c r="B113" s="7" t="s">
        <v>4785</v>
      </c>
      <c r="C113" s="25">
        <v>20005863</v>
      </c>
      <c r="D113" s="7" t="s">
        <v>1014</v>
      </c>
      <c r="E113" s="26">
        <v>1</v>
      </c>
      <c r="F113" s="7" t="s">
        <v>225</v>
      </c>
      <c r="G113" s="7" t="s">
        <v>219</v>
      </c>
      <c r="H113" s="19" t="str">
        <f t="shared" si="2"/>
        <v/>
      </c>
      <c r="I113" s="19" t="s">
        <v>321</v>
      </c>
      <c r="J113" s="7" t="s">
        <v>246</v>
      </c>
      <c r="K113" s="1"/>
      <c r="L113" s="7" t="s">
        <v>195</v>
      </c>
    </row>
    <row r="114" spans="1:12" x14ac:dyDescent="0.25">
      <c r="A114" s="1"/>
      <c r="B114" s="7" t="s">
        <v>222</v>
      </c>
      <c r="C114" s="25">
        <v>20005888</v>
      </c>
      <c r="D114" s="7" t="s">
        <v>1023</v>
      </c>
      <c r="E114" s="26">
        <v>1</v>
      </c>
      <c r="F114" s="7" t="s">
        <v>225</v>
      </c>
      <c r="G114" s="7" t="s">
        <v>219</v>
      </c>
      <c r="H114" s="19" t="str">
        <f t="shared" si="2"/>
        <v/>
      </c>
      <c r="I114" s="19" t="s">
        <v>221</v>
      </c>
      <c r="J114" s="7" t="s">
        <v>246</v>
      </c>
      <c r="K114" s="1"/>
      <c r="L114" s="7" t="s">
        <v>195</v>
      </c>
    </row>
    <row r="115" spans="1:12" x14ac:dyDescent="0.25">
      <c r="A115" s="1"/>
      <c r="B115" s="7" t="s">
        <v>222</v>
      </c>
      <c r="C115" s="25">
        <v>20005911</v>
      </c>
      <c r="D115" s="7" t="s">
        <v>1024</v>
      </c>
      <c r="E115" s="26">
        <v>1</v>
      </c>
      <c r="F115" s="7" t="s">
        <v>225</v>
      </c>
      <c r="G115" s="7" t="s">
        <v>219</v>
      </c>
      <c r="H115" s="19" t="str">
        <f t="shared" si="2"/>
        <v/>
      </c>
      <c r="I115" s="19" t="s">
        <v>221</v>
      </c>
      <c r="J115" s="7" t="s">
        <v>246</v>
      </c>
      <c r="K115" s="1"/>
      <c r="L115" s="7" t="s">
        <v>195</v>
      </c>
    </row>
    <row r="116" spans="1:12" x14ac:dyDescent="0.25">
      <c r="A116" s="1"/>
      <c r="B116" s="7" t="s">
        <v>222</v>
      </c>
      <c r="C116" s="25">
        <v>20006086</v>
      </c>
      <c r="D116" s="7" t="s">
        <v>1031</v>
      </c>
      <c r="E116" s="26">
        <v>1</v>
      </c>
      <c r="F116" s="7" t="s">
        <v>352</v>
      </c>
      <c r="G116" s="7" t="s">
        <v>184</v>
      </c>
      <c r="H116" s="19" t="str">
        <f t="shared" si="2"/>
        <v/>
      </c>
      <c r="I116" s="19" t="s">
        <v>221</v>
      </c>
      <c r="J116" s="7" t="s">
        <v>313</v>
      </c>
      <c r="K116" s="1"/>
      <c r="L116" s="7" t="s">
        <v>195</v>
      </c>
    </row>
    <row r="117" spans="1:12" x14ac:dyDescent="0.25">
      <c r="A117" s="1"/>
      <c r="B117" s="7" t="s">
        <v>222</v>
      </c>
      <c r="C117" s="25">
        <v>20006089</v>
      </c>
      <c r="D117" s="7" t="s">
        <v>1032</v>
      </c>
      <c r="E117" s="26">
        <v>1</v>
      </c>
      <c r="F117" s="7" t="s">
        <v>225</v>
      </c>
      <c r="G117" s="7" t="s">
        <v>219</v>
      </c>
      <c r="H117" s="19" t="str">
        <f t="shared" si="2"/>
        <v/>
      </c>
      <c r="I117" s="19" t="s">
        <v>221</v>
      </c>
      <c r="J117" s="7" t="s">
        <v>313</v>
      </c>
      <c r="K117" s="1"/>
      <c r="L117" s="7" t="s">
        <v>195</v>
      </c>
    </row>
    <row r="118" spans="1:12" x14ac:dyDescent="0.25">
      <c r="A118" s="1"/>
      <c r="B118" s="7" t="s">
        <v>222</v>
      </c>
      <c r="C118" s="25">
        <v>20006091</v>
      </c>
      <c r="D118" s="7" t="s">
        <v>1034</v>
      </c>
      <c r="E118" s="26">
        <v>1</v>
      </c>
      <c r="F118" s="7" t="s">
        <v>225</v>
      </c>
      <c r="G118" s="7" t="s">
        <v>219</v>
      </c>
      <c r="H118" s="19" t="str">
        <f t="shared" si="2"/>
        <v/>
      </c>
      <c r="I118" s="19" t="s">
        <v>221</v>
      </c>
      <c r="J118" s="7" t="s">
        <v>313</v>
      </c>
      <c r="K118" s="1"/>
      <c r="L118" s="7" t="s">
        <v>195</v>
      </c>
    </row>
    <row r="119" spans="1:12" x14ac:dyDescent="0.25">
      <c r="A119" s="1"/>
      <c r="B119" s="7" t="s">
        <v>222</v>
      </c>
      <c r="C119" s="25">
        <v>20006176</v>
      </c>
      <c r="D119" s="7" t="s">
        <v>1037</v>
      </c>
      <c r="E119" s="26">
        <v>1</v>
      </c>
      <c r="F119" s="7" t="s">
        <v>225</v>
      </c>
      <c r="G119" s="7" t="s">
        <v>219</v>
      </c>
      <c r="H119" s="19" t="str">
        <f t="shared" si="2"/>
        <v/>
      </c>
      <c r="I119" s="19" t="s">
        <v>221</v>
      </c>
      <c r="J119" s="7" t="s">
        <v>440</v>
      </c>
      <c r="K119" s="1"/>
      <c r="L119" s="7" t="s">
        <v>195</v>
      </c>
    </row>
    <row r="120" spans="1:12" x14ac:dyDescent="0.25">
      <c r="A120" s="1"/>
      <c r="B120" s="7" t="s">
        <v>222</v>
      </c>
      <c r="C120" s="25">
        <v>20006759</v>
      </c>
      <c r="D120" s="7" t="s">
        <v>1086</v>
      </c>
      <c r="E120" s="26">
        <v>1</v>
      </c>
      <c r="F120" s="7" t="s">
        <v>225</v>
      </c>
      <c r="G120" s="7" t="s">
        <v>219</v>
      </c>
      <c r="H120" s="19" t="str">
        <f t="shared" si="2"/>
        <v/>
      </c>
      <c r="I120" s="19" t="s">
        <v>221</v>
      </c>
      <c r="J120" s="7" t="s">
        <v>327</v>
      </c>
      <c r="K120" s="1"/>
      <c r="L120" s="7" t="s">
        <v>195</v>
      </c>
    </row>
    <row r="121" spans="1:12" x14ac:dyDescent="0.25">
      <c r="A121" s="1"/>
      <c r="B121" s="7" t="s">
        <v>222</v>
      </c>
      <c r="C121" s="25">
        <v>20008214</v>
      </c>
      <c r="D121" s="7" t="s">
        <v>1101</v>
      </c>
      <c r="E121" s="26">
        <v>1</v>
      </c>
      <c r="F121" s="7" t="s">
        <v>352</v>
      </c>
      <c r="G121" s="7" t="s">
        <v>185</v>
      </c>
      <c r="H121" s="19" t="str">
        <f t="shared" si="2"/>
        <v/>
      </c>
      <c r="I121" s="19" t="s">
        <v>221</v>
      </c>
      <c r="J121" s="7" t="s">
        <v>347</v>
      </c>
      <c r="K121" s="1"/>
      <c r="L121" s="7" t="s">
        <v>195</v>
      </c>
    </row>
    <row r="122" spans="1:12" x14ac:dyDescent="0.25">
      <c r="A122" s="1"/>
      <c r="B122" s="7" t="s">
        <v>229</v>
      </c>
      <c r="C122" s="25">
        <v>20008583</v>
      </c>
      <c r="D122" s="7" t="s">
        <v>1116</v>
      </c>
      <c r="E122" s="26">
        <v>1</v>
      </c>
      <c r="F122" s="7" t="s">
        <v>225</v>
      </c>
      <c r="G122" s="7" t="s">
        <v>219</v>
      </c>
      <c r="H122" s="19" t="str">
        <f t="shared" si="2"/>
        <v/>
      </c>
      <c r="I122" s="19" t="s">
        <v>306</v>
      </c>
      <c r="J122" s="7" t="s">
        <v>246</v>
      </c>
      <c r="K122" s="1"/>
      <c r="L122" s="7" t="s">
        <v>195</v>
      </c>
    </row>
    <row r="123" spans="1:12" x14ac:dyDescent="0.25">
      <c r="A123" s="1"/>
      <c r="B123" s="7" t="s">
        <v>222</v>
      </c>
      <c r="C123" s="25">
        <v>20008634</v>
      </c>
      <c r="D123" s="7" t="s">
        <v>1117</v>
      </c>
      <c r="E123" s="26">
        <v>1</v>
      </c>
      <c r="F123" s="7" t="s">
        <v>225</v>
      </c>
      <c r="G123" s="7" t="s">
        <v>219</v>
      </c>
      <c r="H123" s="19" t="str">
        <f t="shared" si="2"/>
        <v/>
      </c>
      <c r="I123" s="19" t="s">
        <v>221</v>
      </c>
      <c r="J123" s="7" t="s">
        <v>313</v>
      </c>
      <c r="K123" s="1"/>
      <c r="L123" s="7" t="s">
        <v>195</v>
      </c>
    </row>
    <row r="124" spans="1:12" x14ac:dyDescent="0.25">
      <c r="A124" s="1"/>
      <c r="B124" s="7" t="s">
        <v>227</v>
      </c>
      <c r="C124" s="25">
        <v>20009217</v>
      </c>
      <c r="D124" s="7" t="s">
        <v>1176</v>
      </c>
      <c r="E124" s="26">
        <v>1</v>
      </c>
      <c r="F124" s="7" t="s">
        <v>225</v>
      </c>
      <c r="G124" s="7" t="s">
        <v>219</v>
      </c>
      <c r="H124" s="19" t="str">
        <f t="shared" si="2"/>
        <v/>
      </c>
      <c r="I124" s="19" t="s">
        <v>37</v>
      </c>
      <c r="J124" s="7" t="s">
        <v>402</v>
      </c>
      <c r="K124" s="1"/>
      <c r="L124" s="7" t="s">
        <v>232</v>
      </c>
    </row>
    <row r="125" spans="1:12" x14ac:dyDescent="0.25">
      <c r="A125" s="1"/>
      <c r="B125" s="7" t="s">
        <v>222</v>
      </c>
      <c r="C125" s="25">
        <v>20009392</v>
      </c>
      <c r="D125" s="7" t="s">
        <v>1180</v>
      </c>
      <c r="E125" s="26">
        <v>1</v>
      </c>
      <c r="F125" s="7" t="s">
        <v>225</v>
      </c>
      <c r="G125" s="7" t="s">
        <v>219</v>
      </c>
      <c r="H125" s="19" t="str">
        <f t="shared" si="2"/>
        <v/>
      </c>
      <c r="I125" s="19" t="s">
        <v>221</v>
      </c>
      <c r="J125" s="7" t="s">
        <v>721</v>
      </c>
      <c r="K125" s="1"/>
      <c r="L125" s="7" t="s">
        <v>195</v>
      </c>
    </row>
    <row r="126" spans="1:12" x14ac:dyDescent="0.25">
      <c r="A126" s="1"/>
      <c r="B126" s="7" t="s">
        <v>222</v>
      </c>
      <c r="C126" s="25">
        <v>20009635</v>
      </c>
      <c r="D126" s="7" t="s">
        <v>1186</v>
      </c>
      <c r="E126" s="26">
        <v>1</v>
      </c>
      <c r="F126" s="7" t="s">
        <v>225</v>
      </c>
      <c r="G126" s="7" t="s">
        <v>219</v>
      </c>
      <c r="H126" s="19" t="str">
        <f t="shared" si="2"/>
        <v/>
      </c>
      <c r="I126" s="19" t="s">
        <v>221</v>
      </c>
      <c r="J126" s="7" t="s">
        <v>954</v>
      </c>
      <c r="K126" s="1"/>
      <c r="L126" s="7" t="s">
        <v>195</v>
      </c>
    </row>
    <row r="127" spans="1:12" x14ac:dyDescent="0.25">
      <c r="A127" s="1"/>
      <c r="B127" s="7" t="s">
        <v>222</v>
      </c>
      <c r="C127" s="25">
        <v>20009637</v>
      </c>
      <c r="D127" s="7" t="s">
        <v>1187</v>
      </c>
      <c r="E127" s="26">
        <v>1</v>
      </c>
      <c r="F127" s="7" t="s">
        <v>225</v>
      </c>
      <c r="G127" s="7" t="s">
        <v>219</v>
      </c>
      <c r="H127" s="19" t="str">
        <f t="shared" si="2"/>
        <v/>
      </c>
      <c r="I127" s="19" t="s">
        <v>221</v>
      </c>
      <c r="J127" s="7" t="s">
        <v>954</v>
      </c>
      <c r="K127" s="1"/>
      <c r="L127" s="7" t="s">
        <v>195</v>
      </c>
    </row>
    <row r="128" spans="1:12" x14ac:dyDescent="0.25">
      <c r="A128" s="1"/>
      <c r="B128" s="7" t="s">
        <v>227</v>
      </c>
      <c r="C128" s="25">
        <v>20009692</v>
      </c>
      <c r="D128" s="7" t="s">
        <v>1189</v>
      </c>
      <c r="E128" s="26">
        <v>1</v>
      </c>
      <c r="F128" s="7" t="s">
        <v>225</v>
      </c>
      <c r="G128" s="7" t="s">
        <v>219</v>
      </c>
      <c r="H128" s="19" t="str">
        <f t="shared" si="2"/>
        <v/>
      </c>
      <c r="I128" s="19" t="s">
        <v>37</v>
      </c>
      <c r="J128" s="7" t="s">
        <v>402</v>
      </c>
      <c r="K128" s="1"/>
      <c r="L128" s="7" t="s">
        <v>232</v>
      </c>
    </row>
    <row r="129" spans="1:12" x14ac:dyDescent="0.25">
      <c r="A129" s="1"/>
      <c r="B129" s="7" t="s">
        <v>222</v>
      </c>
      <c r="C129" s="25">
        <v>20009869</v>
      </c>
      <c r="D129" s="7" t="s">
        <v>1208</v>
      </c>
      <c r="E129" s="26">
        <v>1</v>
      </c>
      <c r="F129" s="7" t="s">
        <v>225</v>
      </c>
      <c r="G129" s="7" t="s">
        <v>219</v>
      </c>
      <c r="H129" s="19" t="str">
        <f t="shared" si="2"/>
        <v/>
      </c>
      <c r="I129" s="19" t="s">
        <v>221</v>
      </c>
      <c r="J129" s="7" t="s">
        <v>347</v>
      </c>
      <c r="K129" s="1"/>
      <c r="L129" s="7" t="s">
        <v>195</v>
      </c>
    </row>
    <row r="130" spans="1:12" x14ac:dyDescent="0.25">
      <c r="A130" s="1"/>
      <c r="B130" s="7" t="s">
        <v>230</v>
      </c>
      <c r="C130" s="25">
        <v>20009964</v>
      </c>
      <c r="D130" s="7" t="s">
        <v>1225</v>
      </c>
      <c r="E130" s="26">
        <v>1</v>
      </c>
      <c r="F130" s="7" t="s">
        <v>225</v>
      </c>
      <c r="G130" s="7" t="s">
        <v>219</v>
      </c>
      <c r="H130" s="19" t="str">
        <f t="shared" si="2"/>
        <v/>
      </c>
      <c r="I130" s="19" t="s">
        <v>910</v>
      </c>
      <c r="J130" s="7" t="s">
        <v>347</v>
      </c>
      <c r="K130" s="1"/>
      <c r="L130" s="7" t="s">
        <v>195</v>
      </c>
    </row>
    <row r="131" spans="1:12" x14ac:dyDescent="0.25">
      <c r="A131" s="1"/>
      <c r="B131" s="7" t="s">
        <v>230</v>
      </c>
      <c r="C131" s="25">
        <v>20009967</v>
      </c>
      <c r="D131" s="7" t="s">
        <v>1227</v>
      </c>
      <c r="E131" s="26">
        <v>1</v>
      </c>
      <c r="F131" s="7" t="s">
        <v>225</v>
      </c>
      <c r="G131" s="7" t="s">
        <v>219</v>
      </c>
      <c r="H131" s="19" t="str">
        <f t="shared" si="2"/>
        <v/>
      </c>
      <c r="I131" s="19" t="s">
        <v>910</v>
      </c>
      <c r="J131" s="7" t="s">
        <v>347</v>
      </c>
      <c r="K131" s="1"/>
      <c r="L131" s="7" t="s">
        <v>195</v>
      </c>
    </row>
    <row r="132" spans="1:12" x14ac:dyDescent="0.25">
      <c r="A132" s="1"/>
      <c r="B132" s="7" t="s">
        <v>222</v>
      </c>
      <c r="C132" s="25">
        <v>20009991</v>
      </c>
      <c r="D132" s="7" t="s">
        <v>1235</v>
      </c>
      <c r="E132" s="26">
        <v>1</v>
      </c>
      <c r="F132" s="7" t="s">
        <v>225</v>
      </c>
      <c r="G132" s="7" t="s">
        <v>219</v>
      </c>
      <c r="H132" s="19" t="str">
        <f t="shared" si="2"/>
        <v/>
      </c>
      <c r="I132" s="19" t="s">
        <v>221</v>
      </c>
      <c r="J132" s="7" t="s">
        <v>397</v>
      </c>
      <c r="K132" s="1"/>
      <c r="L132" s="7" t="s">
        <v>195</v>
      </c>
    </row>
    <row r="133" spans="1:12" x14ac:dyDescent="0.25">
      <c r="A133" s="1"/>
      <c r="B133" s="7" t="s">
        <v>222</v>
      </c>
      <c r="C133" s="25">
        <v>20010087</v>
      </c>
      <c r="D133" s="7" t="s">
        <v>1240</v>
      </c>
      <c r="E133" s="26">
        <v>1</v>
      </c>
      <c r="F133" s="7" t="s">
        <v>225</v>
      </c>
      <c r="G133" s="7" t="s">
        <v>219</v>
      </c>
      <c r="H133" s="19" t="str">
        <f t="shared" si="2"/>
        <v/>
      </c>
      <c r="I133" s="19" t="s">
        <v>221</v>
      </c>
      <c r="J133" s="7" t="s">
        <v>327</v>
      </c>
      <c r="K133" s="1"/>
      <c r="L133" s="7" t="s">
        <v>195</v>
      </c>
    </row>
    <row r="134" spans="1:12" x14ac:dyDescent="0.25">
      <c r="A134" s="1"/>
      <c r="B134" s="7" t="s">
        <v>222</v>
      </c>
      <c r="C134" s="25">
        <v>20010456</v>
      </c>
      <c r="D134" s="7" t="s">
        <v>1249</v>
      </c>
      <c r="E134" s="26">
        <v>1</v>
      </c>
      <c r="F134" s="7" t="s">
        <v>225</v>
      </c>
      <c r="G134" s="7" t="s">
        <v>219</v>
      </c>
      <c r="H134" s="19" t="str">
        <f t="shared" si="2"/>
        <v/>
      </c>
      <c r="I134" s="19" t="s">
        <v>221</v>
      </c>
      <c r="J134" s="7" t="s">
        <v>315</v>
      </c>
      <c r="K134" s="1"/>
      <c r="L134" s="7" t="s">
        <v>195</v>
      </c>
    </row>
    <row r="135" spans="1:12" x14ac:dyDescent="0.25">
      <c r="A135" s="1"/>
      <c r="B135" s="7" t="s">
        <v>222</v>
      </c>
      <c r="C135" s="25">
        <v>20010986</v>
      </c>
      <c r="D135" s="7" t="s">
        <v>1261</v>
      </c>
      <c r="E135" s="26">
        <v>1</v>
      </c>
      <c r="F135" s="7" t="s">
        <v>225</v>
      </c>
      <c r="G135" s="7" t="s">
        <v>219</v>
      </c>
      <c r="H135" s="19" t="str">
        <f t="shared" si="2"/>
        <v/>
      </c>
      <c r="I135" s="19" t="s">
        <v>221</v>
      </c>
      <c r="J135" s="7" t="s">
        <v>309</v>
      </c>
      <c r="K135" s="1"/>
      <c r="L135" s="7" t="s">
        <v>195</v>
      </c>
    </row>
    <row r="136" spans="1:12" x14ac:dyDescent="0.25">
      <c r="A136" s="1"/>
      <c r="B136" s="7" t="s">
        <v>222</v>
      </c>
      <c r="C136" s="25">
        <v>20010987</v>
      </c>
      <c r="D136" s="7" t="s">
        <v>1262</v>
      </c>
      <c r="E136" s="26">
        <v>1</v>
      </c>
      <c r="F136" s="7" t="s">
        <v>225</v>
      </c>
      <c r="G136" s="7" t="s">
        <v>219</v>
      </c>
      <c r="H136" s="19" t="str">
        <f t="shared" si="2"/>
        <v/>
      </c>
      <c r="I136" s="19" t="s">
        <v>221</v>
      </c>
      <c r="J136" s="7" t="s">
        <v>309</v>
      </c>
      <c r="K136" s="1"/>
      <c r="L136" s="7" t="s">
        <v>195</v>
      </c>
    </row>
    <row r="137" spans="1:12" x14ac:dyDescent="0.25">
      <c r="A137" s="1"/>
      <c r="B137" s="7" t="s">
        <v>222</v>
      </c>
      <c r="C137" s="25">
        <v>20010988</v>
      </c>
      <c r="D137" s="7" t="s">
        <v>1263</v>
      </c>
      <c r="E137" s="26">
        <v>1</v>
      </c>
      <c r="F137" s="7" t="s">
        <v>225</v>
      </c>
      <c r="G137" s="7" t="s">
        <v>219</v>
      </c>
      <c r="H137" s="19" t="str">
        <f t="shared" si="2"/>
        <v/>
      </c>
      <c r="I137" s="19" t="s">
        <v>221</v>
      </c>
      <c r="J137" s="7" t="s">
        <v>309</v>
      </c>
      <c r="K137" s="1"/>
      <c r="L137" s="7" t="s">
        <v>195</v>
      </c>
    </row>
    <row r="138" spans="1:12" x14ac:dyDescent="0.25">
      <c r="A138" s="1"/>
      <c r="B138" s="7" t="s">
        <v>222</v>
      </c>
      <c r="C138" s="25">
        <v>20011002</v>
      </c>
      <c r="D138" s="7" t="s">
        <v>1265</v>
      </c>
      <c r="E138" s="26">
        <v>1</v>
      </c>
      <c r="F138" s="7" t="s">
        <v>225</v>
      </c>
      <c r="G138" s="7" t="s">
        <v>219</v>
      </c>
      <c r="H138" s="19" t="str">
        <f t="shared" si="2"/>
        <v/>
      </c>
      <c r="I138" s="19" t="s">
        <v>221</v>
      </c>
      <c r="J138" s="7" t="s">
        <v>313</v>
      </c>
      <c r="K138" s="1"/>
      <c r="L138" s="7" t="s">
        <v>195</v>
      </c>
    </row>
    <row r="139" spans="1:12" x14ac:dyDescent="0.25">
      <c r="A139" s="1"/>
      <c r="B139" s="7" t="s">
        <v>222</v>
      </c>
      <c r="C139" s="25">
        <v>20011003</v>
      </c>
      <c r="D139" s="7" t="s">
        <v>1266</v>
      </c>
      <c r="E139" s="26">
        <v>1</v>
      </c>
      <c r="F139" s="7" t="s">
        <v>225</v>
      </c>
      <c r="G139" s="7" t="s">
        <v>219</v>
      </c>
      <c r="H139" s="19" t="str">
        <f t="shared" si="2"/>
        <v/>
      </c>
      <c r="I139" s="19" t="s">
        <v>221</v>
      </c>
      <c r="J139" s="7" t="s">
        <v>313</v>
      </c>
      <c r="K139" s="1"/>
      <c r="L139" s="7" t="s">
        <v>195</v>
      </c>
    </row>
    <row r="140" spans="1:12" x14ac:dyDescent="0.25">
      <c r="A140" s="1"/>
      <c r="B140" s="7" t="s">
        <v>222</v>
      </c>
      <c r="C140" s="25">
        <v>20011004</v>
      </c>
      <c r="D140" s="7" t="s">
        <v>1267</v>
      </c>
      <c r="E140" s="26">
        <v>1</v>
      </c>
      <c r="F140" s="7" t="s">
        <v>225</v>
      </c>
      <c r="G140" s="7" t="s">
        <v>219</v>
      </c>
      <c r="H140" s="19" t="str">
        <f t="shared" si="2"/>
        <v/>
      </c>
      <c r="I140" s="19" t="s">
        <v>221</v>
      </c>
      <c r="J140" s="7" t="s">
        <v>313</v>
      </c>
      <c r="K140" s="1"/>
      <c r="L140" s="7" t="s">
        <v>195</v>
      </c>
    </row>
    <row r="141" spans="1:12" x14ac:dyDescent="0.25">
      <c r="A141" s="1"/>
      <c r="B141" s="7" t="s">
        <v>222</v>
      </c>
      <c r="C141" s="25">
        <v>20011005</v>
      </c>
      <c r="D141" s="7" t="s">
        <v>1268</v>
      </c>
      <c r="E141" s="26">
        <v>1</v>
      </c>
      <c r="F141" s="7" t="s">
        <v>225</v>
      </c>
      <c r="G141" s="7" t="s">
        <v>219</v>
      </c>
      <c r="H141" s="19" t="str">
        <f t="shared" si="2"/>
        <v/>
      </c>
      <c r="I141" s="19" t="s">
        <v>221</v>
      </c>
      <c r="J141" s="7" t="s">
        <v>313</v>
      </c>
      <c r="K141" s="1"/>
      <c r="L141" s="7" t="s">
        <v>195</v>
      </c>
    </row>
    <row r="142" spans="1:12" x14ac:dyDescent="0.25">
      <c r="A142" s="1"/>
      <c r="B142" s="7" t="s">
        <v>222</v>
      </c>
      <c r="C142" s="25">
        <v>20011051</v>
      </c>
      <c r="D142" s="7" t="s">
        <v>1273</v>
      </c>
      <c r="E142" s="26">
        <v>1</v>
      </c>
      <c r="F142" s="7" t="s">
        <v>225</v>
      </c>
      <c r="G142" s="7" t="s">
        <v>219</v>
      </c>
      <c r="H142" s="19" t="str">
        <f t="shared" si="2"/>
        <v/>
      </c>
      <c r="I142" s="19" t="s">
        <v>221</v>
      </c>
      <c r="J142" s="7" t="s">
        <v>311</v>
      </c>
      <c r="K142" s="1"/>
      <c r="L142" s="7" t="s">
        <v>195</v>
      </c>
    </row>
    <row r="143" spans="1:12" x14ac:dyDescent="0.25">
      <c r="A143" s="1"/>
      <c r="B143" s="7" t="s">
        <v>222</v>
      </c>
      <c r="C143" s="25">
        <v>20011055</v>
      </c>
      <c r="D143" s="7" t="s">
        <v>1274</v>
      </c>
      <c r="E143" s="26">
        <v>1</v>
      </c>
      <c r="F143" s="7" t="s">
        <v>225</v>
      </c>
      <c r="G143" s="7" t="s">
        <v>219</v>
      </c>
      <c r="H143" s="19" t="str">
        <f t="shared" ref="H143:H206" si="3">IF(A143="", "", A143*E143)</f>
        <v/>
      </c>
      <c r="I143" s="19" t="s">
        <v>221</v>
      </c>
      <c r="J143" s="7" t="s">
        <v>309</v>
      </c>
      <c r="K143" s="1"/>
      <c r="L143" s="7" t="s">
        <v>195</v>
      </c>
    </row>
    <row r="144" spans="1:12" x14ac:dyDescent="0.25">
      <c r="A144" s="1"/>
      <c r="B144" s="7" t="s">
        <v>222</v>
      </c>
      <c r="C144" s="25">
        <v>20011063</v>
      </c>
      <c r="D144" s="7" t="s">
        <v>1276</v>
      </c>
      <c r="E144" s="26">
        <v>1</v>
      </c>
      <c r="F144" s="7" t="s">
        <v>225</v>
      </c>
      <c r="G144" s="7" t="s">
        <v>219</v>
      </c>
      <c r="H144" s="19" t="str">
        <f t="shared" si="3"/>
        <v/>
      </c>
      <c r="I144" s="19" t="s">
        <v>221</v>
      </c>
      <c r="J144" s="7" t="s">
        <v>345</v>
      </c>
      <c r="K144" s="1"/>
      <c r="L144" s="7" t="s">
        <v>195</v>
      </c>
    </row>
    <row r="145" spans="1:12" x14ac:dyDescent="0.25">
      <c r="A145" s="1"/>
      <c r="B145" s="7" t="s">
        <v>222</v>
      </c>
      <c r="C145" s="25">
        <v>20011136</v>
      </c>
      <c r="D145" s="7" t="s">
        <v>1278</v>
      </c>
      <c r="E145" s="26">
        <v>1</v>
      </c>
      <c r="F145" s="7" t="s">
        <v>225</v>
      </c>
      <c r="G145" s="7" t="s">
        <v>219</v>
      </c>
      <c r="H145" s="19" t="str">
        <f t="shared" si="3"/>
        <v/>
      </c>
      <c r="I145" s="19" t="s">
        <v>221</v>
      </c>
      <c r="J145" s="7" t="s">
        <v>397</v>
      </c>
      <c r="K145" s="1"/>
      <c r="L145" s="7" t="s">
        <v>195</v>
      </c>
    </row>
    <row r="146" spans="1:12" x14ac:dyDescent="0.25">
      <c r="A146" s="1"/>
      <c r="B146" s="7" t="s">
        <v>222</v>
      </c>
      <c r="C146" s="25">
        <v>20011138</v>
      </c>
      <c r="D146" s="7" t="s">
        <v>1280</v>
      </c>
      <c r="E146" s="26">
        <v>1</v>
      </c>
      <c r="F146" s="7" t="s">
        <v>225</v>
      </c>
      <c r="G146" s="7" t="s">
        <v>219</v>
      </c>
      <c r="H146" s="19" t="str">
        <f t="shared" si="3"/>
        <v/>
      </c>
      <c r="I146" s="19" t="s">
        <v>221</v>
      </c>
      <c r="J146" s="7" t="s">
        <v>397</v>
      </c>
      <c r="K146" s="1"/>
      <c r="L146" s="7" t="s">
        <v>195</v>
      </c>
    </row>
    <row r="147" spans="1:12" x14ac:dyDescent="0.25">
      <c r="A147" s="1"/>
      <c r="B147" s="7" t="s">
        <v>222</v>
      </c>
      <c r="C147" s="25">
        <v>20011139</v>
      </c>
      <c r="D147" s="7" t="s">
        <v>1281</v>
      </c>
      <c r="E147" s="26">
        <v>1</v>
      </c>
      <c r="F147" s="7" t="s">
        <v>225</v>
      </c>
      <c r="G147" s="7" t="s">
        <v>219</v>
      </c>
      <c r="H147" s="19" t="str">
        <f t="shared" si="3"/>
        <v/>
      </c>
      <c r="I147" s="19" t="s">
        <v>221</v>
      </c>
      <c r="J147" s="7" t="s">
        <v>397</v>
      </c>
      <c r="K147" s="1"/>
      <c r="L147" s="7" t="s">
        <v>195</v>
      </c>
    </row>
    <row r="148" spans="1:12" x14ac:dyDescent="0.25">
      <c r="A148" s="1"/>
      <c r="B148" s="7" t="s">
        <v>222</v>
      </c>
      <c r="C148" s="25">
        <v>20011163</v>
      </c>
      <c r="D148" s="7" t="s">
        <v>11250</v>
      </c>
      <c r="E148" s="26">
        <v>1</v>
      </c>
      <c r="F148" s="7" t="s">
        <v>352</v>
      </c>
      <c r="G148" s="7" t="s">
        <v>219</v>
      </c>
      <c r="H148" s="19" t="str">
        <f t="shared" si="3"/>
        <v/>
      </c>
      <c r="I148" s="19" t="s">
        <v>221</v>
      </c>
      <c r="J148" s="7" t="s">
        <v>954</v>
      </c>
      <c r="K148" s="1"/>
      <c r="L148" s="7" t="s">
        <v>195</v>
      </c>
    </row>
    <row r="149" spans="1:12" x14ac:dyDescent="0.25">
      <c r="A149" s="1"/>
      <c r="B149" s="7" t="s">
        <v>222</v>
      </c>
      <c r="C149" s="25">
        <v>20011177</v>
      </c>
      <c r="D149" s="7" t="s">
        <v>1282</v>
      </c>
      <c r="E149" s="26">
        <v>1</v>
      </c>
      <c r="F149" s="7" t="s">
        <v>225</v>
      </c>
      <c r="G149" s="7" t="s">
        <v>219</v>
      </c>
      <c r="H149" s="19" t="str">
        <f t="shared" si="3"/>
        <v/>
      </c>
      <c r="I149" s="19" t="s">
        <v>221</v>
      </c>
      <c r="J149" s="7" t="s">
        <v>246</v>
      </c>
      <c r="K149" s="1"/>
      <c r="L149" s="7" t="s">
        <v>195</v>
      </c>
    </row>
    <row r="150" spans="1:12" x14ac:dyDescent="0.25">
      <c r="A150" s="1"/>
      <c r="B150" s="7" t="s">
        <v>230</v>
      </c>
      <c r="C150" s="25">
        <v>20011225</v>
      </c>
      <c r="D150" s="7" t="s">
        <v>1286</v>
      </c>
      <c r="E150" s="26">
        <v>1</v>
      </c>
      <c r="F150" s="7" t="s">
        <v>225</v>
      </c>
      <c r="G150" s="7" t="s">
        <v>219</v>
      </c>
      <c r="H150" s="19" t="str">
        <f t="shared" si="3"/>
        <v/>
      </c>
      <c r="I150" s="19" t="s">
        <v>910</v>
      </c>
      <c r="J150" s="7" t="s">
        <v>347</v>
      </c>
      <c r="K150" s="1"/>
      <c r="L150" s="7" t="s">
        <v>195</v>
      </c>
    </row>
    <row r="151" spans="1:12" x14ac:dyDescent="0.25">
      <c r="A151" s="1"/>
      <c r="B151" s="7" t="s">
        <v>222</v>
      </c>
      <c r="C151" s="25">
        <v>20011367</v>
      </c>
      <c r="D151" s="7" t="s">
        <v>1294</v>
      </c>
      <c r="E151" s="26">
        <v>1</v>
      </c>
      <c r="F151" s="7" t="s">
        <v>225</v>
      </c>
      <c r="G151" s="7" t="s">
        <v>219</v>
      </c>
      <c r="H151" s="19" t="str">
        <f t="shared" si="3"/>
        <v/>
      </c>
      <c r="I151" s="19" t="s">
        <v>221</v>
      </c>
      <c r="J151" s="7" t="s">
        <v>347</v>
      </c>
      <c r="K151" s="1"/>
      <c r="L151" s="7" t="s">
        <v>195</v>
      </c>
    </row>
    <row r="152" spans="1:12" x14ac:dyDescent="0.25">
      <c r="A152" s="1"/>
      <c r="B152" s="7" t="s">
        <v>222</v>
      </c>
      <c r="C152" s="25">
        <v>20011412</v>
      </c>
      <c r="D152" s="7" t="s">
        <v>1302</v>
      </c>
      <c r="E152" s="26">
        <v>1</v>
      </c>
      <c r="F152" s="7" t="s">
        <v>225</v>
      </c>
      <c r="G152" s="7" t="s">
        <v>219</v>
      </c>
      <c r="H152" s="19" t="str">
        <f t="shared" si="3"/>
        <v/>
      </c>
      <c r="I152" s="19" t="s">
        <v>221</v>
      </c>
      <c r="J152" s="7" t="s">
        <v>440</v>
      </c>
      <c r="K152" s="1"/>
      <c r="L152" s="7" t="s">
        <v>195</v>
      </c>
    </row>
    <row r="153" spans="1:12" x14ac:dyDescent="0.25">
      <c r="A153" s="1"/>
      <c r="B153" s="7" t="s">
        <v>222</v>
      </c>
      <c r="C153" s="25">
        <v>20011456</v>
      </c>
      <c r="D153" s="7" t="s">
        <v>1304</v>
      </c>
      <c r="E153" s="26">
        <v>1</v>
      </c>
      <c r="F153" s="7" t="s">
        <v>225</v>
      </c>
      <c r="G153" s="7" t="s">
        <v>219</v>
      </c>
      <c r="H153" s="19" t="str">
        <f t="shared" si="3"/>
        <v/>
      </c>
      <c r="I153" s="19" t="s">
        <v>221</v>
      </c>
      <c r="J153" s="7" t="s">
        <v>347</v>
      </c>
      <c r="K153" s="1"/>
      <c r="L153" s="7" t="s">
        <v>195</v>
      </c>
    </row>
    <row r="154" spans="1:12" x14ac:dyDescent="0.25">
      <c r="A154" s="1"/>
      <c r="B154" s="7" t="s">
        <v>230</v>
      </c>
      <c r="C154" s="25">
        <v>20011466</v>
      </c>
      <c r="D154" s="7" t="s">
        <v>11418</v>
      </c>
      <c r="E154" s="26">
        <v>1</v>
      </c>
      <c r="F154" s="7" t="s">
        <v>352</v>
      </c>
      <c r="G154" s="7" t="s">
        <v>202</v>
      </c>
      <c r="H154" s="19" t="str">
        <f t="shared" si="3"/>
        <v/>
      </c>
      <c r="I154" s="19" t="s">
        <v>910</v>
      </c>
      <c r="J154" s="7" t="s">
        <v>315</v>
      </c>
      <c r="K154" s="1"/>
      <c r="L154" s="7" t="s">
        <v>195</v>
      </c>
    </row>
    <row r="155" spans="1:12" x14ac:dyDescent="0.25">
      <c r="A155" s="1"/>
      <c r="B155" s="7" t="s">
        <v>222</v>
      </c>
      <c r="C155" s="25">
        <v>20015317</v>
      </c>
      <c r="D155" s="7" t="s">
        <v>1363</v>
      </c>
      <c r="E155" s="26">
        <v>1</v>
      </c>
      <c r="F155" s="7" t="s">
        <v>225</v>
      </c>
      <c r="G155" s="7" t="s">
        <v>219</v>
      </c>
      <c r="H155" s="19" t="str">
        <f t="shared" si="3"/>
        <v/>
      </c>
      <c r="I155" s="19" t="s">
        <v>221</v>
      </c>
      <c r="J155" s="7" t="s">
        <v>327</v>
      </c>
      <c r="K155" s="1"/>
      <c r="L155" s="7" t="s">
        <v>195</v>
      </c>
    </row>
    <row r="156" spans="1:12" x14ac:dyDescent="0.25">
      <c r="A156" s="1"/>
      <c r="B156" s="7" t="s">
        <v>222</v>
      </c>
      <c r="C156" s="25">
        <v>20015318</v>
      </c>
      <c r="D156" s="7" t="s">
        <v>1364</v>
      </c>
      <c r="E156" s="26">
        <v>1</v>
      </c>
      <c r="F156" s="7" t="s">
        <v>225</v>
      </c>
      <c r="G156" s="7" t="s">
        <v>219</v>
      </c>
      <c r="H156" s="19" t="str">
        <f t="shared" si="3"/>
        <v/>
      </c>
      <c r="I156" s="19" t="s">
        <v>221</v>
      </c>
      <c r="J156" s="7" t="s">
        <v>327</v>
      </c>
      <c r="K156" s="1"/>
      <c r="L156" s="7" t="s">
        <v>195</v>
      </c>
    </row>
    <row r="157" spans="1:12" x14ac:dyDescent="0.25">
      <c r="A157" s="1"/>
      <c r="B157" s="7" t="s">
        <v>233</v>
      </c>
      <c r="C157" s="25">
        <v>20015512</v>
      </c>
      <c r="D157" s="7" t="s">
        <v>1394</v>
      </c>
      <c r="E157" s="26">
        <v>1</v>
      </c>
      <c r="F157" s="7" t="s">
        <v>225</v>
      </c>
      <c r="G157" s="7" t="s">
        <v>219</v>
      </c>
      <c r="H157" s="19" t="str">
        <f t="shared" si="3"/>
        <v/>
      </c>
      <c r="I157" s="19" t="s">
        <v>328</v>
      </c>
      <c r="J157" s="7" t="s">
        <v>246</v>
      </c>
      <c r="K157" s="1"/>
      <c r="L157" s="7" t="s">
        <v>195</v>
      </c>
    </row>
    <row r="158" spans="1:12" x14ac:dyDescent="0.25">
      <c r="A158" s="1"/>
      <c r="B158" s="7" t="s">
        <v>222</v>
      </c>
      <c r="C158" s="25">
        <v>20015520</v>
      </c>
      <c r="D158" s="7" t="s">
        <v>1395</v>
      </c>
      <c r="E158" s="26">
        <v>1</v>
      </c>
      <c r="F158" s="7" t="s">
        <v>225</v>
      </c>
      <c r="G158" s="7" t="s">
        <v>219</v>
      </c>
      <c r="H158" s="19" t="str">
        <f t="shared" si="3"/>
        <v/>
      </c>
      <c r="I158" s="19" t="s">
        <v>221</v>
      </c>
      <c r="J158" s="7" t="s">
        <v>309</v>
      </c>
      <c r="K158" s="1"/>
      <c r="L158" s="7" t="s">
        <v>195</v>
      </c>
    </row>
    <row r="159" spans="1:12" x14ac:dyDescent="0.25">
      <c r="A159" s="1"/>
      <c r="B159" s="7" t="s">
        <v>222</v>
      </c>
      <c r="C159" s="25">
        <v>20015522</v>
      </c>
      <c r="D159" s="7" t="s">
        <v>1396</v>
      </c>
      <c r="E159" s="26">
        <v>1</v>
      </c>
      <c r="F159" s="7" t="s">
        <v>225</v>
      </c>
      <c r="G159" s="7" t="s">
        <v>219</v>
      </c>
      <c r="H159" s="19" t="str">
        <f t="shared" si="3"/>
        <v/>
      </c>
      <c r="I159" s="19" t="s">
        <v>221</v>
      </c>
      <c r="J159" s="7" t="s">
        <v>311</v>
      </c>
      <c r="K159" s="1"/>
      <c r="L159" s="7" t="s">
        <v>195</v>
      </c>
    </row>
    <row r="160" spans="1:12" x14ac:dyDescent="0.25">
      <c r="A160" s="1"/>
      <c r="B160" s="7" t="s">
        <v>222</v>
      </c>
      <c r="C160" s="25">
        <v>20015532</v>
      </c>
      <c r="D160" s="7" t="s">
        <v>1398</v>
      </c>
      <c r="E160" s="26">
        <v>1</v>
      </c>
      <c r="F160" s="7" t="s">
        <v>225</v>
      </c>
      <c r="G160" s="7" t="s">
        <v>219</v>
      </c>
      <c r="H160" s="19" t="str">
        <f t="shared" si="3"/>
        <v/>
      </c>
      <c r="I160" s="19" t="s">
        <v>221</v>
      </c>
      <c r="J160" s="7" t="s">
        <v>246</v>
      </c>
      <c r="K160" s="1"/>
      <c r="L160" s="7" t="s">
        <v>195</v>
      </c>
    </row>
    <row r="161" spans="1:12" x14ac:dyDescent="0.25">
      <c r="A161" s="1"/>
      <c r="B161" s="7" t="s">
        <v>222</v>
      </c>
      <c r="C161" s="25">
        <v>20016022</v>
      </c>
      <c r="D161" s="7" t="s">
        <v>1427</v>
      </c>
      <c r="E161" s="26">
        <v>1</v>
      </c>
      <c r="F161" s="7" t="s">
        <v>225</v>
      </c>
      <c r="G161" s="7" t="s">
        <v>219</v>
      </c>
      <c r="H161" s="19" t="str">
        <f t="shared" si="3"/>
        <v/>
      </c>
      <c r="I161" s="19" t="s">
        <v>221</v>
      </c>
      <c r="J161" s="7" t="s">
        <v>954</v>
      </c>
      <c r="K161" s="1"/>
      <c r="L161" s="7" t="s">
        <v>195</v>
      </c>
    </row>
    <row r="162" spans="1:12" x14ac:dyDescent="0.25">
      <c r="A162" s="1"/>
      <c r="B162" s="7" t="s">
        <v>222</v>
      </c>
      <c r="C162" s="25">
        <v>20016066</v>
      </c>
      <c r="D162" s="7" t="s">
        <v>1435</v>
      </c>
      <c r="E162" s="26">
        <v>1</v>
      </c>
      <c r="F162" s="7" t="s">
        <v>225</v>
      </c>
      <c r="G162" s="7" t="s">
        <v>219</v>
      </c>
      <c r="H162" s="19" t="str">
        <f t="shared" si="3"/>
        <v/>
      </c>
      <c r="I162" s="19" t="s">
        <v>221</v>
      </c>
      <c r="J162" s="7" t="s">
        <v>347</v>
      </c>
      <c r="K162" s="1"/>
      <c r="L162" s="7" t="s">
        <v>195</v>
      </c>
    </row>
    <row r="163" spans="1:12" x14ac:dyDescent="0.25">
      <c r="A163" s="1"/>
      <c r="B163" s="7" t="s">
        <v>222</v>
      </c>
      <c r="C163" s="25">
        <v>20016067</v>
      </c>
      <c r="D163" s="7" t="s">
        <v>1436</v>
      </c>
      <c r="E163" s="26">
        <v>1</v>
      </c>
      <c r="F163" s="7" t="s">
        <v>225</v>
      </c>
      <c r="G163" s="7" t="s">
        <v>219</v>
      </c>
      <c r="H163" s="19" t="str">
        <f t="shared" si="3"/>
        <v/>
      </c>
      <c r="I163" s="19" t="s">
        <v>221</v>
      </c>
      <c r="J163" s="7" t="s">
        <v>954</v>
      </c>
      <c r="K163" s="1"/>
      <c r="L163" s="7" t="s">
        <v>195</v>
      </c>
    </row>
    <row r="164" spans="1:12" x14ac:dyDescent="0.25">
      <c r="A164" s="1"/>
      <c r="B164" s="7" t="s">
        <v>222</v>
      </c>
      <c r="C164" s="25">
        <v>20016339</v>
      </c>
      <c r="D164" s="7" t="s">
        <v>1451</v>
      </c>
      <c r="E164" s="26">
        <v>1</v>
      </c>
      <c r="F164" s="7" t="s">
        <v>225</v>
      </c>
      <c r="G164" s="7" t="s">
        <v>219</v>
      </c>
      <c r="H164" s="19" t="str">
        <f t="shared" si="3"/>
        <v/>
      </c>
      <c r="I164" s="19" t="s">
        <v>221</v>
      </c>
      <c r="J164" s="7" t="s">
        <v>721</v>
      </c>
      <c r="K164" s="1"/>
      <c r="L164" s="7" t="s">
        <v>195</v>
      </c>
    </row>
    <row r="165" spans="1:12" x14ac:dyDescent="0.25">
      <c r="A165" s="1"/>
      <c r="B165" s="7" t="s">
        <v>222</v>
      </c>
      <c r="C165" s="25">
        <v>20016340</v>
      </c>
      <c r="D165" s="7" t="s">
        <v>1452</v>
      </c>
      <c r="E165" s="26">
        <v>1</v>
      </c>
      <c r="F165" s="7" t="s">
        <v>225</v>
      </c>
      <c r="G165" s="7" t="s">
        <v>219</v>
      </c>
      <c r="H165" s="19" t="str">
        <f t="shared" si="3"/>
        <v/>
      </c>
      <c r="I165" s="19" t="s">
        <v>221</v>
      </c>
      <c r="J165" s="7" t="s">
        <v>721</v>
      </c>
      <c r="K165" s="1"/>
      <c r="L165" s="7" t="s">
        <v>195</v>
      </c>
    </row>
    <row r="166" spans="1:12" x14ac:dyDescent="0.25">
      <c r="A166" s="1"/>
      <c r="B166" s="7" t="s">
        <v>222</v>
      </c>
      <c r="C166" s="25">
        <v>20016342</v>
      </c>
      <c r="D166" s="7" t="s">
        <v>1454</v>
      </c>
      <c r="E166" s="26">
        <v>1</v>
      </c>
      <c r="F166" s="7" t="s">
        <v>225</v>
      </c>
      <c r="G166" s="7" t="s">
        <v>219</v>
      </c>
      <c r="H166" s="19" t="str">
        <f t="shared" si="3"/>
        <v/>
      </c>
      <c r="I166" s="19" t="s">
        <v>221</v>
      </c>
      <c r="J166" s="7" t="s">
        <v>721</v>
      </c>
      <c r="K166" s="1"/>
      <c r="L166" s="7" t="s">
        <v>195</v>
      </c>
    </row>
    <row r="167" spans="1:12" x14ac:dyDescent="0.25">
      <c r="A167" s="1"/>
      <c r="B167" s="7" t="s">
        <v>222</v>
      </c>
      <c r="C167" s="25">
        <v>20016343</v>
      </c>
      <c r="D167" s="7" t="s">
        <v>1455</v>
      </c>
      <c r="E167" s="26">
        <v>1</v>
      </c>
      <c r="F167" s="7" t="s">
        <v>225</v>
      </c>
      <c r="G167" s="7" t="s">
        <v>219</v>
      </c>
      <c r="H167" s="19" t="str">
        <f t="shared" si="3"/>
        <v/>
      </c>
      <c r="I167" s="19" t="s">
        <v>221</v>
      </c>
      <c r="J167" s="7" t="s">
        <v>721</v>
      </c>
      <c r="K167" s="1"/>
      <c r="L167" s="7" t="s">
        <v>195</v>
      </c>
    </row>
    <row r="168" spans="1:12" x14ac:dyDescent="0.25">
      <c r="A168" s="1"/>
      <c r="B168" s="7" t="s">
        <v>222</v>
      </c>
      <c r="C168" s="25">
        <v>20016346</v>
      </c>
      <c r="D168" s="7" t="s">
        <v>1458</v>
      </c>
      <c r="E168" s="26">
        <v>1</v>
      </c>
      <c r="F168" s="7" t="s">
        <v>225</v>
      </c>
      <c r="G168" s="7" t="s">
        <v>219</v>
      </c>
      <c r="H168" s="19" t="str">
        <f t="shared" si="3"/>
        <v/>
      </c>
      <c r="I168" s="19" t="s">
        <v>221</v>
      </c>
      <c r="J168" s="7" t="s">
        <v>721</v>
      </c>
      <c r="K168" s="1"/>
      <c r="L168" s="7" t="s">
        <v>195</v>
      </c>
    </row>
    <row r="169" spans="1:12" x14ac:dyDescent="0.25">
      <c r="A169" s="1"/>
      <c r="B169" s="7" t="s">
        <v>222</v>
      </c>
      <c r="C169" s="25">
        <v>20016859</v>
      </c>
      <c r="D169" s="7" t="s">
        <v>1485</v>
      </c>
      <c r="E169" s="26">
        <v>1</v>
      </c>
      <c r="F169" s="7" t="s">
        <v>225</v>
      </c>
      <c r="G169" s="7" t="s">
        <v>219</v>
      </c>
      <c r="H169" s="19" t="str">
        <f t="shared" si="3"/>
        <v/>
      </c>
      <c r="I169" s="19" t="s">
        <v>221</v>
      </c>
      <c r="J169" s="7" t="s">
        <v>397</v>
      </c>
      <c r="K169" s="1"/>
      <c r="L169" s="7" t="s">
        <v>195</v>
      </c>
    </row>
    <row r="170" spans="1:12" x14ac:dyDescent="0.25">
      <c r="A170" s="1"/>
      <c r="B170" s="7" t="s">
        <v>222</v>
      </c>
      <c r="C170" s="25">
        <v>20016876</v>
      </c>
      <c r="D170" s="7" t="s">
        <v>1487</v>
      </c>
      <c r="E170" s="26">
        <v>1</v>
      </c>
      <c r="F170" s="7" t="s">
        <v>225</v>
      </c>
      <c r="G170" s="7" t="s">
        <v>219</v>
      </c>
      <c r="H170" s="19" t="str">
        <f t="shared" si="3"/>
        <v/>
      </c>
      <c r="I170" s="19" t="s">
        <v>221</v>
      </c>
      <c r="J170" s="7" t="s">
        <v>347</v>
      </c>
      <c r="K170" s="1"/>
      <c r="L170" s="7" t="s">
        <v>195</v>
      </c>
    </row>
    <row r="171" spans="1:12" x14ac:dyDescent="0.25">
      <c r="A171" s="1"/>
      <c r="B171" s="7" t="s">
        <v>222</v>
      </c>
      <c r="C171" s="25">
        <v>20017123</v>
      </c>
      <c r="D171" s="7" t="s">
        <v>1492</v>
      </c>
      <c r="E171" s="26">
        <v>1</v>
      </c>
      <c r="F171" s="7" t="s">
        <v>225</v>
      </c>
      <c r="G171" s="7" t="s">
        <v>219</v>
      </c>
      <c r="H171" s="19" t="str">
        <f t="shared" si="3"/>
        <v/>
      </c>
      <c r="I171" s="19" t="s">
        <v>221</v>
      </c>
      <c r="J171" s="7" t="s">
        <v>347</v>
      </c>
      <c r="K171" s="1"/>
      <c r="L171" s="7" t="s">
        <v>195</v>
      </c>
    </row>
    <row r="172" spans="1:12" x14ac:dyDescent="0.25">
      <c r="A172" s="1"/>
      <c r="B172" s="7" t="s">
        <v>222</v>
      </c>
      <c r="C172" s="25">
        <v>20017533</v>
      </c>
      <c r="D172" s="7" t="s">
        <v>1495</v>
      </c>
      <c r="E172" s="26">
        <v>1</v>
      </c>
      <c r="F172" s="7" t="s">
        <v>225</v>
      </c>
      <c r="G172" s="7" t="s">
        <v>219</v>
      </c>
      <c r="H172" s="19" t="str">
        <f t="shared" si="3"/>
        <v/>
      </c>
      <c r="I172" s="19" t="s">
        <v>221</v>
      </c>
      <c r="J172" s="7" t="s">
        <v>309</v>
      </c>
      <c r="K172" s="1"/>
      <c r="L172" s="7" t="s">
        <v>195</v>
      </c>
    </row>
    <row r="173" spans="1:12" x14ac:dyDescent="0.25">
      <c r="A173" s="1"/>
      <c r="B173" s="7" t="s">
        <v>222</v>
      </c>
      <c r="C173" s="25">
        <v>20017534</v>
      </c>
      <c r="D173" s="7" t="s">
        <v>1496</v>
      </c>
      <c r="E173" s="26">
        <v>1</v>
      </c>
      <c r="F173" s="7" t="s">
        <v>225</v>
      </c>
      <c r="G173" s="7" t="s">
        <v>219</v>
      </c>
      <c r="H173" s="19" t="str">
        <f t="shared" si="3"/>
        <v/>
      </c>
      <c r="I173" s="19" t="s">
        <v>221</v>
      </c>
      <c r="J173" s="7" t="s">
        <v>309</v>
      </c>
      <c r="K173" s="1"/>
      <c r="L173" s="7" t="s">
        <v>195</v>
      </c>
    </row>
    <row r="174" spans="1:12" x14ac:dyDescent="0.25">
      <c r="A174" s="1"/>
      <c r="B174" s="7" t="s">
        <v>227</v>
      </c>
      <c r="C174" s="25">
        <v>20017561</v>
      </c>
      <c r="D174" s="7" t="s">
        <v>1499</v>
      </c>
      <c r="E174" s="26">
        <v>1</v>
      </c>
      <c r="F174" s="7" t="s">
        <v>225</v>
      </c>
      <c r="G174" s="7" t="s">
        <v>219</v>
      </c>
      <c r="H174" s="19" t="str">
        <f t="shared" si="3"/>
        <v/>
      </c>
      <c r="I174" s="19" t="s">
        <v>37</v>
      </c>
      <c r="J174" s="7" t="s">
        <v>345</v>
      </c>
      <c r="K174" s="1"/>
      <c r="L174" s="7" t="s">
        <v>195</v>
      </c>
    </row>
    <row r="175" spans="1:12" x14ac:dyDescent="0.25">
      <c r="A175" s="1"/>
      <c r="B175" s="7" t="s">
        <v>222</v>
      </c>
      <c r="C175" s="25">
        <v>20017757</v>
      </c>
      <c r="D175" s="7" t="s">
        <v>1502</v>
      </c>
      <c r="E175" s="26">
        <v>1</v>
      </c>
      <c r="F175" s="7" t="s">
        <v>225</v>
      </c>
      <c r="G175" s="7" t="s">
        <v>219</v>
      </c>
      <c r="H175" s="19" t="str">
        <f t="shared" si="3"/>
        <v/>
      </c>
      <c r="I175" s="19" t="s">
        <v>221</v>
      </c>
      <c r="J175" s="7" t="s">
        <v>313</v>
      </c>
      <c r="K175" s="1"/>
      <c r="L175" s="7" t="s">
        <v>195</v>
      </c>
    </row>
    <row r="176" spans="1:12" x14ac:dyDescent="0.25">
      <c r="A176" s="1"/>
      <c r="B176" s="7" t="s">
        <v>222</v>
      </c>
      <c r="C176" s="25">
        <v>20017758</v>
      </c>
      <c r="D176" s="7" t="s">
        <v>1503</v>
      </c>
      <c r="E176" s="26">
        <v>1</v>
      </c>
      <c r="F176" s="7" t="s">
        <v>225</v>
      </c>
      <c r="G176" s="7" t="s">
        <v>219</v>
      </c>
      <c r="H176" s="19" t="str">
        <f t="shared" si="3"/>
        <v/>
      </c>
      <c r="I176" s="19" t="s">
        <v>221</v>
      </c>
      <c r="J176" s="7" t="s">
        <v>313</v>
      </c>
      <c r="K176" s="1"/>
      <c r="L176" s="7" t="s">
        <v>195</v>
      </c>
    </row>
    <row r="177" spans="1:12" x14ac:dyDescent="0.25">
      <c r="A177" s="1"/>
      <c r="B177" s="7" t="s">
        <v>222</v>
      </c>
      <c r="C177" s="25">
        <v>20017761</v>
      </c>
      <c r="D177" s="7" t="s">
        <v>1504</v>
      </c>
      <c r="E177" s="26">
        <v>1</v>
      </c>
      <c r="F177" s="7" t="s">
        <v>225</v>
      </c>
      <c r="G177" s="7" t="s">
        <v>219</v>
      </c>
      <c r="H177" s="19" t="str">
        <f t="shared" si="3"/>
        <v/>
      </c>
      <c r="I177" s="19" t="s">
        <v>221</v>
      </c>
      <c r="J177" s="7" t="s">
        <v>313</v>
      </c>
      <c r="K177" s="1"/>
      <c r="L177" s="7" t="s">
        <v>195</v>
      </c>
    </row>
    <row r="178" spans="1:12" x14ac:dyDescent="0.25">
      <c r="A178" s="1"/>
      <c r="B178" s="7" t="s">
        <v>222</v>
      </c>
      <c r="C178" s="25">
        <v>20017764</v>
      </c>
      <c r="D178" s="7" t="s">
        <v>1506</v>
      </c>
      <c r="E178" s="26">
        <v>1</v>
      </c>
      <c r="F178" s="7" t="s">
        <v>225</v>
      </c>
      <c r="G178" s="7" t="s">
        <v>219</v>
      </c>
      <c r="H178" s="19" t="str">
        <f t="shared" si="3"/>
        <v/>
      </c>
      <c r="I178" s="19" t="s">
        <v>221</v>
      </c>
      <c r="J178" s="7" t="s">
        <v>313</v>
      </c>
      <c r="K178" s="1"/>
      <c r="L178" s="7" t="s">
        <v>195</v>
      </c>
    </row>
    <row r="179" spans="1:12" x14ac:dyDescent="0.25">
      <c r="A179" s="1"/>
      <c r="B179" s="7" t="s">
        <v>222</v>
      </c>
      <c r="C179" s="25">
        <v>20017766</v>
      </c>
      <c r="D179" s="7" t="s">
        <v>1507</v>
      </c>
      <c r="E179" s="26">
        <v>1</v>
      </c>
      <c r="F179" s="7" t="s">
        <v>225</v>
      </c>
      <c r="G179" s="7" t="s">
        <v>219</v>
      </c>
      <c r="H179" s="19" t="str">
        <f t="shared" si="3"/>
        <v/>
      </c>
      <c r="I179" s="19" t="s">
        <v>221</v>
      </c>
      <c r="J179" s="7" t="s">
        <v>313</v>
      </c>
      <c r="K179" s="1"/>
      <c r="L179" s="7" t="s">
        <v>195</v>
      </c>
    </row>
    <row r="180" spans="1:12" x14ac:dyDescent="0.25">
      <c r="A180" s="1"/>
      <c r="B180" s="7" t="s">
        <v>222</v>
      </c>
      <c r="C180" s="25">
        <v>20017767</v>
      </c>
      <c r="D180" s="7" t="s">
        <v>1508</v>
      </c>
      <c r="E180" s="26">
        <v>1</v>
      </c>
      <c r="F180" s="7" t="s">
        <v>225</v>
      </c>
      <c r="G180" s="7" t="s">
        <v>219</v>
      </c>
      <c r="H180" s="19" t="str">
        <f t="shared" si="3"/>
        <v/>
      </c>
      <c r="I180" s="19" t="s">
        <v>221</v>
      </c>
      <c r="J180" s="7" t="s">
        <v>313</v>
      </c>
      <c r="K180" s="1"/>
      <c r="L180" s="7" t="s">
        <v>195</v>
      </c>
    </row>
    <row r="181" spans="1:12" x14ac:dyDescent="0.25">
      <c r="A181" s="1"/>
      <c r="B181" s="7" t="s">
        <v>222</v>
      </c>
      <c r="C181" s="25">
        <v>20017768</v>
      </c>
      <c r="D181" s="7" t="s">
        <v>1509</v>
      </c>
      <c r="E181" s="26">
        <v>1</v>
      </c>
      <c r="F181" s="7" t="s">
        <v>225</v>
      </c>
      <c r="G181" s="7" t="s">
        <v>219</v>
      </c>
      <c r="H181" s="19" t="str">
        <f t="shared" si="3"/>
        <v/>
      </c>
      <c r="I181" s="19" t="s">
        <v>221</v>
      </c>
      <c r="J181" s="7" t="s">
        <v>313</v>
      </c>
      <c r="K181" s="1"/>
      <c r="L181" s="7" t="s">
        <v>195</v>
      </c>
    </row>
    <row r="182" spans="1:12" x14ac:dyDescent="0.25">
      <c r="A182" s="1"/>
      <c r="B182" s="7" t="s">
        <v>222</v>
      </c>
      <c r="C182" s="25">
        <v>20017783</v>
      </c>
      <c r="D182" s="7" t="s">
        <v>1510</v>
      </c>
      <c r="E182" s="26">
        <v>1</v>
      </c>
      <c r="F182" s="7" t="s">
        <v>225</v>
      </c>
      <c r="G182" s="7" t="s">
        <v>219</v>
      </c>
      <c r="H182" s="19" t="str">
        <f t="shared" si="3"/>
        <v/>
      </c>
      <c r="I182" s="19" t="s">
        <v>221</v>
      </c>
      <c r="J182" s="7" t="s">
        <v>309</v>
      </c>
      <c r="K182" s="1"/>
      <c r="L182" s="7" t="s">
        <v>195</v>
      </c>
    </row>
    <row r="183" spans="1:12" x14ac:dyDescent="0.25">
      <c r="A183" s="1"/>
      <c r="B183" s="7" t="s">
        <v>222</v>
      </c>
      <c r="C183" s="25">
        <v>20017789</v>
      </c>
      <c r="D183" s="7" t="s">
        <v>1511</v>
      </c>
      <c r="E183" s="26">
        <v>1</v>
      </c>
      <c r="F183" s="7" t="s">
        <v>225</v>
      </c>
      <c r="G183" s="7" t="s">
        <v>219</v>
      </c>
      <c r="H183" s="19" t="str">
        <f t="shared" si="3"/>
        <v/>
      </c>
      <c r="I183" s="19" t="s">
        <v>221</v>
      </c>
      <c r="J183" s="7" t="s">
        <v>309</v>
      </c>
      <c r="K183" s="1"/>
      <c r="L183" s="7" t="s">
        <v>195</v>
      </c>
    </row>
    <row r="184" spans="1:12" x14ac:dyDescent="0.25">
      <c r="A184" s="1"/>
      <c r="B184" s="7" t="s">
        <v>222</v>
      </c>
      <c r="C184" s="25">
        <v>20017790</v>
      </c>
      <c r="D184" s="7" t="s">
        <v>1512</v>
      </c>
      <c r="E184" s="26">
        <v>1</v>
      </c>
      <c r="F184" s="7" t="s">
        <v>225</v>
      </c>
      <c r="G184" s="7" t="s">
        <v>219</v>
      </c>
      <c r="H184" s="19" t="str">
        <f t="shared" si="3"/>
        <v/>
      </c>
      <c r="I184" s="19" t="s">
        <v>221</v>
      </c>
      <c r="J184" s="7" t="s">
        <v>309</v>
      </c>
      <c r="K184" s="1"/>
      <c r="L184" s="7" t="s">
        <v>195</v>
      </c>
    </row>
    <row r="185" spans="1:12" x14ac:dyDescent="0.25">
      <c r="A185" s="1"/>
      <c r="B185" s="7" t="s">
        <v>222</v>
      </c>
      <c r="C185" s="25">
        <v>20017791</v>
      </c>
      <c r="D185" s="7" t="s">
        <v>1513</v>
      </c>
      <c r="E185" s="26">
        <v>1</v>
      </c>
      <c r="F185" s="7" t="s">
        <v>225</v>
      </c>
      <c r="G185" s="7" t="s">
        <v>219</v>
      </c>
      <c r="H185" s="19" t="str">
        <f t="shared" si="3"/>
        <v/>
      </c>
      <c r="I185" s="19" t="s">
        <v>221</v>
      </c>
      <c r="J185" s="7" t="s">
        <v>309</v>
      </c>
      <c r="K185" s="1"/>
      <c r="L185" s="7" t="s">
        <v>195</v>
      </c>
    </row>
    <row r="186" spans="1:12" x14ac:dyDescent="0.25">
      <c r="A186" s="1"/>
      <c r="B186" s="7" t="s">
        <v>222</v>
      </c>
      <c r="C186" s="25">
        <v>20017803</v>
      </c>
      <c r="D186" s="7" t="s">
        <v>1514</v>
      </c>
      <c r="E186" s="26">
        <v>1</v>
      </c>
      <c r="F186" s="7" t="s">
        <v>225</v>
      </c>
      <c r="G186" s="7" t="s">
        <v>219</v>
      </c>
      <c r="H186" s="19" t="str">
        <f t="shared" si="3"/>
        <v/>
      </c>
      <c r="I186" s="19" t="s">
        <v>221</v>
      </c>
      <c r="J186" s="7" t="s">
        <v>309</v>
      </c>
      <c r="K186" s="1"/>
      <c r="L186" s="7" t="s">
        <v>195</v>
      </c>
    </row>
    <row r="187" spans="1:12" x14ac:dyDescent="0.25">
      <c r="A187" s="1"/>
      <c r="B187" s="7" t="s">
        <v>222</v>
      </c>
      <c r="C187" s="25">
        <v>20017880</v>
      </c>
      <c r="D187" s="7" t="s">
        <v>1517</v>
      </c>
      <c r="E187" s="26">
        <v>1</v>
      </c>
      <c r="F187" s="7" t="s">
        <v>225</v>
      </c>
      <c r="G187" s="7" t="s">
        <v>219</v>
      </c>
      <c r="H187" s="19" t="str">
        <f t="shared" si="3"/>
        <v/>
      </c>
      <c r="I187" s="19" t="s">
        <v>221</v>
      </c>
      <c r="J187" s="7" t="s">
        <v>313</v>
      </c>
      <c r="K187" s="1"/>
      <c r="L187" s="7" t="s">
        <v>195</v>
      </c>
    </row>
    <row r="188" spans="1:12" x14ac:dyDescent="0.25">
      <c r="A188" s="1"/>
      <c r="B188" s="7" t="s">
        <v>222</v>
      </c>
      <c r="C188" s="25">
        <v>20017985</v>
      </c>
      <c r="D188" s="7" t="s">
        <v>1520</v>
      </c>
      <c r="E188" s="26">
        <v>1</v>
      </c>
      <c r="F188" s="7" t="s">
        <v>225</v>
      </c>
      <c r="G188" s="7" t="s">
        <v>219</v>
      </c>
      <c r="H188" s="19" t="str">
        <f t="shared" si="3"/>
        <v/>
      </c>
      <c r="I188" s="19" t="s">
        <v>221</v>
      </c>
      <c r="J188" s="7" t="s">
        <v>313</v>
      </c>
      <c r="K188" s="1"/>
      <c r="L188" s="7" t="s">
        <v>195</v>
      </c>
    </row>
    <row r="189" spans="1:12" x14ac:dyDescent="0.25">
      <c r="A189" s="1"/>
      <c r="B189" s="7" t="s">
        <v>222</v>
      </c>
      <c r="C189" s="25">
        <v>20018004</v>
      </c>
      <c r="D189" s="7" t="s">
        <v>1521</v>
      </c>
      <c r="E189" s="26">
        <v>1</v>
      </c>
      <c r="F189" s="7" t="s">
        <v>225</v>
      </c>
      <c r="G189" s="7" t="s">
        <v>219</v>
      </c>
      <c r="H189" s="19" t="str">
        <f t="shared" si="3"/>
        <v/>
      </c>
      <c r="I189" s="19" t="s">
        <v>221</v>
      </c>
      <c r="J189" s="7" t="s">
        <v>313</v>
      </c>
      <c r="K189" s="1"/>
      <c r="L189" s="7" t="s">
        <v>195</v>
      </c>
    </row>
    <row r="190" spans="1:12" x14ac:dyDescent="0.25">
      <c r="A190" s="1"/>
      <c r="B190" s="7" t="s">
        <v>233</v>
      </c>
      <c r="C190" s="25">
        <v>20018009</v>
      </c>
      <c r="D190" s="7" t="s">
        <v>1522</v>
      </c>
      <c r="E190" s="26">
        <v>1</v>
      </c>
      <c r="F190" s="7" t="s">
        <v>225</v>
      </c>
      <c r="G190" s="7" t="s">
        <v>219</v>
      </c>
      <c r="H190" s="19" t="str">
        <f t="shared" si="3"/>
        <v/>
      </c>
      <c r="I190" s="19" t="s">
        <v>328</v>
      </c>
      <c r="J190" s="7" t="s">
        <v>309</v>
      </c>
      <c r="K190" s="1"/>
      <c r="L190" s="7" t="s">
        <v>195</v>
      </c>
    </row>
    <row r="191" spans="1:12" x14ac:dyDescent="0.25">
      <c r="A191" s="1"/>
      <c r="B191" s="7" t="s">
        <v>230</v>
      </c>
      <c r="C191" s="25">
        <v>20018032</v>
      </c>
      <c r="D191" s="7" t="s">
        <v>1525</v>
      </c>
      <c r="E191" s="26">
        <v>1</v>
      </c>
      <c r="F191" s="7" t="s">
        <v>225</v>
      </c>
      <c r="G191" s="7" t="s">
        <v>219</v>
      </c>
      <c r="H191" s="19" t="str">
        <f t="shared" si="3"/>
        <v/>
      </c>
      <c r="I191" s="19" t="s">
        <v>910</v>
      </c>
      <c r="J191" s="7" t="s">
        <v>397</v>
      </c>
      <c r="K191" s="1"/>
      <c r="L191" s="7" t="s">
        <v>195</v>
      </c>
    </row>
    <row r="192" spans="1:12" x14ac:dyDescent="0.25">
      <c r="A192" s="1"/>
      <c r="B192" s="7" t="s">
        <v>222</v>
      </c>
      <c r="C192" s="25">
        <v>20018075</v>
      </c>
      <c r="D192" s="7" t="s">
        <v>1527</v>
      </c>
      <c r="E192" s="26">
        <v>1</v>
      </c>
      <c r="F192" s="7" t="s">
        <v>225</v>
      </c>
      <c r="G192" s="7" t="s">
        <v>219</v>
      </c>
      <c r="H192" s="19" t="str">
        <f t="shared" si="3"/>
        <v/>
      </c>
      <c r="I192" s="19" t="s">
        <v>221</v>
      </c>
      <c r="J192" s="7" t="s">
        <v>313</v>
      </c>
      <c r="K192" s="1"/>
      <c r="L192" s="7" t="s">
        <v>195</v>
      </c>
    </row>
    <row r="193" spans="1:12" x14ac:dyDescent="0.25">
      <c r="A193" s="1"/>
      <c r="B193" s="7" t="s">
        <v>222</v>
      </c>
      <c r="C193" s="25">
        <v>20018076</v>
      </c>
      <c r="D193" s="7" t="s">
        <v>1528</v>
      </c>
      <c r="E193" s="26">
        <v>1</v>
      </c>
      <c r="F193" s="7" t="s">
        <v>225</v>
      </c>
      <c r="G193" s="7" t="s">
        <v>219</v>
      </c>
      <c r="H193" s="19" t="str">
        <f t="shared" si="3"/>
        <v/>
      </c>
      <c r="I193" s="19" t="s">
        <v>221</v>
      </c>
      <c r="J193" s="7" t="s">
        <v>313</v>
      </c>
      <c r="K193" s="1"/>
      <c r="L193" s="7" t="s">
        <v>195</v>
      </c>
    </row>
    <row r="194" spans="1:12" x14ac:dyDescent="0.25">
      <c r="A194" s="1"/>
      <c r="B194" s="7" t="s">
        <v>222</v>
      </c>
      <c r="C194" s="25">
        <v>20018077</v>
      </c>
      <c r="D194" s="7" t="s">
        <v>1529</v>
      </c>
      <c r="E194" s="26">
        <v>1</v>
      </c>
      <c r="F194" s="7" t="s">
        <v>225</v>
      </c>
      <c r="G194" s="7" t="s">
        <v>219</v>
      </c>
      <c r="H194" s="19" t="str">
        <f t="shared" si="3"/>
        <v/>
      </c>
      <c r="I194" s="19" t="s">
        <v>221</v>
      </c>
      <c r="J194" s="7" t="s">
        <v>313</v>
      </c>
      <c r="K194" s="1"/>
      <c r="L194" s="7" t="s">
        <v>195</v>
      </c>
    </row>
    <row r="195" spans="1:12" x14ac:dyDescent="0.25">
      <c r="A195" s="1"/>
      <c r="B195" s="7" t="s">
        <v>222</v>
      </c>
      <c r="C195" s="25">
        <v>20018078</v>
      </c>
      <c r="D195" s="7" t="s">
        <v>1530</v>
      </c>
      <c r="E195" s="26">
        <v>1</v>
      </c>
      <c r="F195" s="7" t="s">
        <v>225</v>
      </c>
      <c r="G195" s="7" t="s">
        <v>219</v>
      </c>
      <c r="H195" s="19" t="str">
        <f t="shared" si="3"/>
        <v/>
      </c>
      <c r="I195" s="19" t="s">
        <v>221</v>
      </c>
      <c r="J195" s="7" t="s">
        <v>313</v>
      </c>
      <c r="K195" s="1"/>
      <c r="L195" s="7" t="s">
        <v>195</v>
      </c>
    </row>
    <row r="196" spans="1:12" x14ac:dyDescent="0.25">
      <c r="A196" s="1"/>
      <c r="B196" s="7" t="s">
        <v>222</v>
      </c>
      <c r="C196" s="25">
        <v>20018080</v>
      </c>
      <c r="D196" s="7" t="s">
        <v>1531</v>
      </c>
      <c r="E196" s="26">
        <v>1</v>
      </c>
      <c r="F196" s="7" t="s">
        <v>225</v>
      </c>
      <c r="G196" s="7" t="s">
        <v>219</v>
      </c>
      <c r="H196" s="19" t="str">
        <f t="shared" si="3"/>
        <v/>
      </c>
      <c r="I196" s="19" t="s">
        <v>221</v>
      </c>
      <c r="J196" s="7" t="s">
        <v>313</v>
      </c>
      <c r="K196" s="1"/>
      <c r="L196" s="7" t="s">
        <v>195</v>
      </c>
    </row>
    <row r="197" spans="1:12" x14ac:dyDescent="0.25">
      <c r="A197" s="1"/>
      <c r="B197" s="7" t="s">
        <v>222</v>
      </c>
      <c r="C197" s="25">
        <v>20018081</v>
      </c>
      <c r="D197" s="7" t="s">
        <v>1532</v>
      </c>
      <c r="E197" s="26">
        <v>1</v>
      </c>
      <c r="F197" s="7" t="s">
        <v>225</v>
      </c>
      <c r="G197" s="7" t="s">
        <v>219</v>
      </c>
      <c r="H197" s="19" t="str">
        <f t="shared" si="3"/>
        <v/>
      </c>
      <c r="I197" s="19" t="s">
        <v>221</v>
      </c>
      <c r="J197" s="7" t="s">
        <v>313</v>
      </c>
      <c r="K197" s="1"/>
      <c r="L197" s="7" t="s">
        <v>195</v>
      </c>
    </row>
    <row r="198" spans="1:12" x14ac:dyDescent="0.25">
      <c r="A198" s="1"/>
      <c r="B198" s="7" t="s">
        <v>222</v>
      </c>
      <c r="C198" s="25">
        <v>20018082</v>
      </c>
      <c r="D198" s="7" t="s">
        <v>1533</v>
      </c>
      <c r="E198" s="26">
        <v>1</v>
      </c>
      <c r="F198" s="7" t="s">
        <v>225</v>
      </c>
      <c r="G198" s="7" t="s">
        <v>219</v>
      </c>
      <c r="H198" s="19" t="str">
        <f t="shared" si="3"/>
        <v/>
      </c>
      <c r="I198" s="19" t="s">
        <v>221</v>
      </c>
      <c r="J198" s="7" t="s">
        <v>313</v>
      </c>
      <c r="K198" s="1"/>
      <c r="L198" s="7" t="s">
        <v>195</v>
      </c>
    </row>
    <row r="199" spans="1:12" x14ac:dyDescent="0.25">
      <c r="A199" s="1"/>
      <c r="B199" s="7" t="s">
        <v>222</v>
      </c>
      <c r="C199" s="25">
        <v>20018083</v>
      </c>
      <c r="D199" s="7" t="s">
        <v>1534</v>
      </c>
      <c r="E199" s="26">
        <v>1</v>
      </c>
      <c r="F199" s="7" t="s">
        <v>225</v>
      </c>
      <c r="G199" s="7" t="s">
        <v>219</v>
      </c>
      <c r="H199" s="19" t="str">
        <f t="shared" si="3"/>
        <v/>
      </c>
      <c r="I199" s="19" t="s">
        <v>221</v>
      </c>
      <c r="J199" s="7" t="s">
        <v>313</v>
      </c>
      <c r="K199" s="1"/>
      <c r="L199" s="7" t="s">
        <v>195</v>
      </c>
    </row>
    <row r="200" spans="1:12" x14ac:dyDescent="0.25">
      <c r="A200" s="1"/>
      <c r="B200" s="7" t="s">
        <v>222</v>
      </c>
      <c r="C200" s="25">
        <v>20018084</v>
      </c>
      <c r="D200" s="7" t="s">
        <v>1535</v>
      </c>
      <c r="E200" s="26">
        <v>1</v>
      </c>
      <c r="F200" s="7" t="s">
        <v>225</v>
      </c>
      <c r="G200" s="7" t="s">
        <v>219</v>
      </c>
      <c r="H200" s="19" t="str">
        <f t="shared" si="3"/>
        <v/>
      </c>
      <c r="I200" s="19" t="s">
        <v>221</v>
      </c>
      <c r="J200" s="7" t="s">
        <v>313</v>
      </c>
      <c r="K200" s="1"/>
      <c r="L200" s="7" t="s">
        <v>195</v>
      </c>
    </row>
    <row r="201" spans="1:12" x14ac:dyDescent="0.25">
      <c r="A201" s="1"/>
      <c r="B201" s="7" t="s">
        <v>222</v>
      </c>
      <c r="C201" s="25">
        <v>20018085</v>
      </c>
      <c r="D201" s="7" t="s">
        <v>1536</v>
      </c>
      <c r="E201" s="26">
        <v>1</v>
      </c>
      <c r="F201" s="7" t="s">
        <v>225</v>
      </c>
      <c r="G201" s="7" t="s">
        <v>219</v>
      </c>
      <c r="H201" s="19" t="str">
        <f t="shared" si="3"/>
        <v/>
      </c>
      <c r="I201" s="19" t="s">
        <v>221</v>
      </c>
      <c r="J201" s="7" t="s">
        <v>313</v>
      </c>
      <c r="K201" s="1"/>
      <c r="L201" s="7" t="s">
        <v>195</v>
      </c>
    </row>
    <row r="202" spans="1:12" x14ac:dyDescent="0.25">
      <c r="A202" s="1"/>
      <c r="B202" s="7" t="s">
        <v>222</v>
      </c>
      <c r="C202" s="25">
        <v>20018086</v>
      </c>
      <c r="D202" s="7" t="s">
        <v>1537</v>
      </c>
      <c r="E202" s="26">
        <v>1</v>
      </c>
      <c r="F202" s="7" t="s">
        <v>225</v>
      </c>
      <c r="G202" s="7" t="s">
        <v>219</v>
      </c>
      <c r="H202" s="19" t="str">
        <f t="shared" si="3"/>
        <v/>
      </c>
      <c r="I202" s="19" t="s">
        <v>221</v>
      </c>
      <c r="J202" s="7" t="s">
        <v>313</v>
      </c>
      <c r="K202" s="1"/>
      <c r="L202" s="7" t="s">
        <v>195</v>
      </c>
    </row>
    <row r="203" spans="1:12" x14ac:dyDescent="0.25">
      <c r="A203" s="1"/>
      <c r="B203" s="7" t="s">
        <v>222</v>
      </c>
      <c r="C203" s="25">
        <v>20018087</v>
      </c>
      <c r="D203" s="7" t="s">
        <v>1538</v>
      </c>
      <c r="E203" s="26">
        <v>1</v>
      </c>
      <c r="F203" s="7" t="s">
        <v>225</v>
      </c>
      <c r="G203" s="7" t="s">
        <v>219</v>
      </c>
      <c r="H203" s="19" t="str">
        <f t="shared" si="3"/>
        <v/>
      </c>
      <c r="I203" s="19" t="s">
        <v>221</v>
      </c>
      <c r="J203" s="7" t="s">
        <v>313</v>
      </c>
      <c r="K203" s="1"/>
      <c r="L203" s="7" t="s">
        <v>195</v>
      </c>
    </row>
    <row r="204" spans="1:12" x14ac:dyDescent="0.25">
      <c r="A204" s="1"/>
      <c r="B204" s="7" t="s">
        <v>229</v>
      </c>
      <c r="C204" s="25">
        <v>20018101</v>
      </c>
      <c r="D204" s="7" t="s">
        <v>10918</v>
      </c>
      <c r="E204" s="26">
        <v>1</v>
      </c>
      <c r="F204" s="7" t="s">
        <v>352</v>
      </c>
      <c r="G204" s="7" t="s">
        <v>1539</v>
      </c>
      <c r="H204" s="19" t="str">
        <f t="shared" si="3"/>
        <v/>
      </c>
      <c r="I204" s="19" t="s">
        <v>306</v>
      </c>
      <c r="J204" s="7" t="s">
        <v>313</v>
      </c>
      <c r="K204" s="1"/>
      <c r="L204" s="7" t="s">
        <v>195</v>
      </c>
    </row>
    <row r="205" spans="1:12" x14ac:dyDescent="0.25">
      <c r="A205" s="1"/>
      <c r="B205" s="7" t="s">
        <v>229</v>
      </c>
      <c r="C205" s="25">
        <v>20018102</v>
      </c>
      <c r="D205" s="7" t="s">
        <v>1540</v>
      </c>
      <c r="E205" s="26">
        <v>1</v>
      </c>
      <c r="F205" s="7" t="s">
        <v>225</v>
      </c>
      <c r="G205" s="7" t="s">
        <v>219</v>
      </c>
      <c r="H205" s="19" t="str">
        <f t="shared" si="3"/>
        <v/>
      </c>
      <c r="I205" s="19" t="s">
        <v>306</v>
      </c>
      <c r="J205" s="7" t="s">
        <v>313</v>
      </c>
      <c r="K205" s="1"/>
      <c r="L205" s="7" t="s">
        <v>195</v>
      </c>
    </row>
    <row r="206" spans="1:12" x14ac:dyDescent="0.25">
      <c r="A206" s="1"/>
      <c r="B206" s="7" t="s">
        <v>222</v>
      </c>
      <c r="C206" s="25">
        <v>20018103</v>
      </c>
      <c r="D206" s="7" t="s">
        <v>1541</v>
      </c>
      <c r="E206" s="26">
        <v>1</v>
      </c>
      <c r="F206" s="7" t="s">
        <v>225</v>
      </c>
      <c r="G206" s="7" t="s">
        <v>219</v>
      </c>
      <c r="H206" s="19" t="str">
        <f t="shared" si="3"/>
        <v/>
      </c>
      <c r="I206" s="19" t="s">
        <v>221</v>
      </c>
      <c r="J206" s="7" t="s">
        <v>313</v>
      </c>
      <c r="K206" s="1"/>
      <c r="L206" s="7" t="s">
        <v>195</v>
      </c>
    </row>
    <row r="207" spans="1:12" x14ac:dyDescent="0.25">
      <c r="A207" s="1"/>
      <c r="B207" s="7" t="s">
        <v>222</v>
      </c>
      <c r="C207" s="25">
        <v>20018104</v>
      </c>
      <c r="D207" s="7" t="s">
        <v>10919</v>
      </c>
      <c r="E207" s="26">
        <v>1</v>
      </c>
      <c r="F207" s="7" t="s">
        <v>352</v>
      </c>
      <c r="G207" s="7" t="s">
        <v>202</v>
      </c>
      <c r="H207" s="19" t="str">
        <f t="shared" ref="H207:H270" si="4">IF(A207="", "", A207*E207)</f>
        <v/>
      </c>
      <c r="I207" s="19" t="s">
        <v>221</v>
      </c>
      <c r="J207" s="7" t="s">
        <v>313</v>
      </c>
      <c r="K207" s="1"/>
      <c r="L207" s="7" t="s">
        <v>195</v>
      </c>
    </row>
    <row r="208" spans="1:12" x14ac:dyDescent="0.25">
      <c r="A208" s="1"/>
      <c r="B208" s="7" t="s">
        <v>222</v>
      </c>
      <c r="C208" s="25">
        <v>20018105</v>
      </c>
      <c r="D208" s="7" t="s">
        <v>1542</v>
      </c>
      <c r="E208" s="26">
        <v>1</v>
      </c>
      <c r="F208" s="7" t="s">
        <v>225</v>
      </c>
      <c r="G208" s="7" t="s">
        <v>219</v>
      </c>
      <c r="H208" s="19" t="str">
        <f t="shared" si="4"/>
        <v/>
      </c>
      <c r="I208" s="19" t="s">
        <v>221</v>
      </c>
      <c r="J208" s="7" t="s">
        <v>313</v>
      </c>
      <c r="K208" s="1"/>
      <c r="L208" s="7" t="s">
        <v>195</v>
      </c>
    </row>
    <row r="209" spans="1:12" x14ac:dyDescent="0.25">
      <c r="A209" s="1"/>
      <c r="B209" s="7" t="s">
        <v>222</v>
      </c>
      <c r="C209" s="25">
        <v>20018106</v>
      </c>
      <c r="D209" s="7" t="s">
        <v>1543</v>
      </c>
      <c r="E209" s="26">
        <v>1</v>
      </c>
      <c r="F209" s="7" t="s">
        <v>352</v>
      </c>
      <c r="G209" s="7" t="s">
        <v>1544</v>
      </c>
      <c r="H209" s="19" t="str">
        <f t="shared" si="4"/>
        <v/>
      </c>
      <c r="I209" s="19" t="s">
        <v>221</v>
      </c>
      <c r="J209" s="7" t="s">
        <v>313</v>
      </c>
      <c r="K209" s="1"/>
      <c r="L209" s="7" t="s">
        <v>195</v>
      </c>
    </row>
    <row r="210" spans="1:12" x14ac:dyDescent="0.25">
      <c r="A210" s="1"/>
      <c r="B210" s="7" t="s">
        <v>229</v>
      </c>
      <c r="C210" s="25">
        <v>20018148</v>
      </c>
      <c r="D210" s="7" t="s">
        <v>1548</v>
      </c>
      <c r="E210" s="26">
        <v>1</v>
      </c>
      <c r="F210" s="7" t="s">
        <v>225</v>
      </c>
      <c r="G210" s="7" t="s">
        <v>219</v>
      </c>
      <c r="H210" s="19" t="str">
        <f t="shared" si="4"/>
        <v/>
      </c>
      <c r="I210" s="19" t="s">
        <v>306</v>
      </c>
      <c r="J210" s="7" t="s">
        <v>309</v>
      </c>
      <c r="K210" s="1"/>
      <c r="L210" s="7" t="s">
        <v>195</v>
      </c>
    </row>
    <row r="211" spans="1:12" x14ac:dyDescent="0.25">
      <c r="A211" s="1"/>
      <c r="B211" s="7" t="s">
        <v>222</v>
      </c>
      <c r="C211" s="25">
        <v>20018152</v>
      </c>
      <c r="D211" s="7" t="s">
        <v>1549</v>
      </c>
      <c r="E211" s="26">
        <v>1</v>
      </c>
      <c r="F211" s="7" t="s">
        <v>225</v>
      </c>
      <c r="G211" s="7" t="s">
        <v>219</v>
      </c>
      <c r="H211" s="19" t="str">
        <f t="shared" si="4"/>
        <v/>
      </c>
      <c r="I211" s="19" t="s">
        <v>221</v>
      </c>
      <c r="J211" s="7" t="s">
        <v>313</v>
      </c>
      <c r="K211" s="1"/>
      <c r="L211" s="7" t="s">
        <v>195</v>
      </c>
    </row>
    <row r="212" spans="1:12" x14ac:dyDescent="0.25">
      <c r="A212" s="1"/>
      <c r="B212" s="7" t="s">
        <v>222</v>
      </c>
      <c r="C212" s="25">
        <v>20018154</v>
      </c>
      <c r="D212" s="7" t="s">
        <v>1551</v>
      </c>
      <c r="E212" s="26">
        <v>1</v>
      </c>
      <c r="F212" s="7" t="s">
        <v>225</v>
      </c>
      <c r="G212" s="7" t="s">
        <v>219</v>
      </c>
      <c r="H212" s="19" t="str">
        <f t="shared" si="4"/>
        <v/>
      </c>
      <c r="I212" s="19" t="s">
        <v>221</v>
      </c>
      <c r="J212" s="7" t="s">
        <v>347</v>
      </c>
      <c r="K212" s="1"/>
      <c r="L212" s="7" t="s">
        <v>195</v>
      </c>
    </row>
    <row r="213" spans="1:12" x14ac:dyDescent="0.25">
      <c r="A213" s="1"/>
      <c r="B213" s="7" t="s">
        <v>222</v>
      </c>
      <c r="C213" s="25">
        <v>20018161</v>
      </c>
      <c r="D213" s="7" t="s">
        <v>1552</v>
      </c>
      <c r="E213" s="26">
        <v>1</v>
      </c>
      <c r="F213" s="7" t="s">
        <v>225</v>
      </c>
      <c r="G213" s="7" t="s">
        <v>219</v>
      </c>
      <c r="H213" s="19" t="str">
        <f t="shared" si="4"/>
        <v/>
      </c>
      <c r="I213" s="19" t="s">
        <v>221</v>
      </c>
      <c r="J213" s="7" t="s">
        <v>397</v>
      </c>
      <c r="K213" s="1"/>
      <c r="L213" s="7" t="s">
        <v>195</v>
      </c>
    </row>
    <row r="214" spans="1:12" x14ac:dyDescent="0.25">
      <c r="A214" s="1"/>
      <c r="B214" s="7" t="s">
        <v>222</v>
      </c>
      <c r="C214" s="25">
        <v>20018164</v>
      </c>
      <c r="D214" s="7" t="s">
        <v>1554</v>
      </c>
      <c r="E214" s="26">
        <v>1</v>
      </c>
      <c r="F214" s="7" t="s">
        <v>225</v>
      </c>
      <c r="G214" s="7" t="s">
        <v>219</v>
      </c>
      <c r="H214" s="19" t="str">
        <f t="shared" si="4"/>
        <v/>
      </c>
      <c r="I214" s="19" t="s">
        <v>221</v>
      </c>
      <c r="J214" s="7" t="s">
        <v>309</v>
      </c>
      <c r="K214" s="1"/>
      <c r="L214" s="7" t="s">
        <v>195</v>
      </c>
    </row>
    <row r="215" spans="1:12" x14ac:dyDescent="0.25">
      <c r="A215" s="1"/>
      <c r="B215" s="7" t="s">
        <v>222</v>
      </c>
      <c r="C215" s="25">
        <v>20018166</v>
      </c>
      <c r="D215" s="7" t="s">
        <v>1555</v>
      </c>
      <c r="E215" s="26">
        <v>1</v>
      </c>
      <c r="F215" s="7" t="s">
        <v>225</v>
      </c>
      <c r="G215" s="7" t="s">
        <v>219</v>
      </c>
      <c r="H215" s="19" t="str">
        <f t="shared" si="4"/>
        <v/>
      </c>
      <c r="I215" s="19" t="s">
        <v>221</v>
      </c>
      <c r="J215" s="7" t="s">
        <v>347</v>
      </c>
      <c r="K215" s="1"/>
      <c r="L215" s="7" t="s">
        <v>195</v>
      </c>
    </row>
    <row r="216" spans="1:12" x14ac:dyDescent="0.25">
      <c r="A216" s="1"/>
      <c r="B216" s="7" t="s">
        <v>222</v>
      </c>
      <c r="C216" s="25">
        <v>20018196</v>
      </c>
      <c r="D216" s="7" t="s">
        <v>11599</v>
      </c>
      <c r="E216" s="26">
        <v>1</v>
      </c>
      <c r="F216" s="7" t="s">
        <v>352</v>
      </c>
      <c r="G216" s="7" t="s">
        <v>11660</v>
      </c>
      <c r="H216" s="19" t="str">
        <f t="shared" si="4"/>
        <v/>
      </c>
      <c r="I216" s="19" t="s">
        <v>221</v>
      </c>
      <c r="J216" s="7" t="s">
        <v>347</v>
      </c>
      <c r="K216" s="1"/>
      <c r="L216" s="7" t="s">
        <v>195</v>
      </c>
    </row>
    <row r="217" spans="1:12" x14ac:dyDescent="0.25">
      <c r="A217" s="1"/>
      <c r="B217" s="7" t="s">
        <v>222</v>
      </c>
      <c r="C217" s="25">
        <v>20019026</v>
      </c>
      <c r="D217" s="7" t="s">
        <v>1568</v>
      </c>
      <c r="E217" s="26">
        <v>1</v>
      </c>
      <c r="F217" s="7" t="s">
        <v>225</v>
      </c>
      <c r="G217" s="7" t="s">
        <v>219</v>
      </c>
      <c r="H217" s="19" t="str">
        <f t="shared" si="4"/>
        <v/>
      </c>
      <c r="I217" s="19" t="s">
        <v>221</v>
      </c>
      <c r="J217" s="7" t="s">
        <v>347</v>
      </c>
      <c r="K217" s="1"/>
      <c r="L217" s="7" t="s">
        <v>195</v>
      </c>
    </row>
    <row r="218" spans="1:12" x14ac:dyDescent="0.25">
      <c r="A218" s="1"/>
      <c r="B218" s="7" t="s">
        <v>222</v>
      </c>
      <c r="C218" s="25">
        <v>20019144</v>
      </c>
      <c r="D218" s="7" t="s">
        <v>1572</v>
      </c>
      <c r="E218" s="26">
        <v>1</v>
      </c>
      <c r="F218" s="7" t="s">
        <v>225</v>
      </c>
      <c r="G218" s="7" t="s">
        <v>219</v>
      </c>
      <c r="H218" s="19" t="str">
        <f t="shared" si="4"/>
        <v/>
      </c>
      <c r="I218" s="19" t="s">
        <v>221</v>
      </c>
      <c r="J218" s="7" t="s">
        <v>345</v>
      </c>
      <c r="K218" s="1"/>
      <c r="L218" s="7" t="s">
        <v>195</v>
      </c>
    </row>
    <row r="219" spans="1:12" x14ac:dyDescent="0.25">
      <c r="A219" s="1"/>
      <c r="B219" s="7" t="s">
        <v>222</v>
      </c>
      <c r="C219" s="25">
        <v>20019149</v>
      </c>
      <c r="D219" s="7" t="s">
        <v>1575</v>
      </c>
      <c r="E219" s="26">
        <v>1</v>
      </c>
      <c r="F219" s="7" t="s">
        <v>225</v>
      </c>
      <c r="G219" s="7" t="s">
        <v>219</v>
      </c>
      <c r="H219" s="19" t="str">
        <f t="shared" si="4"/>
        <v/>
      </c>
      <c r="I219" s="19" t="s">
        <v>221</v>
      </c>
      <c r="J219" s="7" t="s">
        <v>345</v>
      </c>
      <c r="K219" s="1"/>
      <c r="L219" s="7" t="s">
        <v>195</v>
      </c>
    </row>
    <row r="220" spans="1:12" x14ac:dyDescent="0.25">
      <c r="A220" s="1"/>
      <c r="B220" s="7" t="s">
        <v>222</v>
      </c>
      <c r="C220" s="25">
        <v>20019150</v>
      </c>
      <c r="D220" s="7" t="s">
        <v>1576</v>
      </c>
      <c r="E220" s="26">
        <v>1</v>
      </c>
      <c r="F220" s="7" t="s">
        <v>225</v>
      </c>
      <c r="G220" s="7" t="s">
        <v>219</v>
      </c>
      <c r="H220" s="19" t="str">
        <f t="shared" si="4"/>
        <v/>
      </c>
      <c r="I220" s="19" t="s">
        <v>221</v>
      </c>
      <c r="J220" s="7" t="s">
        <v>345</v>
      </c>
      <c r="K220" s="1"/>
      <c r="L220" s="7" t="s">
        <v>195</v>
      </c>
    </row>
    <row r="221" spans="1:12" x14ac:dyDescent="0.25">
      <c r="A221" s="1"/>
      <c r="B221" s="7" t="s">
        <v>222</v>
      </c>
      <c r="C221" s="25">
        <v>20019151</v>
      </c>
      <c r="D221" s="7" t="s">
        <v>1577</v>
      </c>
      <c r="E221" s="26">
        <v>1</v>
      </c>
      <c r="F221" s="7" t="s">
        <v>225</v>
      </c>
      <c r="G221" s="7" t="s">
        <v>219</v>
      </c>
      <c r="H221" s="19" t="str">
        <f t="shared" si="4"/>
        <v/>
      </c>
      <c r="I221" s="19" t="s">
        <v>221</v>
      </c>
      <c r="J221" s="7" t="s">
        <v>345</v>
      </c>
      <c r="K221" s="1"/>
      <c r="L221" s="7" t="s">
        <v>195</v>
      </c>
    </row>
    <row r="222" spans="1:12" x14ac:dyDescent="0.25">
      <c r="A222" s="1"/>
      <c r="B222" s="7" t="s">
        <v>222</v>
      </c>
      <c r="C222" s="25">
        <v>20019167</v>
      </c>
      <c r="D222" s="7" t="s">
        <v>1578</v>
      </c>
      <c r="E222" s="26">
        <v>1</v>
      </c>
      <c r="F222" s="7" t="s">
        <v>352</v>
      </c>
      <c r="G222" s="7" t="s">
        <v>188</v>
      </c>
      <c r="H222" s="19" t="str">
        <f t="shared" si="4"/>
        <v/>
      </c>
      <c r="I222" s="19" t="s">
        <v>221</v>
      </c>
      <c r="J222" s="7" t="s">
        <v>309</v>
      </c>
      <c r="K222" s="1"/>
      <c r="L222" s="7" t="s">
        <v>195</v>
      </c>
    </row>
    <row r="223" spans="1:12" x14ac:dyDescent="0.25">
      <c r="A223" s="1"/>
      <c r="B223" s="7" t="s">
        <v>222</v>
      </c>
      <c r="C223" s="25">
        <v>20019168</v>
      </c>
      <c r="D223" s="7" t="s">
        <v>1579</v>
      </c>
      <c r="E223" s="26">
        <v>1</v>
      </c>
      <c r="F223" s="7" t="s">
        <v>352</v>
      </c>
      <c r="G223" s="7" t="s">
        <v>188</v>
      </c>
      <c r="H223" s="19" t="str">
        <f t="shared" si="4"/>
        <v/>
      </c>
      <c r="I223" s="19" t="s">
        <v>221</v>
      </c>
      <c r="J223" s="7" t="s">
        <v>309</v>
      </c>
      <c r="K223" s="1"/>
      <c r="L223" s="7" t="s">
        <v>195</v>
      </c>
    </row>
    <row r="224" spans="1:12" x14ac:dyDescent="0.25">
      <c r="A224" s="1"/>
      <c r="B224" s="7" t="s">
        <v>222</v>
      </c>
      <c r="C224" s="25">
        <v>20019177</v>
      </c>
      <c r="D224" s="7" t="s">
        <v>1581</v>
      </c>
      <c r="E224" s="26">
        <v>1</v>
      </c>
      <c r="F224" s="7" t="s">
        <v>225</v>
      </c>
      <c r="G224" s="7" t="s">
        <v>219</v>
      </c>
      <c r="H224" s="19" t="str">
        <f t="shared" si="4"/>
        <v/>
      </c>
      <c r="I224" s="19" t="s">
        <v>221</v>
      </c>
      <c r="J224" s="7" t="s">
        <v>313</v>
      </c>
      <c r="K224" s="1"/>
      <c r="L224" s="7" t="s">
        <v>195</v>
      </c>
    </row>
    <row r="225" spans="1:12" x14ac:dyDescent="0.25">
      <c r="A225" s="1"/>
      <c r="B225" s="7" t="s">
        <v>222</v>
      </c>
      <c r="C225" s="25">
        <v>20019179</v>
      </c>
      <c r="D225" s="7" t="s">
        <v>1582</v>
      </c>
      <c r="E225" s="26">
        <v>1</v>
      </c>
      <c r="F225" s="7" t="s">
        <v>225</v>
      </c>
      <c r="G225" s="7" t="s">
        <v>219</v>
      </c>
      <c r="H225" s="19" t="str">
        <f t="shared" si="4"/>
        <v/>
      </c>
      <c r="I225" s="19" t="s">
        <v>221</v>
      </c>
      <c r="J225" s="7" t="s">
        <v>954</v>
      </c>
      <c r="K225" s="1"/>
      <c r="L225" s="7" t="s">
        <v>195</v>
      </c>
    </row>
    <row r="226" spans="1:12" x14ac:dyDescent="0.25">
      <c r="A226" s="1"/>
      <c r="B226" s="7" t="s">
        <v>222</v>
      </c>
      <c r="C226" s="25">
        <v>20019478</v>
      </c>
      <c r="D226" s="7" t="s">
        <v>1583</v>
      </c>
      <c r="E226" s="26">
        <v>1</v>
      </c>
      <c r="F226" s="7" t="s">
        <v>225</v>
      </c>
      <c r="G226" s="7" t="s">
        <v>219</v>
      </c>
      <c r="H226" s="19" t="str">
        <f t="shared" si="4"/>
        <v/>
      </c>
      <c r="I226" s="19" t="s">
        <v>221</v>
      </c>
      <c r="J226" s="7" t="s">
        <v>315</v>
      </c>
      <c r="K226" s="1"/>
      <c r="L226" s="7" t="s">
        <v>195</v>
      </c>
    </row>
    <row r="227" spans="1:12" x14ac:dyDescent="0.25">
      <c r="A227" s="1"/>
      <c r="B227" s="7" t="s">
        <v>222</v>
      </c>
      <c r="C227" s="25">
        <v>20019481</v>
      </c>
      <c r="D227" s="7" t="s">
        <v>1584</v>
      </c>
      <c r="E227" s="26">
        <v>1</v>
      </c>
      <c r="F227" s="7" t="s">
        <v>225</v>
      </c>
      <c r="G227" s="7" t="s">
        <v>219</v>
      </c>
      <c r="H227" s="19" t="str">
        <f t="shared" si="4"/>
        <v/>
      </c>
      <c r="I227" s="19" t="s">
        <v>221</v>
      </c>
      <c r="J227" s="7" t="s">
        <v>315</v>
      </c>
      <c r="K227" s="1"/>
      <c r="L227" s="7" t="s">
        <v>195</v>
      </c>
    </row>
    <row r="228" spans="1:12" x14ac:dyDescent="0.25">
      <c r="A228" s="1"/>
      <c r="B228" s="7" t="s">
        <v>222</v>
      </c>
      <c r="C228" s="25">
        <v>20019482</v>
      </c>
      <c r="D228" s="7" t="s">
        <v>1585</v>
      </c>
      <c r="E228" s="26">
        <v>1</v>
      </c>
      <c r="F228" s="7" t="s">
        <v>225</v>
      </c>
      <c r="G228" s="7" t="s">
        <v>219</v>
      </c>
      <c r="H228" s="19" t="str">
        <f t="shared" si="4"/>
        <v/>
      </c>
      <c r="I228" s="19" t="s">
        <v>221</v>
      </c>
      <c r="J228" s="7" t="s">
        <v>315</v>
      </c>
      <c r="K228" s="1"/>
      <c r="L228" s="7" t="s">
        <v>195</v>
      </c>
    </row>
    <row r="229" spans="1:12" x14ac:dyDescent="0.25">
      <c r="A229" s="1"/>
      <c r="B229" s="7" t="s">
        <v>222</v>
      </c>
      <c r="C229" s="25">
        <v>20019483</v>
      </c>
      <c r="D229" s="7" t="s">
        <v>1586</v>
      </c>
      <c r="E229" s="26">
        <v>1</v>
      </c>
      <c r="F229" s="7" t="s">
        <v>225</v>
      </c>
      <c r="G229" s="7" t="s">
        <v>219</v>
      </c>
      <c r="H229" s="19" t="str">
        <f t="shared" si="4"/>
        <v/>
      </c>
      <c r="I229" s="19" t="s">
        <v>221</v>
      </c>
      <c r="J229" s="7" t="s">
        <v>315</v>
      </c>
      <c r="K229" s="1"/>
      <c r="L229" s="7" t="s">
        <v>195</v>
      </c>
    </row>
    <row r="230" spans="1:12" x14ac:dyDescent="0.25">
      <c r="A230" s="1"/>
      <c r="B230" s="7" t="s">
        <v>222</v>
      </c>
      <c r="C230" s="25">
        <v>20019484</v>
      </c>
      <c r="D230" s="7" t="s">
        <v>1587</v>
      </c>
      <c r="E230" s="26">
        <v>1</v>
      </c>
      <c r="F230" s="7" t="s">
        <v>225</v>
      </c>
      <c r="G230" s="7" t="s">
        <v>219</v>
      </c>
      <c r="H230" s="19" t="str">
        <f t="shared" si="4"/>
        <v/>
      </c>
      <c r="I230" s="19" t="s">
        <v>221</v>
      </c>
      <c r="J230" s="7" t="s">
        <v>315</v>
      </c>
      <c r="K230" s="1"/>
      <c r="L230" s="7" t="s">
        <v>195</v>
      </c>
    </row>
    <row r="231" spans="1:12" x14ac:dyDescent="0.25">
      <c r="A231" s="1"/>
      <c r="B231" s="7" t="s">
        <v>222</v>
      </c>
      <c r="C231" s="25">
        <v>20019485</v>
      </c>
      <c r="D231" s="7" t="s">
        <v>1588</v>
      </c>
      <c r="E231" s="26">
        <v>1</v>
      </c>
      <c r="F231" s="7" t="s">
        <v>225</v>
      </c>
      <c r="G231" s="7" t="s">
        <v>219</v>
      </c>
      <c r="H231" s="19" t="str">
        <f t="shared" si="4"/>
        <v/>
      </c>
      <c r="I231" s="19" t="s">
        <v>221</v>
      </c>
      <c r="J231" s="7" t="s">
        <v>315</v>
      </c>
      <c r="K231" s="1"/>
      <c r="L231" s="7" t="s">
        <v>195</v>
      </c>
    </row>
    <row r="232" spans="1:12" x14ac:dyDescent="0.25">
      <c r="A232" s="1"/>
      <c r="B232" s="7" t="s">
        <v>222</v>
      </c>
      <c r="C232" s="25">
        <v>20019487</v>
      </c>
      <c r="D232" s="7" t="s">
        <v>1590</v>
      </c>
      <c r="E232" s="26">
        <v>1</v>
      </c>
      <c r="F232" s="7" t="s">
        <v>225</v>
      </c>
      <c r="G232" s="7" t="s">
        <v>219</v>
      </c>
      <c r="H232" s="19" t="str">
        <f t="shared" si="4"/>
        <v/>
      </c>
      <c r="I232" s="19" t="s">
        <v>221</v>
      </c>
      <c r="J232" s="7" t="s">
        <v>315</v>
      </c>
      <c r="K232" s="1"/>
      <c r="L232" s="7" t="s">
        <v>195</v>
      </c>
    </row>
    <row r="233" spans="1:12" x14ac:dyDescent="0.25">
      <c r="A233" s="1"/>
      <c r="B233" s="7" t="s">
        <v>222</v>
      </c>
      <c r="C233" s="25">
        <v>20019490</v>
      </c>
      <c r="D233" s="7" t="s">
        <v>1593</v>
      </c>
      <c r="E233" s="26">
        <v>1</v>
      </c>
      <c r="F233" s="7" t="s">
        <v>225</v>
      </c>
      <c r="G233" s="7" t="s">
        <v>219</v>
      </c>
      <c r="H233" s="19" t="str">
        <f t="shared" si="4"/>
        <v/>
      </c>
      <c r="I233" s="19" t="s">
        <v>221</v>
      </c>
      <c r="J233" s="7" t="s">
        <v>315</v>
      </c>
      <c r="K233" s="1"/>
      <c r="L233" s="7" t="s">
        <v>195</v>
      </c>
    </row>
    <row r="234" spans="1:12" x14ac:dyDescent="0.25">
      <c r="A234" s="1"/>
      <c r="B234" s="7" t="s">
        <v>222</v>
      </c>
      <c r="C234" s="25">
        <v>20019491</v>
      </c>
      <c r="D234" s="7" t="s">
        <v>1594</v>
      </c>
      <c r="E234" s="26">
        <v>1</v>
      </c>
      <c r="F234" s="7" t="s">
        <v>225</v>
      </c>
      <c r="G234" s="7" t="s">
        <v>219</v>
      </c>
      <c r="H234" s="19" t="str">
        <f t="shared" si="4"/>
        <v/>
      </c>
      <c r="I234" s="19" t="s">
        <v>221</v>
      </c>
      <c r="J234" s="7" t="s">
        <v>315</v>
      </c>
      <c r="K234" s="1"/>
      <c r="L234" s="7" t="s">
        <v>195</v>
      </c>
    </row>
    <row r="235" spans="1:12" x14ac:dyDescent="0.25">
      <c r="A235" s="1"/>
      <c r="B235" s="7" t="s">
        <v>222</v>
      </c>
      <c r="C235" s="25">
        <v>20019504</v>
      </c>
      <c r="D235" s="7" t="s">
        <v>1596</v>
      </c>
      <c r="E235" s="26">
        <v>1</v>
      </c>
      <c r="F235" s="7" t="s">
        <v>225</v>
      </c>
      <c r="G235" s="7" t="s">
        <v>219</v>
      </c>
      <c r="H235" s="19" t="str">
        <f t="shared" si="4"/>
        <v/>
      </c>
      <c r="I235" s="19" t="s">
        <v>221</v>
      </c>
      <c r="J235" s="7" t="s">
        <v>315</v>
      </c>
      <c r="K235" s="1"/>
      <c r="L235" s="7" t="s">
        <v>195</v>
      </c>
    </row>
    <row r="236" spans="1:12" x14ac:dyDescent="0.25">
      <c r="A236" s="1"/>
      <c r="B236" s="7" t="s">
        <v>222</v>
      </c>
      <c r="C236" s="25">
        <v>20019505</v>
      </c>
      <c r="D236" s="7" t="s">
        <v>1597</v>
      </c>
      <c r="E236" s="26">
        <v>1</v>
      </c>
      <c r="F236" s="7" t="s">
        <v>225</v>
      </c>
      <c r="G236" s="7" t="s">
        <v>219</v>
      </c>
      <c r="H236" s="19" t="str">
        <f t="shared" si="4"/>
        <v/>
      </c>
      <c r="I236" s="19" t="s">
        <v>221</v>
      </c>
      <c r="J236" s="7" t="s">
        <v>315</v>
      </c>
      <c r="K236" s="1"/>
      <c r="L236" s="7" t="s">
        <v>195</v>
      </c>
    </row>
    <row r="237" spans="1:12" x14ac:dyDescent="0.25">
      <c r="A237" s="1"/>
      <c r="B237" s="7" t="s">
        <v>222</v>
      </c>
      <c r="C237" s="25">
        <v>20019507</v>
      </c>
      <c r="D237" s="7" t="s">
        <v>1598</v>
      </c>
      <c r="E237" s="26">
        <v>1</v>
      </c>
      <c r="F237" s="7" t="s">
        <v>225</v>
      </c>
      <c r="G237" s="7" t="s">
        <v>219</v>
      </c>
      <c r="H237" s="19" t="str">
        <f t="shared" si="4"/>
        <v/>
      </c>
      <c r="I237" s="19" t="s">
        <v>221</v>
      </c>
      <c r="J237" s="7" t="s">
        <v>315</v>
      </c>
      <c r="K237" s="1"/>
      <c r="L237" s="7" t="s">
        <v>195</v>
      </c>
    </row>
    <row r="238" spans="1:12" x14ac:dyDescent="0.25">
      <c r="A238" s="1"/>
      <c r="B238" s="7" t="s">
        <v>222</v>
      </c>
      <c r="C238" s="25">
        <v>20019509</v>
      </c>
      <c r="D238" s="7" t="s">
        <v>1599</v>
      </c>
      <c r="E238" s="26">
        <v>1</v>
      </c>
      <c r="F238" s="7" t="s">
        <v>225</v>
      </c>
      <c r="G238" s="7" t="s">
        <v>219</v>
      </c>
      <c r="H238" s="19" t="str">
        <f t="shared" si="4"/>
        <v/>
      </c>
      <c r="I238" s="19" t="s">
        <v>221</v>
      </c>
      <c r="J238" s="7" t="s">
        <v>315</v>
      </c>
      <c r="K238" s="1"/>
      <c r="L238" s="7" t="s">
        <v>195</v>
      </c>
    </row>
    <row r="239" spans="1:12" x14ac:dyDescent="0.25">
      <c r="A239" s="1"/>
      <c r="B239" s="7" t="s">
        <v>222</v>
      </c>
      <c r="C239" s="25">
        <v>20019510</v>
      </c>
      <c r="D239" s="7" t="s">
        <v>1600</v>
      </c>
      <c r="E239" s="26">
        <v>1</v>
      </c>
      <c r="F239" s="7" t="s">
        <v>225</v>
      </c>
      <c r="G239" s="7" t="s">
        <v>219</v>
      </c>
      <c r="H239" s="19" t="str">
        <f t="shared" si="4"/>
        <v/>
      </c>
      <c r="I239" s="19" t="s">
        <v>221</v>
      </c>
      <c r="J239" s="7" t="s">
        <v>315</v>
      </c>
      <c r="K239" s="1"/>
      <c r="L239" s="7" t="s">
        <v>195</v>
      </c>
    </row>
    <row r="240" spans="1:12" x14ac:dyDescent="0.25">
      <c r="A240" s="1"/>
      <c r="B240" s="7" t="s">
        <v>222</v>
      </c>
      <c r="C240" s="25">
        <v>20019515</v>
      </c>
      <c r="D240" s="7" t="s">
        <v>1603</v>
      </c>
      <c r="E240" s="26">
        <v>1</v>
      </c>
      <c r="F240" s="7" t="s">
        <v>225</v>
      </c>
      <c r="G240" s="7" t="s">
        <v>219</v>
      </c>
      <c r="H240" s="19" t="str">
        <f t="shared" si="4"/>
        <v/>
      </c>
      <c r="I240" s="19" t="s">
        <v>221</v>
      </c>
      <c r="J240" s="7" t="s">
        <v>315</v>
      </c>
      <c r="K240" s="1"/>
      <c r="L240" s="7" t="s">
        <v>195</v>
      </c>
    </row>
    <row r="241" spans="1:12" x14ac:dyDescent="0.25">
      <c r="A241" s="1"/>
      <c r="B241" s="7" t="s">
        <v>222</v>
      </c>
      <c r="C241" s="25">
        <v>20019516</v>
      </c>
      <c r="D241" s="7" t="s">
        <v>1604</v>
      </c>
      <c r="E241" s="26">
        <v>1</v>
      </c>
      <c r="F241" s="7" t="s">
        <v>225</v>
      </c>
      <c r="G241" s="7" t="s">
        <v>219</v>
      </c>
      <c r="H241" s="19" t="str">
        <f t="shared" si="4"/>
        <v/>
      </c>
      <c r="I241" s="19" t="s">
        <v>221</v>
      </c>
      <c r="J241" s="7" t="s">
        <v>315</v>
      </c>
      <c r="K241" s="1"/>
      <c r="L241" s="7" t="s">
        <v>195</v>
      </c>
    </row>
    <row r="242" spans="1:12" x14ac:dyDescent="0.25">
      <c r="A242" s="1"/>
      <c r="B242" s="7" t="s">
        <v>222</v>
      </c>
      <c r="C242" s="25">
        <v>20019517</v>
      </c>
      <c r="D242" s="7" t="s">
        <v>1605</v>
      </c>
      <c r="E242" s="26">
        <v>1</v>
      </c>
      <c r="F242" s="7" t="s">
        <v>225</v>
      </c>
      <c r="G242" s="7" t="s">
        <v>219</v>
      </c>
      <c r="H242" s="19" t="str">
        <f t="shared" si="4"/>
        <v/>
      </c>
      <c r="I242" s="19" t="s">
        <v>221</v>
      </c>
      <c r="J242" s="7" t="s">
        <v>315</v>
      </c>
      <c r="K242" s="1"/>
      <c r="L242" s="7" t="s">
        <v>195</v>
      </c>
    </row>
    <row r="243" spans="1:12" x14ac:dyDescent="0.25">
      <c r="A243" s="1"/>
      <c r="B243" s="7" t="s">
        <v>222</v>
      </c>
      <c r="C243" s="25">
        <v>20019548</v>
      </c>
      <c r="D243" s="7" t="s">
        <v>1613</v>
      </c>
      <c r="E243" s="26">
        <v>1</v>
      </c>
      <c r="F243" s="7" t="s">
        <v>225</v>
      </c>
      <c r="G243" s="7" t="s">
        <v>219</v>
      </c>
      <c r="H243" s="19" t="str">
        <f t="shared" si="4"/>
        <v/>
      </c>
      <c r="I243" s="19" t="s">
        <v>221</v>
      </c>
      <c r="J243" s="7" t="s">
        <v>347</v>
      </c>
      <c r="K243" s="1"/>
      <c r="L243" s="7" t="s">
        <v>195</v>
      </c>
    </row>
    <row r="244" spans="1:12" x14ac:dyDescent="0.25">
      <c r="A244" s="1"/>
      <c r="B244" s="7" t="s">
        <v>222</v>
      </c>
      <c r="C244" s="25">
        <v>20019554</v>
      </c>
      <c r="D244" s="7" t="s">
        <v>1618</v>
      </c>
      <c r="E244" s="26">
        <v>1</v>
      </c>
      <c r="F244" s="7" t="s">
        <v>225</v>
      </c>
      <c r="G244" s="7" t="s">
        <v>219</v>
      </c>
      <c r="H244" s="19" t="str">
        <f t="shared" si="4"/>
        <v/>
      </c>
      <c r="I244" s="19" t="s">
        <v>221</v>
      </c>
      <c r="J244" s="7" t="s">
        <v>315</v>
      </c>
      <c r="K244" s="1"/>
      <c r="L244" s="7" t="s">
        <v>195</v>
      </c>
    </row>
    <row r="245" spans="1:12" x14ac:dyDescent="0.25">
      <c r="A245" s="1"/>
      <c r="B245" s="7" t="s">
        <v>222</v>
      </c>
      <c r="C245" s="25">
        <v>20019555</v>
      </c>
      <c r="D245" s="7" t="s">
        <v>1619</v>
      </c>
      <c r="E245" s="26">
        <v>1</v>
      </c>
      <c r="F245" s="7" t="s">
        <v>225</v>
      </c>
      <c r="G245" s="7" t="s">
        <v>219</v>
      </c>
      <c r="H245" s="19" t="str">
        <f t="shared" si="4"/>
        <v/>
      </c>
      <c r="I245" s="19" t="s">
        <v>221</v>
      </c>
      <c r="J245" s="7" t="s">
        <v>315</v>
      </c>
      <c r="K245" s="1"/>
      <c r="L245" s="7" t="s">
        <v>195</v>
      </c>
    </row>
    <row r="246" spans="1:12" x14ac:dyDescent="0.25">
      <c r="A246" s="1"/>
      <c r="B246" s="7" t="s">
        <v>222</v>
      </c>
      <c r="C246" s="25">
        <v>20019614</v>
      </c>
      <c r="D246" s="7" t="s">
        <v>1622</v>
      </c>
      <c r="E246" s="26">
        <v>1</v>
      </c>
      <c r="F246" s="7" t="s">
        <v>225</v>
      </c>
      <c r="G246" s="7" t="s">
        <v>219</v>
      </c>
      <c r="H246" s="19" t="str">
        <f t="shared" si="4"/>
        <v/>
      </c>
      <c r="I246" s="19" t="s">
        <v>221</v>
      </c>
      <c r="J246" s="7" t="s">
        <v>440</v>
      </c>
      <c r="K246" s="1"/>
      <c r="L246" s="7" t="s">
        <v>195</v>
      </c>
    </row>
    <row r="247" spans="1:12" x14ac:dyDescent="0.25">
      <c r="A247" s="1"/>
      <c r="B247" s="7" t="s">
        <v>222</v>
      </c>
      <c r="C247" s="25">
        <v>20019625</v>
      </c>
      <c r="D247" s="7" t="s">
        <v>1623</v>
      </c>
      <c r="E247" s="26">
        <v>1</v>
      </c>
      <c r="F247" s="7" t="s">
        <v>225</v>
      </c>
      <c r="G247" s="7" t="s">
        <v>219</v>
      </c>
      <c r="H247" s="19" t="str">
        <f t="shared" si="4"/>
        <v/>
      </c>
      <c r="I247" s="19" t="s">
        <v>221</v>
      </c>
      <c r="J247" s="7" t="s">
        <v>397</v>
      </c>
      <c r="K247" s="1"/>
      <c r="L247" s="7" t="s">
        <v>195</v>
      </c>
    </row>
    <row r="248" spans="1:12" x14ac:dyDescent="0.25">
      <c r="A248" s="1"/>
      <c r="B248" s="7" t="s">
        <v>222</v>
      </c>
      <c r="C248" s="25">
        <v>20019626</v>
      </c>
      <c r="D248" s="7" t="s">
        <v>1624</v>
      </c>
      <c r="E248" s="26">
        <v>1</v>
      </c>
      <c r="F248" s="7" t="s">
        <v>225</v>
      </c>
      <c r="G248" s="7" t="s">
        <v>219</v>
      </c>
      <c r="H248" s="19" t="str">
        <f t="shared" si="4"/>
        <v/>
      </c>
      <c r="I248" s="19" t="s">
        <v>221</v>
      </c>
      <c r="J248" s="7" t="s">
        <v>397</v>
      </c>
      <c r="K248" s="1"/>
      <c r="L248" s="7" t="s">
        <v>195</v>
      </c>
    </row>
    <row r="249" spans="1:12" x14ac:dyDescent="0.25">
      <c r="A249" s="1"/>
      <c r="B249" s="7" t="s">
        <v>222</v>
      </c>
      <c r="C249" s="25">
        <v>20019629</v>
      </c>
      <c r="D249" s="7" t="s">
        <v>1626</v>
      </c>
      <c r="E249" s="26">
        <v>1</v>
      </c>
      <c r="F249" s="7" t="s">
        <v>225</v>
      </c>
      <c r="G249" s="7" t="s">
        <v>219</v>
      </c>
      <c r="H249" s="19" t="str">
        <f t="shared" si="4"/>
        <v/>
      </c>
      <c r="I249" s="19" t="s">
        <v>221</v>
      </c>
      <c r="J249" s="7" t="s">
        <v>347</v>
      </c>
      <c r="K249" s="1"/>
      <c r="L249" s="7" t="s">
        <v>195</v>
      </c>
    </row>
    <row r="250" spans="1:12" x14ac:dyDescent="0.25">
      <c r="A250" s="1"/>
      <c r="B250" s="7" t="s">
        <v>222</v>
      </c>
      <c r="C250" s="25">
        <v>20019630</v>
      </c>
      <c r="D250" s="7" t="s">
        <v>1627</v>
      </c>
      <c r="E250" s="26">
        <v>1</v>
      </c>
      <c r="F250" s="7" t="s">
        <v>225</v>
      </c>
      <c r="G250" s="7" t="s">
        <v>219</v>
      </c>
      <c r="H250" s="19" t="str">
        <f t="shared" si="4"/>
        <v/>
      </c>
      <c r="I250" s="19" t="s">
        <v>221</v>
      </c>
      <c r="J250" s="7" t="s">
        <v>347</v>
      </c>
      <c r="K250" s="1"/>
      <c r="L250" s="7" t="s">
        <v>195</v>
      </c>
    </row>
    <row r="251" spans="1:12" x14ac:dyDescent="0.25">
      <c r="A251" s="1"/>
      <c r="B251" s="7" t="s">
        <v>222</v>
      </c>
      <c r="C251" s="25">
        <v>20019643</v>
      </c>
      <c r="D251" s="7" t="s">
        <v>1631</v>
      </c>
      <c r="E251" s="26">
        <v>1</v>
      </c>
      <c r="F251" s="7" t="s">
        <v>225</v>
      </c>
      <c r="G251" s="7" t="s">
        <v>219</v>
      </c>
      <c r="H251" s="19" t="str">
        <f t="shared" si="4"/>
        <v/>
      </c>
      <c r="I251" s="19" t="s">
        <v>221</v>
      </c>
      <c r="J251" s="7" t="s">
        <v>347</v>
      </c>
      <c r="K251" s="1"/>
      <c r="L251" s="7" t="s">
        <v>195</v>
      </c>
    </row>
    <row r="252" spans="1:12" x14ac:dyDescent="0.25">
      <c r="A252" s="1"/>
      <c r="B252" s="7" t="s">
        <v>343</v>
      </c>
      <c r="C252" s="25">
        <v>20019644</v>
      </c>
      <c r="D252" s="7" t="s">
        <v>1632</v>
      </c>
      <c r="E252" s="26">
        <v>1</v>
      </c>
      <c r="F252" s="7" t="s">
        <v>225</v>
      </c>
      <c r="G252" s="7" t="s">
        <v>219</v>
      </c>
      <c r="H252" s="19" t="str">
        <f t="shared" si="4"/>
        <v/>
      </c>
      <c r="I252" s="19" t="s">
        <v>912</v>
      </c>
      <c r="J252" s="7" t="s">
        <v>347</v>
      </c>
      <c r="K252" s="1"/>
      <c r="L252" s="7" t="s">
        <v>195</v>
      </c>
    </row>
    <row r="253" spans="1:12" x14ac:dyDescent="0.25">
      <c r="A253" s="1"/>
      <c r="B253" s="7" t="s">
        <v>222</v>
      </c>
      <c r="C253" s="25">
        <v>20019792</v>
      </c>
      <c r="D253" s="7" t="s">
        <v>1635</v>
      </c>
      <c r="E253" s="26">
        <v>1</v>
      </c>
      <c r="F253" s="7" t="s">
        <v>225</v>
      </c>
      <c r="G253" s="7" t="s">
        <v>219</v>
      </c>
      <c r="H253" s="19" t="str">
        <f t="shared" si="4"/>
        <v/>
      </c>
      <c r="I253" s="19" t="s">
        <v>221</v>
      </c>
      <c r="J253" s="7" t="s">
        <v>347</v>
      </c>
      <c r="K253" s="1"/>
      <c r="L253" s="7" t="s">
        <v>195</v>
      </c>
    </row>
    <row r="254" spans="1:12" x14ac:dyDescent="0.25">
      <c r="A254" s="1"/>
      <c r="B254" s="7" t="s">
        <v>222</v>
      </c>
      <c r="C254" s="25">
        <v>20019885</v>
      </c>
      <c r="D254" s="7" t="s">
        <v>1637</v>
      </c>
      <c r="E254" s="26">
        <v>1</v>
      </c>
      <c r="F254" s="7" t="s">
        <v>225</v>
      </c>
      <c r="G254" s="7" t="s">
        <v>219</v>
      </c>
      <c r="H254" s="19" t="str">
        <f t="shared" si="4"/>
        <v/>
      </c>
      <c r="I254" s="19" t="s">
        <v>221</v>
      </c>
      <c r="J254" s="7" t="s">
        <v>397</v>
      </c>
      <c r="K254" s="1"/>
      <c r="L254" s="7" t="s">
        <v>195</v>
      </c>
    </row>
    <row r="255" spans="1:12" x14ac:dyDescent="0.25">
      <c r="A255" s="1"/>
      <c r="B255" s="7" t="s">
        <v>222</v>
      </c>
      <c r="C255" s="25">
        <v>20019886</v>
      </c>
      <c r="D255" s="7" t="s">
        <v>1638</v>
      </c>
      <c r="E255" s="26">
        <v>1</v>
      </c>
      <c r="F255" s="7" t="s">
        <v>225</v>
      </c>
      <c r="G255" s="7" t="s">
        <v>219</v>
      </c>
      <c r="H255" s="19" t="str">
        <f t="shared" si="4"/>
        <v/>
      </c>
      <c r="I255" s="19" t="s">
        <v>221</v>
      </c>
      <c r="J255" s="7" t="s">
        <v>397</v>
      </c>
      <c r="K255" s="1"/>
      <c r="L255" s="7" t="s">
        <v>195</v>
      </c>
    </row>
    <row r="256" spans="1:12" x14ac:dyDescent="0.25">
      <c r="A256" s="1"/>
      <c r="B256" s="7" t="s">
        <v>222</v>
      </c>
      <c r="C256" s="25">
        <v>20019887</v>
      </c>
      <c r="D256" s="7" t="s">
        <v>1639</v>
      </c>
      <c r="E256" s="26">
        <v>1</v>
      </c>
      <c r="F256" s="7" t="s">
        <v>225</v>
      </c>
      <c r="G256" s="7" t="s">
        <v>219</v>
      </c>
      <c r="H256" s="19" t="str">
        <f t="shared" si="4"/>
        <v/>
      </c>
      <c r="I256" s="19" t="s">
        <v>221</v>
      </c>
      <c r="J256" s="7" t="s">
        <v>397</v>
      </c>
      <c r="K256" s="1"/>
      <c r="L256" s="7" t="s">
        <v>195</v>
      </c>
    </row>
    <row r="257" spans="1:12" x14ac:dyDescent="0.25">
      <c r="A257" s="1"/>
      <c r="B257" s="7" t="s">
        <v>222</v>
      </c>
      <c r="C257" s="25">
        <v>20019888</v>
      </c>
      <c r="D257" s="7" t="s">
        <v>1640</v>
      </c>
      <c r="E257" s="26">
        <v>1</v>
      </c>
      <c r="F257" s="7" t="s">
        <v>225</v>
      </c>
      <c r="G257" s="7" t="s">
        <v>219</v>
      </c>
      <c r="H257" s="19" t="str">
        <f t="shared" si="4"/>
        <v/>
      </c>
      <c r="I257" s="19" t="s">
        <v>221</v>
      </c>
      <c r="J257" s="7" t="s">
        <v>397</v>
      </c>
      <c r="K257" s="1"/>
      <c r="L257" s="7" t="s">
        <v>195</v>
      </c>
    </row>
    <row r="258" spans="1:12" x14ac:dyDescent="0.25">
      <c r="A258" s="1"/>
      <c r="B258" s="7" t="s">
        <v>222</v>
      </c>
      <c r="C258" s="25">
        <v>20019889</v>
      </c>
      <c r="D258" s="7" t="s">
        <v>1641</v>
      </c>
      <c r="E258" s="26">
        <v>1</v>
      </c>
      <c r="F258" s="7" t="s">
        <v>225</v>
      </c>
      <c r="G258" s="7" t="s">
        <v>219</v>
      </c>
      <c r="H258" s="19" t="str">
        <f t="shared" si="4"/>
        <v/>
      </c>
      <c r="I258" s="19" t="s">
        <v>221</v>
      </c>
      <c r="J258" s="7" t="s">
        <v>397</v>
      </c>
      <c r="K258" s="1"/>
      <c r="L258" s="7" t="s">
        <v>195</v>
      </c>
    </row>
    <row r="259" spans="1:12" x14ac:dyDescent="0.25">
      <c r="A259" s="1"/>
      <c r="B259" s="7" t="s">
        <v>222</v>
      </c>
      <c r="C259" s="25">
        <v>20019890</v>
      </c>
      <c r="D259" s="7" t="s">
        <v>1642</v>
      </c>
      <c r="E259" s="26">
        <v>1</v>
      </c>
      <c r="F259" s="7" t="s">
        <v>225</v>
      </c>
      <c r="G259" s="7" t="s">
        <v>219</v>
      </c>
      <c r="H259" s="19" t="str">
        <f t="shared" si="4"/>
        <v/>
      </c>
      <c r="I259" s="19" t="s">
        <v>221</v>
      </c>
      <c r="J259" s="7" t="s">
        <v>397</v>
      </c>
      <c r="K259" s="1"/>
      <c r="L259" s="7" t="s">
        <v>195</v>
      </c>
    </row>
    <row r="260" spans="1:12" x14ac:dyDescent="0.25">
      <c r="A260" s="1"/>
      <c r="B260" s="7" t="s">
        <v>222</v>
      </c>
      <c r="C260" s="25">
        <v>20019893</v>
      </c>
      <c r="D260" s="7" t="s">
        <v>1643</v>
      </c>
      <c r="E260" s="26">
        <v>1</v>
      </c>
      <c r="F260" s="7" t="s">
        <v>225</v>
      </c>
      <c r="G260" s="7" t="s">
        <v>219</v>
      </c>
      <c r="H260" s="19" t="str">
        <f t="shared" si="4"/>
        <v/>
      </c>
      <c r="I260" s="19" t="s">
        <v>221</v>
      </c>
      <c r="J260" s="7" t="s">
        <v>397</v>
      </c>
      <c r="K260" s="1"/>
      <c r="L260" s="7" t="s">
        <v>195</v>
      </c>
    </row>
    <row r="261" spans="1:12" x14ac:dyDescent="0.25">
      <c r="A261" s="1"/>
      <c r="B261" s="7" t="s">
        <v>222</v>
      </c>
      <c r="C261" s="25">
        <v>20019897</v>
      </c>
      <c r="D261" s="7" t="s">
        <v>1645</v>
      </c>
      <c r="E261" s="26">
        <v>1</v>
      </c>
      <c r="F261" s="7" t="s">
        <v>225</v>
      </c>
      <c r="G261" s="7" t="s">
        <v>219</v>
      </c>
      <c r="H261" s="19" t="str">
        <f t="shared" si="4"/>
        <v/>
      </c>
      <c r="I261" s="19" t="s">
        <v>221</v>
      </c>
      <c r="J261" s="7" t="s">
        <v>397</v>
      </c>
      <c r="K261" s="1"/>
      <c r="L261" s="7" t="s">
        <v>195</v>
      </c>
    </row>
    <row r="262" spans="1:12" x14ac:dyDescent="0.25">
      <c r="A262" s="1"/>
      <c r="B262" s="7" t="s">
        <v>222</v>
      </c>
      <c r="C262" s="25">
        <v>20019946</v>
      </c>
      <c r="D262" s="7" t="s">
        <v>1655</v>
      </c>
      <c r="E262" s="26">
        <v>1</v>
      </c>
      <c r="F262" s="7" t="s">
        <v>225</v>
      </c>
      <c r="G262" s="7" t="s">
        <v>219</v>
      </c>
      <c r="H262" s="19" t="str">
        <f t="shared" si="4"/>
        <v/>
      </c>
      <c r="I262" s="19" t="s">
        <v>221</v>
      </c>
      <c r="J262" s="7" t="s">
        <v>246</v>
      </c>
      <c r="K262" s="1"/>
      <c r="L262" s="7" t="s">
        <v>195</v>
      </c>
    </row>
    <row r="263" spans="1:12" x14ac:dyDescent="0.25">
      <c r="A263" s="1"/>
      <c r="B263" s="7" t="s">
        <v>222</v>
      </c>
      <c r="C263" s="25">
        <v>20020033</v>
      </c>
      <c r="D263" s="7" t="s">
        <v>11022</v>
      </c>
      <c r="E263" s="26">
        <v>1</v>
      </c>
      <c r="F263" s="7" t="s">
        <v>352</v>
      </c>
      <c r="G263" s="7" t="s">
        <v>5605</v>
      </c>
      <c r="H263" s="19" t="str">
        <f t="shared" si="4"/>
        <v/>
      </c>
      <c r="I263" s="19" t="s">
        <v>221</v>
      </c>
      <c r="J263" s="7" t="s">
        <v>347</v>
      </c>
      <c r="K263" s="1"/>
      <c r="L263" s="7" t="s">
        <v>195</v>
      </c>
    </row>
    <row r="264" spans="1:12" x14ac:dyDescent="0.25">
      <c r="A264" s="1"/>
      <c r="B264" s="7" t="s">
        <v>222</v>
      </c>
      <c r="C264" s="25">
        <v>20020034</v>
      </c>
      <c r="D264" s="7" t="s">
        <v>10951</v>
      </c>
      <c r="E264" s="26">
        <v>1</v>
      </c>
      <c r="F264" s="7" t="s">
        <v>352</v>
      </c>
      <c r="G264" s="7" t="s">
        <v>5605</v>
      </c>
      <c r="H264" s="19" t="str">
        <f t="shared" si="4"/>
        <v/>
      </c>
      <c r="I264" s="19" t="s">
        <v>221</v>
      </c>
      <c r="J264" s="7" t="s">
        <v>347</v>
      </c>
      <c r="K264" s="1"/>
      <c r="L264" s="7" t="s">
        <v>195</v>
      </c>
    </row>
    <row r="265" spans="1:12" x14ac:dyDescent="0.25">
      <c r="A265" s="1"/>
      <c r="B265" s="7" t="s">
        <v>222</v>
      </c>
      <c r="C265" s="25">
        <v>20020037</v>
      </c>
      <c r="D265" s="7" t="s">
        <v>11023</v>
      </c>
      <c r="E265" s="26">
        <v>1</v>
      </c>
      <c r="F265" s="7" t="s">
        <v>352</v>
      </c>
      <c r="G265" s="7" t="s">
        <v>5592</v>
      </c>
      <c r="H265" s="19" t="str">
        <f t="shared" si="4"/>
        <v/>
      </c>
      <c r="I265" s="19" t="s">
        <v>221</v>
      </c>
      <c r="J265" s="7" t="s">
        <v>347</v>
      </c>
      <c r="K265" s="1"/>
      <c r="L265" s="7" t="s">
        <v>195</v>
      </c>
    </row>
    <row r="266" spans="1:12" x14ac:dyDescent="0.25">
      <c r="A266" s="1"/>
      <c r="B266" s="7" t="s">
        <v>222</v>
      </c>
      <c r="C266" s="25">
        <v>20020038</v>
      </c>
      <c r="D266" s="7" t="s">
        <v>1657</v>
      </c>
      <c r="E266" s="26">
        <v>1</v>
      </c>
      <c r="F266" s="7" t="s">
        <v>225</v>
      </c>
      <c r="G266" s="7" t="s">
        <v>219</v>
      </c>
      <c r="H266" s="19" t="str">
        <f t="shared" si="4"/>
        <v/>
      </c>
      <c r="I266" s="19" t="s">
        <v>221</v>
      </c>
      <c r="J266" s="7" t="s">
        <v>315</v>
      </c>
      <c r="K266" s="1"/>
      <c r="L266" s="7" t="s">
        <v>195</v>
      </c>
    </row>
    <row r="267" spans="1:12" x14ac:dyDescent="0.25">
      <c r="A267" s="1"/>
      <c r="B267" s="7" t="s">
        <v>222</v>
      </c>
      <c r="C267" s="25">
        <v>20020042</v>
      </c>
      <c r="D267" s="7" t="s">
        <v>1658</v>
      </c>
      <c r="E267" s="26">
        <v>1</v>
      </c>
      <c r="F267" s="7" t="s">
        <v>225</v>
      </c>
      <c r="G267" s="7" t="s">
        <v>219</v>
      </c>
      <c r="H267" s="19" t="str">
        <f t="shared" si="4"/>
        <v/>
      </c>
      <c r="I267" s="19" t="s">
        <v>221</v>
      </c>
      <c r="J267" s="7" t="s">
        <v>315</v>
      </c>
      <c r="K267" s="1"/>
      <c r="L267" s="7" t="s">
        <v>195</v>
      </c>
    </row>
    <row r="268" spans="1:12" x14ac:dyDescent="0.25">
      <c r="A268" s="1"/>
      <c r="B268" s="7" t="s">
        <v>222</v>
      </c>
      <c r="C268" s="25">
        <v>20020048</v>
      </c>
      <c r="D268" s="7" t="s">
        <v>1659</v>
      </c>
      <c r="E268" s="26">
        <v>1</v>
      </c>
      <c r="F268" s="7" t="s">
        <v>225</v>
      </c>
      <c r="G268" s="7" t="s">
        <v>219</v>
      </c>
      <c r="H268" s="19" t="str">
        <f t="shared" si="4"/>
        <v/>
      </c>
      <c r="I268" s="19" t="s">
        <v>221</v>
      </c>
      <c r="J268" s="7" t="s">
        <v>315</v>
      </c>
      <c r="K268" s="1"/>
      <c r="L268" s="7" t="s">
        <v>195</v>
      </c>
    </row>
    <row r="269" spans="1:12" x14ac:dyDescent="0.25">
      <c r="A269" s="1"/>
      <c r="B269" s="7" t="s">
        <v>222</v>
      </c>
      <c r="C269" s="25">
        <v>20020065</v>
      </c>
      <c r="D269" s="7" t="s">
        <v>1661</v>
      </c>
      <c r="E269" s="26">
        <v>1</v>
      </c>
      <c r="F269" s="7" t="s">
        <v>225</v>
      </c>
      <c r="G269" s="7" t="s">
        <v>219</v>
      </c>
      <c r="H269" s="19" t="str">
        <f t="shared" si="4"/>
        <v/>
      </c>
      <c r="I269" s="19" t="s">
        <v>221</v>
      </c>
      <c r="J269" s="7" t="s">
        <v>347</v>
      </c>
      <c r="K269" s="1"/>
      <c r="L269" s="7" t="s">
        <v>195</v>
      </c>
    </row>
    <row r="270" spans="1:12" x14ac:dyDescent="0.25">
      <c r="A270" s="1"/>
      <c r="B270" s="7" t="s">
        <v>222</v>
      </c>
      <c r="C270" s="25">
        <v>20020069</v>
      </c>
      <c r="D270" s="7" t="s">
        <v>1662</v>
      </c>
      <c r="E270" s="26">
        <v>1</v>
      </c>
      <c r="F270" s="7" t="s">
        <v>225</v>
      </c>
      <c r="G270" s="7" t="s">
        <v>219</v>
      </c>
      <c r="H270" s="19" t="str">
        <f t="shared" si="4"/>
        <v/>
      </c>
      <c r="I270" s="19" t="s">
        <v>221</v>
      </c>
      <c r="J270" s="7" t="s">
        <v>347</v>
      </c>
      <c r="K270" s="1"/>
      <c r="L270" s="7" t="s">
        <v>195</v>
      </c>
    </row>
    <row r="271" spans="1:12" x14ac:dyDescent="0.25">
      <c r="A271" s="1"/>
      <c r="B271" s="7" t="s">
        <v>222</v>
      </c>
      <c r="C271" s="25">
        <v>20020070</v>
      </c>
      <c r="D271" s="7" t="s">
        <v>1663</v>
      </c>
      <c r="E271" s="26">
        <v>1</v>
      </c>
      <c r="F271" s="7" t="s">
        <v>225</v>
      </c>
      <c r="G271" s="7" t="s">
        <v>219</v>
      </c>
      <c r="H271" s="19" t="str">
        <f t="shared" ref="H271:H334" si="5">IF(A271="", "", A271*E271)</f>
        <v/>
      </c>
      <c r="I271" s="19" t="s">
        <v>221</v>
      </c>
      <c r="J271" s="7" t="s">
        <v>315</v>
      </c>
      <c r="K271" s="1"/>
      <c r="L271" s="7" t="s">
        <v>195</v>
      </c>
    </row>
    <row r="272" spans="1:12" x14ac:dyDescent="0.25">
      <c r="A272" s="1"/>
      <c r="B272" s="7" t="s">
        <v>222</v>
      </c>
      <c r="C272" s="25">
        <v>20020074</v>
      </c>
      <c r="D272" s="7" t="s">
        <v>1664</v>
      </c>
      <c r="E272" s="26">
        <v>1</v>
      </c>
      <c r="F272" s="7" t="s">
        <v>352</v>
      </c>
      <c r="G272" s="7" t="s">
        <v>202</v>
      </c>
      <c r="H272" s="19" t="str">
        <f t="shared" si="5"/>
        <v/>
      </c>
      <c r="I272" s="19" t="s">
        <v>221</v>
      </c>
      <c r="J272" s="7" t="s">
        <v>315</v>
      </c>
      <c r="K272" s="1"/>
      <c r="L272" s="7" t="s">
        <v>195</v>
      </c>
    </row>
    <row r="273" spans="1:12" x14ac:dyDescent="0.25">
      <c r="A273" s="1"/>
      <c r="B273" s="7" t="s">
        <v>222</v>
      </c>
      <c r="C273" s="25">
        <v>20021084</v>
      </c>
      <c r="D273" s="7" t="s">
        <v>1716</v>
      </c>
      <c r="E273" s="26">
        <v>1</v>
      </c>
      <c r="F273" s="7" t="s">
        <v>225</v>
      </c>
      <c r="G273" s="7" t="s">
        <v>219</v>
      </c>
      <c r="H273" s="19" t="str">
        <f t="shared" si="5"/>
        <v/>
      </c>
      <c r="I273" s="19" t="s">
        <v>221</v>
      </c>
      <c r="J273" s="7" t="s">
        <v>309</v>
      </c>
      <c r="K273" s="1"/>
      <c r="L273" s="7" t="s">
        <v>195</v>
      </c>
    </row>
    <row r="274" spans="1:12" x14ac:dyDescent="0.25">
      <c r="A274" s="1"/>
      <c r="B274" s="7" t="s">
        <v>222</v>
      </c>
      <c r="C274" s="25">
        <v>20021961</v>
      </c>
      <c r="D274" s="7" t="s">
        <v>1758</v>
      </c>
      <c r="E274" s="26">
        <v>1</v>
      </c>
      <c r="F274" s="7" t="s">
        <v>225</v>
      </c>
      <c r="G274" s="7" t="s">
        <v>219</v>
      </c>
      <c r="H274" s="19" t="str">
        <f t="shared" si="5"/>
        <v/>
      </c>
      <c r="I274" s="19" t="s">
        <v>221</v>
      </c>
      <c r="J274" s="7" t="s">
        <v>348</v>
      </c>
      <c r="K274" s="1"/>
      <c r="L274" s="7" t="s">
        <v>195</v>
      </c>
    </row>
    <row r="275" spans="1:12" x14ac:dyDescent="0.25">
      <c r="A275" s="1"/>
      <c r="B275" s="7" t="s">
        <v>222</v>
      </c>
      <c r="C275" s="25">
        <v>20021970</v>
      </c>
      <c r="D275" s="7" t="s">
        <v>1766</v>
      </c>
      <c r="E275" s="26">
        <v>1</v>
      </c>
      <c r="F275" s="7" t="s">
        <v>225</v>
      </c>
      <c r="G275" s="7" t="s">
        <v>219</v>
      </c>
      <c r="H275" s="19" t="str">
        <f t="shared" si="5"/>
        <v/>
      </c>
      <c r="I275" s="19" t="s">
        <v>221</v>
      </c>
      <c r="J275" s="7" t="s">
        <v>348</v>
      </c>
      <c r="K275" s="1"/>
      <c r="L275" s="7" t="s">
        <v>195</v>
      </c>
    </row>
    <row r="276" spans="1:12" x14ac:dyDescent="0.25">
      <c r="A276" s="1"/>
      <c r="B276" s="7" t="s">
        <v>229</v>
      </c>
      <c r="C276" s="25">
        <v>20023988</v>
      </c>
      <c r="D276" s="7" t="s">
        <v>1827</v>
      </c>
      <c r="E276" s="26">
        <v>1</v>
      </c>
      <c r="F276" s="7" t="s">
        <v>225</v>
      </c>
      <c r="G276" s="7" t="s">
        <v>219</v>
      </c>
      <c r="H276" s="19" t="str">
        <f t="shared" si="5"/>
        <v/>
      </c>
      <c r="I276" s="19" t="s">
        <v>306</v>
      </c>
      <c r="J276" s="7" t="s">
        <v>313</v>
      </c>
      <c r="K276" s="1"/>
      <c r="L276" s="7" t="s">
        <v>195</v>
      </c>
    </row>
    <row r="277" spans="1:12" x14ac:dyDescent="0.25">
      <c r="A277" s="1"/>
      <c r="B277" s="7" t="s">
        <v>229</v>
      </c>
      <c r="C277" s="25">
        <v>20023990</v>
      </c>
      <c r="D277" s="7" t="s">
        <v>1828</v>
      </c>
      <c r="E277" s="26">
        <v>1</v>
      </c>
      <c r="F277" s="7" t="s">
        <v>225</v>
      </c>
      <c r="G277" s="7" t="s">
        <v>219</v>
      </c>
      <c r="H277" s="19" t="str">
        <f t="shared" si="5"/>
        <v/>
      </c>
      <c r="I277" s="19" t="s">
        <v>306</v>
      </c>
      <c r="J277" s="7" t="s">
        <v>313</v>
      </c>
      <c r="K277" s="1"/>
      <c r="L277" s="7" t="s">
        <v>195</v>
      </c>
    </row>
    <row r="278" spans="1:12" x14ac:dyDescent="0.25">
      <c r="A278" s="1"/>
      <c r="B278" s="7" t="s">
        <v>229</v>
      </c>
      <c r="C278" s="25">
        <v>20023991</v>
      </c>
      <c r="D278" s="7" t="s">
        <v>1829</v>
      </c>
      <c r="E278" s="26">
        <v>1</v>
      </c>
      <c r="F278" s="7" t="s">
        <v>225</v>
      </c>
      <c r="G278" s="7" t="s">
        <v>219</v>
      </c>
      <c r="H278" s="19" t="str">
        <f t="shared" si="5"/>
        <v/>
      </c>
      <c r="I278" s="19" t="s">
        <v>306</v>
      </c>
      <c r="J278" s="7" t="s">
        <v>313</v>
      </c>
      <c r="K278" s="1"/>
      <c r="L278" s="7" t="s">
        <v>195</v>
      </c>
    </row>
    <row r="279" spans="1:12" x14ac:dyDescent="0.25">
      <c r="A279" s="1"/>
      <c r="B279" s="7" t="s">
        <v>229</v>
      </c>
      <c r="C279" s="25">
        <v>20023992</v>
      </c>
      <c r="D279" s="7" t="s">
        <v>1830</v>
      </c>
      <c r="E279" s="26">
        <v>1</v>
      </c>
      <c r="F279" s="7" t="s">
        <v>225</v>
      </c>
      <c r="G279" s="7" t="s">
        <v>219</v>
      </c>
      <c r="H279" s="19" t="str">
        <f t="shared" si="5"/>
        <v/>
      </c>
      <c r="I279" s="19" t="s">
        <v>306</v>
      </c>
      <c r="J279" s="7" t="s">
        <v>313</v>
      </c>
      <c r="K279" s="1"/>
      <c r="L279" s="7" t="s">
        <v>195</v>
      </c>
    </row>
    <row r="280" spans="1:12" x14ac:dyDescent="0.25">
      <c r="A280" s="1"/>
      <c r="B280" s="7" t="s">
        <v>229</v>
      </c>
      <c r="C280" s="25">
        <v>20023996</v>
      </c>
      <c r="D280" s="7" t="s">
        <v>1831</v>
      </c>
      <c r="E280" s="26">
        <v>1</v>
      </c>
      <c r="F280" s="7" t="s">
        <v>225</v>
      </c>
      <c r="G280" s="7" t="s">
        <v>219</v>
      </c>
      <c r="H280" s="19" t="str">
        <f t="shared" si="5"/>
        <v/>
      </c>
      <c r="I280" s="19" t="s">
        <v>306</v>
      </c>
      <c r="J280" s="7" t="s">
        <v>309</v>
      </c>
      <c r="K280" s="1"/>
      <c r="L280" s="7" t="s">
        <v>195</v>
      </c>
    </row>
    <row r="281" spans="1:12" x14ac:dyDescent="0.25">
      <c r="A281" s="1"/>
      <c r="B281" s="7" t="s">
        <v>222</v>
      </c>
      <c r="C281" s="25">
        <v>20024633</v>
      </c>
      <c r="D281" s="7" t="s">
        <v>1833</v>
      </c>
      <c r="E281" s="26">
        <v>1</v>
      </c>
      <c r="F281" s="7" t="s">
        <v>225</v>
      </c>
      <c r="G281" s="7" t="s">
        <v>219</v>
      </c>
      <c r="H281" s="19" t="str">
        <f t="shared" si="5"/>
        <v/>
      </c>
      <c r="I281" s="19" t="s">
        <v>221</v>
      </c>
      <c r="J281" s="7" t="s">
        <v>347</v>
      </c>
      <c r="K281" s="1"/>
      <c r="L281" s="7" t="s">
        <v>195</v>
      </c>
    </row>
    <row r="282" spans="1:12" x14ac:dyDescent="0.25">
      <c r="A282" s="1"/>
      <c r="B282" s="7" t="s">
        <v>222</v>
      </c>
      <c r="C282" s="25">
        <v>20024856</v>
      </c>
      <c r="D282" s="7" t="s">
        <v>1836</v>
      </c>
      <c r="E282" s="26">
        <v>1</v>
      </c>
      <c r="F282" s="7" t="s">
        <v>225</v>
      </c>
      <c r="G282" s="7" t="s">
        <v>219</v>
      </c>
      <c r="H282" s="19" t="str">
        <f t="shared" si="5"/>
        <v/>
      </c>
      <c r="I282" s="19" t="s">
        <v>221</v>
      </c>
      <c r="J282" s="7" t="s">
        <v>397</v>
      </c>
      <c r="K282" s="1"/>
      <c r="L282" s="7" t="s">
        <v>195</v>
      </c>
    </row>
    <row r="283" spans="1:12" x14ac:dyDescent="0.25">
      <c r="A283" s="1"/>
      <c r="B283" s="7" t="s">
        <v>222</v>
      </c>
      <c r="C283" s="25">
        <v>20024857</v>
      </c>
      <c r="D283" s="7" t="s">
        <v>1837</v>
      </c>
      <c r="E283" s="26">
        <v>1</v>
      </c>
      <c r="F283" s="7" t="s">
        <v>225</v>
      </c>
      <c r="G283" s="7" t="s">
        <v>219</v>
      </c>
      <c r="H283" s="19" t="str">
        <f t="shared" si="5"/>
        <v/>
      </c>
      <c r="I283" s="19" t="s">
        <v>221</v>
      </c>
      <c r="J283" s="7" t="s">
        <v>397</v>
      </c>
      <c r="K283" s="1"/>
      <c r="L283" s="7" t="s">
        <v>195</v>
      </c>
    </row>
    <row r="284" spans="1:12" x14ac:dyDescent="0.25">
      <c r="A284" s="1"/>
      <c r="B284" s="7" t="s">
        <v>227</v>
      </c>
      <c r="C284" s="25">
        <v>20026030</v>
      </c>
      <c r="D284" s="7" t="s">
        <v>1846</v>
      </c>
      <c r="E284" s="26">
        <v>1</v>
      </c>
      <c r="F284" s="7" t="s">
        <v>225</v>
      </c>
      <c r="G284" s="7" t="s">
        <v>219</v>
      </c>
      <c r="H284" s="19" t="str">
        <f t="shared" si="5"/>
        <v/>
      </c>
      <c r="I284" s="19" t="s">
        <v>37</v>
      </c>
      <c r="J284" s="7" t="s">
        <v>246</v>
      </c>
      <c r="K284" s="1"/>
      <c r="L284" s="7" t="s">
        <v>195</v>
      </c>
    </row>
    <row r="285" spans="1:12" x14ac:dyDescent="0.25">
      <c r="A285" s="1"/>
      <c r="B285" s="7" t="s">
        <v>4825</v>
      </c>
      <c r="C285" s="25">
        <v>20026184</v>
      </c>
      <c r="D285" s="7" t="s">
        <v>1856</v>
      </c>
      <c r="E285" s="26">
        <v>1</v>
      </c>
      <c r="F285" s="7" t="s">
        <v>225</v>
      </c>
      <c r="G285" s="7" t="s">
        <v>219</v>
      </c>
      <c r="H285" s="19" t="str">
        <f t="shared" si="5"/>
        <v/>
      </c>
      <c r="I285" s="19" t="s">
        <v>330</v>
      </c>
      <c r="J285" s="7" t="s">
        <v>397</v>
      </c>
      <c r="K285" s="1"/>
      <c r="L285" s="7" t="s">
        <v>195</v>
      </c>
    </row>
    <row r="286" spans="1:12" x14ac:dyDescent="0.25">
      <c r="A286" s="1"/>
      <c r="B286" s="7" t="s">
        <v>222</v>
      </c>
      <c r="C286" s="25">
        <v>20026894</v>
      </c>
      <c r="D286" s="7" t="s">
        <v>1863</v>
      </c>
      <c r="E286" s="26">
        <v>1</v>
      </c>
      <c r="F286" s="7" t="s">
        <v>225</v>
      </c>
      <c r="G286" s="7" t="s">
        <v>219</v>
      </c>
      <c r="H286" s="19" t="str">
        <f t="shared" si="5"/>
        <v/>
      </c>
      <c r="I286" s="19" t="s">
        <v>221</v>
      </c>
      <c r="J286" s="7" t="s">
        <v>315</v>
      </c>
      <c r="K286" s="1"/>
      <c r="L286" s="7" t="s">
        <v>195</v>
      </c>
    </row>
    <row r="287" spans="1:12" x14ac:dyDescent="0.25">
      <c r="A287" s="1"/>
      <c r="B287" s="7" t="s">
        <v>222</v>
      </c>
      <c r="C287" s="25">
        <v>20026895</v>
      </c>
      <c r="D287" s="7" t="s">
        <v>1864</v>
      </c>
      <c r="E287" s="26">
        <v>1</v>
      </c>
      <c r="F287" s="7" t="s">
        <v>225</v>
      </c>
      <c r="G287" s="7" t="s">
        <v>219</v>
      </c>
      <c r="H287" s="19" t="str">
        <f t="shared" si="5"/>
        <v/>
      </c>
      <c r="I287" s="19" t="s">
        <v>221</v>
      </c>
      <c r="J287" s="7" t="s">
        <v>315</v>
      </c>
      <c r="K287" s="1"/>
      <c r="L287" s="7" t="s">
        <v>195</v>
      </c>
    </row>
    <row r="288" spans="1:12" x14ac:dyDescent="0.25">
      <c r="A288" s="1"/>
      <c r="B288" s="7" t="s">
        <v>222</v>
      </c>
      <c r="C288" s="25">
        <v>20026896</v>
      </c>
      <c r="D288" s="7" t="s">
        <v>1865</v>
      </c>
      <c r="E288" s="26">
        <v>1</v>
      </c>
      <c r="F288" s="7" t="s">
        <v>225</v>
      </c>
      <c r="G288" s="7" t="s">
        <v>219</v>
      </c>
      <c r="H288" s="19" t="str">
        <f t="shared" si="5"/>
        <v/>
      </c>
      <c r="I288" s="19" t="s">
        <v>221</v>
      </c>
      <c r="J288" s="7" t="s">
        <v>315</v>
      </c>
      <c r="K288" s="1"/>
      <c r="L288" s="7" t="s">
        <v>195</v>
      </c>
    </row>
    <row r="289" spans="1:12" x14ac:dyDescent="0.25">
      <c r="A289" s="1"/>
      <c r="B289" s="7" t="s">
        <v>222</v>
      </c>
      <c r="C289" s="25">
        <v>20027783</v>
      </c>
      <c r="D289" s="7" t="s">
        <v>1878</v>
      </c>
      <c r="E289" s="26">
        <v>1</v>
      </c>
      <c r="F289" s="7" t="s">
        <v>225</v>
      </c>
      <c r="G289" s="7" t="s">
        <v>219</v>
      </c>
      <c r="H289" s="19" t="str">
        <f t="shared" si="5"/>
        <v/>
      </c>
      <c r="I289" s="19" t="s">
        <v>221</v>
      </c>
      <c r="J289" s="7" t="s">
        <v>1209</v>
      </c>
      <c r="K289" s="1"/>
      <c r="L289" s="7" t="s">
        <v>195</v>
      </c>
    </row>
    <row r="290" spans="1:12" x14ac:dyDescent="0.25">
      <c r="A290" s="1"/>
      <c r="B290" s="7" t="s">
        <v>231</v>
      </c>
      <c r="C290" s="25">
        <v>20027788</v>
      </c>
      <c r="D290" s="7" t="s">
        <v>1879</v>
      </c>
      <c r="E290" s="26">
        <v>1</v>
      </c>
      <c r="F290" s="7" t="s">
        <v>225</v>
      </c>
      <c r="G290" s="7" t="s">
        <v>219</v>
      </c>
      <c r="H290" s="19" t="str">
        <f t="shared" si="5"/>
        <v/>
      </c>
      <c r="I290" s="19" t="s">
        <v>1006</v>
      </c>
      <c r="J290" s="7" t="s">
        <v>347</v>
      </c>
      <c r="K290" s="1"/>
      <c r="L290" s="7" t="s">
        <v>195</v>
      </c>
    </row>
    <row r="291" spans="1:12" x14ac:dyDescent="0.25">
      <c r="A291" s="1"/>
      <c r="B291" s="7" t="s">
        <v>222</v>
      </c>
      <c r="C291" s="25">
        <v>20027866</v>
      </c>
      <c r="D291" s="7" t="s">
        <v>1880</v>
      </c>
      <c r="E291" s="26">
        <v>1</v>
      </c>
      <c r="F291" s="7" t="s">
        <v>225</v>
      </c>
      <c r="G291" s="7" t="s">
        <v>219</v>
      </c>
      <c r="H291" s="19" t="str">
        <f t="shared" si="5"/>
        <v/>
      </c>
      <c r="I291" s="19" t="s">
        <v>221</v>
      </c>
      <c r="J291" s="7" t="s">
        <v>347</v>
      </c>
      <c r="K291" s="1"/>
      <c r="L291" s="7" t="s">
        <v>195</v>
      </c>
    </row>
    <row r="292" spans="1:12" x14ac:dyDescent="0.25">
      <c r="A292" s="1"/>
      <c r="B292" s="7" t="s">
        <v>222</v>
      </c>
      <c r="C292" s="25">
        <v>20027867</v>
      </c>
      <c r="D292" s="7" t="s">
        <v>1881</v>
      </c>
      <c r="E292" s="26">
        <v>1</v>
      </c>
      <c r="F292" s="7" t="s">
        <v>225</v>
      </c>
      <c r="G292" s="7" t="s">
        <v>219</v>
      </c>
      <c r="H292" s="19" t="str">
        <f t="shared" si="5"/>
        <v/>
      </c>
      <c r="I292" s="19" t="s">
        <v>221</v>
      </c>
      <c r="J292" s="7" t="s">
        <v>347</v>
      </c>
      <c r="K292" s="1"/>
      <c r="L292" s="7" t="s">
        <v>195</v>
      </c>
    </row>
    <row r="293" spans="1:12" x14ac:dyDescent="0.25">
      <c r="A293" s="1"/>
      <c r="B293" s="7" t="s">
        <v>227</v>
      </c>
      <c r="C293" s="25">
        <v>20027905</v>
      </c>
      <c r="D293" s="7" t="s">
        <v>1883</v>
      </c>
      <c r="E293" s="26">
        <v>1</v>
      </c>
      <c r="F293" s="7" t="s">
        <v>225</v>
      </c>
      <c r="G293" s="7" t="s">
        <v>219</v>
      </c>
      <c r="H293" s="19" t="str">
        <f t="shared" si="5"/>
        <v/>
      </c>
      <c r="I293" s="19" t="s">
        <v>37</v>
      </c>
      <c r="J293" s="7" t="s">
        <v>942</v>
      </c>
      <c r="K293" s="1"/>
      <c r="L293" s="7" t="s">
        <v>232</v>
      </c>
    </row>
    <row r="294" spans="1:12" x14ac:dyDescent="0.25">
      <c r="A294" s="1"/>
      <c r="B294" s="7" t="s">
        <v>227</v>
      </c>
      <c r="C294" s="25">
        <v>20027989</v>
      </c>
      <c r="D294" s="7" t="s">
        <v>1886</v>
      </c>
      <c r="E294" s="26">
        <v>1</v>
      </c>
      <c r="F294" s="7" t="s">
        <v>225</v>
      </c>
      <c r="G294" s="7" t="s">
        <v>219</v>
      </c>
      <c r="H294" s="19" t="str">
        <f t="shared" si="5"/>
        <v/>
      </c>
      <c r="I294" s="19" t="s">
        <v>37</v>
      </c>
      <c r="J294" s="7" t="s">
        <v>942</v>
      </c>
      <c r="K294" s="1"/>
      <c r="L294" s="7" t="s">
        <v>232</v>
      </c>
    </row>
    <row r="295" spans="1:12" x14ac:dyDescent="0.25">
      <c r="A295" s="1"/>
      <c r="B295" s="7" t="s">
        <v>227</v>
      </c>
      <c r="C295" s="25">
        <v>20027992</v>
      </c>
      <c r="D295" s="7" t="s">
        <v>1887</v>
      </c>
      <c r="E295" s="26">
        <v>1</v>
      </c>
      <c r="F295" s="7" t="s">
        <v>225</v>
      </c>
      <c r="G295" s="7" t="s">
        <v>219</v>
      </c>
      <c r="H295" s="19" t="str">
        <f t="shared" si="5"/>
        <v/>
      </c>
      <c r="I295" s="19" t="s">
        <v>37</v>
      </c>
      <c r="J295" s="7" t="s">
        <v>942</v>
      </c>
      <c r="K295" s="1"/>
      <c r="L295" s="7" t="s">
        <v>232</v>
      </c>
    </row>
    <row r="296" spans="1:12" x14ac:dyDescent="0.25">
      <c r="A296" s="1"/>
      <c r="B296" s="7" t="s">
        <v>222</v>
      </c>
      <c r="C296" s="25">
        <v>20028047</v>
      </c>
      <c r="D296" s="7" t="s">
        <v>1894</v>
      </c>
      <c r="E296" s="26">
        <v>1</v>
      </c>
      <c r="F296" s="7" t="s">
        <v>225</v>
      </c>
      <c r="G296" s="7" t="s">
        <v>219</v>
      </c>
      <c r="H296" s="19" t="str">
        <f t="shared" si="5"/>
        <v/>
      </c>
      <c r="I296" s="19" t="s">
        <v>221</v>
      </c>
      <c r="J296" s="7" t="s">
        <v>235</v>
      </c>
      <c r="K296" s="1"/>
      <c r="L296" s="7" t="s">
        <v>195</v>
      </c>
    </row>
    <row r="297" spans="1:12" x14ac:dyDescent="0.25">
      <c r="A297" s="1"/>
      <c r="B297" s="7" t="s">
        <v>222</v>
      </c>
      <c r="C297" s="25">
        <v>20028108</v>
      </c>
      <c r="D297" s="7" t="s">
        <v>1904</v>
      </c>
      <c r="E297" s="26">
        <v>1</v>
      </c>
      <c r="F297" s="7" t="s">
        <v>225</v>
      </c>
      <c r="G297" s="7" t="s">
        <v>219</v>
      </c>
      <c r="H297" s="19" t="str">
        <f t="shared" si="5"/>
        <v/>
      </c>
      <c r="I297" s="19" t="s">
        <v>221</v>
      </c>
      <c r="J297" s="7" t="s">
        <v>309</v>
      </c>
      <c r="K297" s="1"/>
      <c r="L297" s="7" t="s">
        <v>195</v>
      </c>
    </row>
    <row r="298" spans="1:12" x14ac:dyDescent="0.25">
      <c r="A298" s="1"/>
      <c r="B298" s="7" t="s">
        <v>222</v>
      </c>
      <c r="C298" s="25">
        <v>20028299</v>
      </c>
      <c r="D298" s="7" t="s">
        <v>1910</v>
      </c>
      <c r="E298" s="26">
        <v>1</v>
      </c>
      <c r="F298" s="7" t="s">
        <v>225</v>
      </c>
      <c r="G298" s="7" t="s">
        <v>219</v>
      </c>
      <c r="H298" s="19" t="str">
        <f t="shared" si="5"/>
        <v/>
      </c>
      <c r="I298" s="19" t="s">
        <v>221</v>
      </c>
      <c r="J298" s="7" t="s">
        <v>309</v>
      </c>
      <c r="K298" s="1"/>
      <c r="L298" s="7" t="s">
        <v>195</v>
      </c>
    </row>
    <row r="299" spans="1:12" x14ac:dyDescent="0.25">
      <c r="A299" s="1"/>
      <c r="B299" s="7" t="s">
        <v>222</v>
      </c>
      <c r="C299" s="25">
        <v>20028374</v>
      </c>
      <c r="D299" s="7" t="s">
        <v>1911</v>
      </c>
      <c r="E299" s="26">
        <v>1</v>
      </c>
      <c r="F299" s="7" t="s">
        <v>225</v>
      </c>
      <c r="G299" s="7" t="s">
        <v>219</v>
      </c>
      <c r="H299" s="19" t="str">
        <f t="shared" si="5"/>
        <v/>
      </c>
      <c r="I299" s="19" t="s">
        <v>221</v>
      </c>
      <c r="J299" s="7" t="s">
        <v>347</v>
      </c>
      <c r="K299" s="1"/>
      <c r="L299" s="7" t="s">
        <v>195</v>
      </c>
    </row>
    <row r="300" spans="1:12" x14ac:dyDescent="0.25">
      <c r="A300" s="1"/>
      <c r="B300" s="7" t="s">
        <v>222</v>
      </c>
      <c r="C300" s="25">
        <v>20028375</v>
      </c>
      <c r="D300" s="7" t="s">
        <v>1912</v>
      </c>
      <c r="E300" s="26">
        <v>1</v>
      </c>
      <c r="F300" s="7" t="s">
        <v>225</v>
      </c>
      <c r="G300" s="7" t="s">
        <v>219</v>
      </c>
      <c r="H300" s="19" t="str">
        <f t="shared" si="5"/>
        <v/>
      </c>
      <c r="I300" s="19" t="s">
        <v>221</v>
      </c>
      <c r="J300" s="7" t="s">
        <v>347</v>
      </c>
      <c r="K300" s="1"/>
      <c r="L300" s="7" t="s">
        <v>195</v>
      </c>
    </row>
    <row r="301" spans="1:12" x14ac:dyDescent="0.25">
      <c r="A301" s="1"/>
      <c r="B301" s="7" t="s">
        <v>343</v>
      </c>
      <c r="C301" s="25">
        <v>20028618</v>
      </c>
      <c r="D301" s="7" t="s">
        <v>1927</v>
      </c>
      <c r="E301" s="26">
        <v>1</v>
      </c>
      <c r="F301" s="7" t="s">
        <v>225</v>
      </c>
      <c r="G301" s="7" t="s">
        <v>219</v>
      </c>
      <c r="H301" s="19" t="str">
        <f t="shared" si="5"/>
        <v/>
      </c>
      <c r="I301" s="19" t="s">
        <v>912</v>
      </c>
      <c r="J301" s="7" t="s">
        <v>345</v>
      </c>
      <c r="K301" s="1"/>
      <c r="L301" s="7" t="s">
        <v>195</v>
      </c>
    </row>
    <row r="302" spans="1:12" x14ac:dyDescent="0.25">
      <c r="A302" s="1"/>
      <c r="B302" s="7" t="s">
        <v>343</v>
      </c>
      <c r="C302" s="25">
        <v>20028640</v>
      </c>
      <c r="D302" s="7" t="s">
        <v>1944</v>
      </c>
      <c r="E302" s="26">
        <v>1</v>
      </c>
      <c r="F302" s="7" t="s">
        <v>225</v>
      </c>
      <c r="G302" s="7" t="s">
        <v>219</v>
      </c>
      <c r="H302" s="19" t="str">
        <f t="shared" si="5"/>
        <v/>
      </c>
      <c r="I302" s="19" t="s">
        <v>912</v>
      </c>
      <c r="J302" s="7" t="s">
        <v>1945</v>
      </c>
      <c r="K302" s="1"/>
      <c r="L302" s="7" t="s">
        <v>195</v>
      </c>
    </row>
    <row r="303" spans="1:12" x14ac:dyDescent="0.25">
      <c r="A303" s="1"/>
      <c r="B303" s="7" t="s">
        <v>222</v>
      </c>
      <c r="C303" s="25">
        <v>20028753</v>
      </c>
      <c r="D303" s="7" t="s">
        <v>11603</v>
      </c>
      <c r="E303" s="26">
        <v>1</v>
      </c>
      <c r="F303" s="7" t="s">
        <v>225</v>
      </c>
      <c r="G303" s="7" t="s">
        <v>219</v>
      </c>
      <c r="H303" s="19" t="str">
        <f t="shared" si="5"/>
        <v/>
      </c>
      <c r="I303" s="19" t="s">
        <v>221</v>
      </c>
      <c r="J303" s="7" t="s">
        <v>954</v>
      </c>
      <c r="K303" s="1"/>
      <c r="L303" s="7" t="s">
        <v>195</v>
      </c>
    </row>
    <row r="304" spans="1:12" x14ac:dyDescent="0.25">
      <c r="A304" s="1"/>
      <c r="B304" s="7" t="s">
        <v>227</v>
      </c>
      <c r="C304" s="25">
        <v>20028838</v>
      </c>
      <c r="D304" s="7" t="s">
        <v>1952</v>
      </c>
      <c r="E304" s="26">
        <v>1</v>
      </c>
      <c r="F304" s="7" t="s">
        <v>225</v>
      </c>
      <c r="G304" s="7" t="s">
        <v>219</v>
      </c>
      <c r="H304" s="19" t="str">
        <f t="shared" si="5"/>
        <v/>
      </c>
      <c r="I304" s="19" t="s">
        <v>37</v>
      </c>
      <c r="J304" s="7" t="s">
        <v>402</v>
      </c>
      <c r="K304" s="1"/>
      <c r="L304" s="7" t="s">
        <v>232</v>
      </c>
    </row>
    <row r="305" spans="1:12" x14ac:dyDescent="0.25">
      <c r="A305" s="1"/>
      <c r="B305" s="7" t="s">
        <v>227</v>
      </c>
      <c r="C305" s="25">
        <v>20028839</v>
      </c>
      <c r="D305" s="7" t="s">
        <v>1953</v>
      </c>
      <c r="E305" s="26">
        <v>1</v>
      </c>
      <c r="F305" s="7" t="s">
        <v>225</v>
      </c>
      <c r="G305" s="7" t="s">
        <v>219</v>
      </c>
      <c r="H305" s="19" t="str">
        <f t="shared" si="5"/>
        <v/>
      </c>
      <c r="I305" s="19" t="s">
        <v>37</v>
      </c>
      <c r="J305" s="7" t="s">
        <v>402</v>
      </c>
      <c r="K305" s="1"/>
      <c r="L305" s="7" t="s">
        <v>232</v>
      </c>
    </row>
    <row r="306" spans="1:12" x14ac:dyDescent="0.25">
      <c r="A306" s="1"/>
      <c r="B306" s="7" t="s">
        <v>227</v>
      </c>
      <c r="C306" s="25">
        <v>20028840</v>
      </c>
      <c r="D306" s="7" t="s">
        <v>1954</v>
      </c>
      <c r="E306" s="26">
        <v>1</v>
      </c>
      <c r="F306" s="7" t="s">
        <v>225</v>
      </c>
      <c r="G306" s="7" t="s">
        <v>219</v>
      </c>
      <c r="H306" s="19" t="str">
        <f t="shared" si="5"/>
        <v/>
      </c>
      <c r="I306" s="19" t="s">
        <v>37</v>
      </c>
      <c r="J306" s="7" t="s">
        <v>402</v>
      </c>
      <c r="K306" s="1"/>
      <c r="L306" s="7" t="s">
        <v>232</v>
      </c>
    </row>
    <row r="307" spans="1:12" x14ac:dyDescent="0.25">
      <c r="A307" s="1"/>
      <c r="B307" s="7" t="s">
        <v>223</v>
      </c>
      <c r="C307" s="25">
        <v>20029213</v>
      </c>
      <c r="D307" s="7" t="s">
        <v>1969</v>
      </c>
      <c r="E307" s="26">
        <v>1</v>
      </c>
      <c r="F307" s="7" t="s">
        <v>225</v>
      </c>
      <c r="G307" s="7" t="s">
        <v>219</v>
      </c>
      <c r="H307" s="19" t="str">
        <f t="shared" si="5"/>
        <v/>
      </c>
      <c r="I307" s="19" t="s">
        <v>399</v>
      </c>
      <c r="J307" s="7" t="s">
        <v>311</v>
      </c>
      <c r="K307" s="1"/>
      <c r="L307" s="7" t="s">
        <v>195</v>
      </c>
    </row>
    <row r="308" spans="1:12" x14ac:dyDescent="0.25">
      <c r="A308" s="1"/>
      <c r="B308" s="7" t="s">
        <v>223</v>
      </c>
      <c r="C308" s="25">
        <v>20029214</v>
      </c>
      <c r="D308" s="7" t="s">
        <v>1970</v>
      </c>
      <c r="E308" s="26">
        <v>1</v>
      </c>
      <c r="F308" s="7" t="s">
        <v>225</v>
      </c>
      <c r="G308" s="7" t="s">
        <v>219</v>
      </c>
      <c r="H308" s="19" t="str">
        <f t="shared" si="5"/>
        <v/>
      </c>
      <c r="I308" s="19" t="s">
        <v>399</v>
      </c>
      <c r="J308" s="7" t="s">
        <v>311</v>
      </c>
      <c r="K308" s="1"/>
      <c r="L308" s="7" t="s">
        <v>195</v>
      </c>
    </row>
    <row r="309" spans="1:12" x14ac:dyDescent="0.25">
      <c r="A309" s="1"/>
      <c r="B309" s="7" t="s">
        <v>223</v>
      </c>
      <c r="C309" s="25">
        <v>20029215</v>
      </c>
      <c r="D309" s="7" t="s">
        <v>1971</v>
      </c>
      <c r="E309" s="26">
        <v>1</v>
      </c>
      <c r="F309" s="7" t="s">
        <v>352</v>
      </c>
      <c r="G309" s="7" t="s">
        <v>157</v>
      </c>
      <c r="H309" s="19" t="str">
        <f t="shared" si="5"/>
        <v/>
      </c>
      <c r="I309" s="19" t="s">
        <v>399</v>
      </c>
      <c r="J309" s="7" t="s">
        <v>311</v>
      </c>
      <c r="K309" s="1"/>
      <c r="L309" s="7" t="s">
        <v>195</v>
      </c>
    </row>
    <row r="310" spans="1:12" x14ac:dyDescent="0.25">
      <c r="A310" s="1"/>
      <c r="B310" s="7" t="s">
        <v>343</v>
      </c>
      <c r="C310" s="25">
        <v>20029218</v>
      </c>
      <c r="D310" s="7" t="s">
        <v>1973</v>
      </c>
      <c r="E310" s="26">
        <v>1</v>
      </c>
      <c r="F310" s="7" t="s">
        <v>225</v>
      </c>
      <c r="G310" s="7" t="s">
        <v>219</v>
      </c>
      <c r="H310" s="19" t="str">
        <f t="shared" si="5"/>
        <v/>
      </c>
      <c r="I310" s="19" t="s">
        <v>912</v>
      </c>
      <c r="J310" s="7" t="s">
        <v>311</v>
      </c>
      <c r="K310" s="1"/>
      <c r="L310" s="7" t="s">
        <v>195</v>
      </c>
    </row>
    <row r="311" spans="1:12" x14ac:dyDescent="0.25">
      <c r="A311" s="1"/>
      <c r="B311" s="7" t="s">
        <v>343</v>
      </c>
      <c r="C311" s="25">
        <v>20029219</v>
      </c>
      <c r="D311" s="7" t="s">
        <v>1974</v>
      </c>
      <c r="E311" s="26">
        <v>1</v>
      </c>
      <c r="F311" s="7" t="s">
        <v>225</v>
      </c>
      <c r="G311" s="7" t="s">
        <v>219</v>
      </c>
      <c r="H311" s="19" t="str">
        <f t="shared" si="5"/>
        <v/>
      </c>
      <c r="I311" s="19" t="s">
        <v>912</v>
      </c>
      <c r="J311" s="7" t="s">
        <v>311</v>
      </c>
      <c r="K311" s="1"/>
      <c r="L311" s="7" t="s">
        <v>195</v>
      </c>
    </row>
    <row r="312" spans="1:12" x14ac:dyDescent="0.25">
      <c r="A312" s="1"/>
      <c r="B312" s="7" t="s">
        <v>343</v>
      </c>
      <c r="C312" s="25">
        <v>20029220</v>
      </c>
      <c r="D312" s="7" t="s">
        <v>1975</v>
      </c>
      <c r="E312" s="26">
        <v>1</v>
      </c>
      <c r="F312" s="7" t="s">
        <v>225</v>
      </c>
      <c r="G312" s="7" t="s">
        <v>219</v>
      </c>
      <c r="H312" s="19" t="str">
        <f t="shared" si="5"/>
        <v/>
      </c>
      <c r="I312" s="19" t="s">
        <v>912</v>
      </c>
      <c r="J312" s="7" t="s">
        <v>311</v>
      </c>
      <c r="K312" s="1"/>
      <c r="L312" s="7" t="s">
        <v>195</v>
      </c>
    </row>
    <row r="313" spans="1:12" x14ac:dyDescent="0.25">
      <c r="A313" s="1"/>
      <c r="B313" s="7" t="s">
        <v>343</v>
      </c>
      <c r="C313" s="25">
        <v>20029222</v>
      </c>
      <c r="D313" s="7" t="s">
        <v>1977</v>
      </c>
      <c r="E313" s="26">
        <v>1</v>
      </c>
      <c r="F313" s="7" t="s">
        <v>225</v>
      </c>
      <c r="G313" s="7" t="s">
        <v>219</v>
      </c>
      <c r="H313" s="19" t="str">
        <f t="shared" si="5"/>
        <v/>
      </c>
      <c r="I313" s="19" t="s">
        <v>912</v>
      </c>
      <c r="J313" s="7" t="s">
        <v>311</v>
      </c>
      <c r="K313" s="1"/>
      <c r="L313" s="7" t="s">
        <v>195</v>
      </c>
    </row>
    <row r="314" spans="1:12" x14ac:dyDescent="0.25">
      <c r="A314" s="1"/>
      <c r="B314" s="7" t="s">
        <v>223</v>
      </c>
      <c r="C314" s="25">
        <v>20029234</v>
      </c>
      <c r="D314" s="7" t="s">
        <v>1986</v>
      </c>
      <c r="E314" s="26">
        <v>1</v>
      </c>
      <c r="F314" s="7" t="s">
        <v>225</v>
      </c>
      <c r="G314" s="7" t="s">
        <v>219</v>
      </c>
      <c r="H314" s="19" t="str">
        <f t="shared" si="5"/>
        <v/>
      </c>
      <c r="I314" s="19" t="s">
        <v>399</v>
      </c>
      <c r="J314" s="7" t="s">
        <v>311</v>
      </c>
      <c r="K314" s="1"/>
      <c r="L314" s="7" t="s">
        <v>195</v>
      </c>
    </row>
    <row r="315" spans="1:12" x14ac:dyDescent="0.25">
      <c r="A315" s="1"/>
      <c r="B315" s="7" t="s">
        <v>223</v>
      </c>
      <c r="C315" s="25">
        <v>20029235</v>
      </c>
      <c r="D315" s="7" t="s">
        <v>1987</v>
      </c>
      <c r="E315" s="26">
        <v>1</v>
      </c>
      <c r="F315" s="7" t="s">
        <v>225</v>
      </c>
      <c r="G315" s="7" t="s">
        <v>219</v>
      </c>
      <c r="H315" s="19" t="str">
        <f t="shared" si="5"/>
        <v/>
      </c>
      <c r="I315" s="19" t="s">
        <v>399</v>
      </c>
      <c r="J315" s="7" t="s">
        <v>311</v>
      </c>
      <c r="K315" s="1"/>
      <c r="L315" s="7" t="s">
        <v>195</v>
      </c>
    </row>
    <row r="316" spans="1:12" x14ac:dyDescent="0.25">
      <c r="A316" s="1"/>
      <c r="B316" s="7" t="s">
        <v>222</v>
      </c>
      <c r="C316" s="25">
        <v>20029241</v>
      </c>
      <c r="D316" s="7" t="s">
        <v>1991</v>
      </c>
      <c r="E316" s="26">
        <v>1</v>
      </c>
      <c r="F316" s="7" t="s">
        <v>225</v>
      </c>
      <c r="G316" s="7" t="s">
        <v>219</v>
      </c>
      <c r="H316" s="19" t="str">
        <f t="shared" si="5"/>
        <v/>
      </c>
      <c r="I316" s="19" t="s">
        <v>221</v>
      </c>
      <c r="J316" s="7" t="s">
        <v>311</v>
      </c>
      <c r="K316" s="1"/>
      <c r="L316" s="7" t="s">
        <v>195</v>
      </c>
    </row>
    <row r="317" spans="1:12" x14ac:dyDescent="0.25">
      <c r="A317" s="1"/>
      <c r="B317" s="7" t="s">
        <v>223</v>
      </c>
      <c r="C317" s="25">
        <v>20029245</v>
      </c>
      <c r="D317" s="7" t="s">
        <v>1993</v>
      </c>
      <c r="E317" s="26">
        <v>1</v>
      </c>
      <c r="F317" s="7" t="s">
        <v>225</v>
      </c>
      <c r="G317" s="7" t="s">
        <v>219</v>
      </c>
      <c r="H317" s="19" t="str">
        <f t="shared" si="5"/>
        <v/>
      </c>
      <c r="I317" s="19" t="s">
        <v>399</v>
      </c>
      <c r="J317" s="7" t="s">
        <v>311</v>
      </c>
      <c r="K317" s="1"/>
      <c r="L317" s="7" t="s">
        <v>195</v>
      </c>
    </row>
    <row r="318" spans="1:12" x14ac:dyDescent="0.25">
      <c r="A318" s="1"/>
      <c r="B318" s="7" t="s">
        <v>223</v>
      </c>
      <c r="C318" s="25">
        <v>20029249</v>
      </c>
      <c r="D318" s="7" t="s">
        <v>1997</v>
      </c>
      <c r="E318" s="26">
        <v>1</v>
      </c>
      <c r="F318" s="7" t="s">
        <v>225</v>
      </c>
      <c r="G318" s="7" t="s">
        <v>219</v>
      </c>
      <c r="H318" s="19" t="str">
        <f t="shared" si="5"/>
        <v/>
      </c>
      <c r="I318" s="19" t="s">
        <v>399</v>
      </c>
      <c r="J318" s="7" t="s">
        <v>311</v>
      </c>
      <c r="K318" s="1"/>
      <c r="L318" s="7" t="s">
        <v>195</v>
      </c>
    </row>
    <row r="319" spans="1:12" x14ac:dyDescent="0.25">
      <c r="A319" s="1"/>
      <c r="B319" s="7" t="s">
        <v>223</v>
      </c>
      <c r="C319" s="25">
        <v>20029250</v>
      </c>
      <c r="D319" s="7" t="s">
        <v>1998</v>
      </c>
      <c r="E319" s="26">
        <v>1</v>
      </c>
      <c r="F319" s="7" t="s">
        <v>225</v>
      </c>
      <c r="G319" s="7" t="s">
        <v>219</v>
      </c>
      <c r="H319" s="19" t="str">
        <f t="shared" si="5"/>
        <v/>
      </c>
      <c r="I319" s="19" t="s">
        <v>399</v>
      </c>
      <c r="J319" s="7" t="s">
        <v>311</v>
      </c>
      <c r="K319" s="1"/>
      <c r="L319" s="7" t="s">
        <v>195</v>
      </c>
    </row>
    <row r="320" spans="1:12" x14ac:dyDescent="0.25">
      <c r="A320" s="1"/>
      <c r="B320" s="7" t="s">
        <v>223</v>
      </c>
      <c r="C320" s="25">
        <v>20029251</v>
      </c>
      <c r="D320" s="7" t="s">
        <v>1999</v>
      </c>
      <c r="E320" s="26">
        <v>1</v>
      </c>
      <c r="F320" s="7" t="s">
        <v>225</v>
      </c>
      <c r="G320" s="7" t="s">
        <v>219</v>
      </c>
      <c r="H320" s="19" t="str">
        <f t="shared" si="5"/>
        <v/>
      </c>
      <c r="I320" s="19" t="s">
        <v>399</v>
      </c>
      <c r="J320" s="7" t="s">
        <v>311</v>
      </c>
      <c r="K320" s="1"/>
      <c r="L320" s="7" t="s">
        <v>195</v>
      </c>
    </row>
    <row r="321" spans="1:12" x14ac:dyDescent="0.25">
      <c r="A321" s="1"/>
      <c r="B321" s="7" t="s">
        <v>223</v>
      </c>
      <c r="C321" s="25">
        <v>20029265</v>
      </c>
      <c r="D321" s="7" t="s">
        <v>2002</v>
      </c>
      <c r="E321" s="26">
        <v>1</v>
      </c>
      <c r="F321" s="7" t="s">
        <v>352</v>
      </c>
      <c r="G321" s="7" t="s">
        <v>178</v>
      </c>
      <c r="H321" s="19" t="str">
        <f t="shared" si="5"/>
        <v/>
      </c>
      <c r="I321" s="19" t="s">
        <v>399</v>
      </c>
      <c r="J321" s="7" t="s">
        <v>311</v>
      </c>
      <c r="K321" s="1"/>
      <c r="L321" s="7" t="s">
        <v>195</v>
      </c>
    </row>
    <row r="322" spans="1:12" x14ac:dyDescent="0.25">
      <c r="A322" s="1"/>
      <c r="B322" s="7" t="s">
        <v>223</v>
      </c>
      <c r="C322" s="25">
        <v>20029266</v>
      </c>
      <c r="D322" s="7" t="s">
        <v>2003</v>
      </c>
      <c r="E322" s="26">
        <v>1</v>
      </c>
      <c r="F322" s="7" t="s">
        <v>352</v>
      </c>
      <c r="G322" s="7" t="s">
        <v>181</v>
      </c>
      <c r="H322" s="19" t="str">
        <f t="shared" si="5"/>
        <v/>
      </c>
      <c r="I322" s="19" t="s">
        <v>399</v>
      </c>
      <c r="J322" s="7" t="s">
        <v>311</v>
      </c>
      <c r="K322" s="1"/>
      <c r="L322" s="7" t="s">
        <v>195</v>
      </c>
    </row>
    <row r="323" spans="1:12" x14ac:dyDescent="0.25">
      <c r="A323" s="1"/>
      <c r="B323" s="7" t="s">
        <v>223</v>
      </c>
      <c r="C323" s="25">
        <v>20029267</v>
      </c>
      <c r="D323" s="7" t="s">
        <v>2004</v>
      </c>
      <c r="E323" s="26">
        <v>1</v>
      </c>
      <c r="F323" s="7" t="s">
        <v>352</v>
      </c>
      <c r="G323" s="7" t="s">
        <v>186</v>
      </c>
      <c r="H323" s="19" t="str">
        <f t="shared" si="5"/>
        <v/>
      </c>
      <c r="I323" s="19" t="s">
        <v>399</v>
      </c>
      <c r="J323" s="7" t="s">
        <v>311</v>
      </c>
      <c r="K323" s="1"/>
      <c r="L323" s="7" t="s">
        <v>195</v>
      </c>
    </row>
    <row r="324" spans="1:12" x14ac:dyDescent="0.25">
      <c r="A324" s="1"/>
      <c r="B324" s="7" t="s">
        <v>223</v>
      </c>
      <c r="C324" s="25">
        <v>20029268</v>
      </c>
      <c r="D324" s="7" t="s">
        <v>2005</v>
      </c>
      <c r="E324" s="26">
        <v>1</v>
      </c>
      <c r="F324" s="7" t="s">
        <v>352</v>
      </c>
      <c r="G324" s="7" t="s">
        <v>179</v>
      </c>
      <c r="H324" s="19" t="str">
        <f t="shared" si="5"/>
        <v/>
      </c>
      <c r="I324" s="19" t="s">
        <v>399</v>
      </c>
      <c r="J324" s="7" t="s">
        <v>311</v>
      </c>
      <c r="K324" s="1"/>
      <c r="L324" s="7" t="s">
        <v>195</v>
      </c>
    </row>
    <row r="325" spans="1:12" x14ac:dyDescent="0.25">
      <c r="A325" s="1"/>
      <c r="B325" s="7" t="s">
        <v>223</v>
      </c>
      <c r="C325" s="25">
        <v>20029269</v>
      </c>
      <c r="D325" s="7" t="s">
        <v>2006</v>
      </c>
      <c r="E325" s="26">
        <v>1</v>
      </c>
      <c r="F325" s="7" t="s">
        <v>352</v>
      </c>
      <c r="G325" s="7" t="s">
        <v>180</v>
      </c>
      <c r="H325" s="19" t="str">
        <f t="shared" si="5"/>
        <v/>
      </c>
      <c r="I325" s="19" t="s">
        <v>399</v>
      </c>
      <c r="J325" s="7" t="s">
        <v>311</v>
      </c>
      <c r="K325" s="1"/>
      <c r="L325" s="7" t="s">
        <v>195</v>
      </c>
    </row>
    <row r="326" spans="1:12" x14ac:dyDescent="0.25">
      <c r="A326" s="1"/>
      <c r="B326" s="7" t="s">
        <v>223</v>
      </c>
      <c r="C326" s="25">
        <v>20029270</v>
      </c>
      <c r="D326" s="7" t="s">
        <v>2007</v>
      </c>
      <c r="E326" s="26">
        <v>1</v>
      </c>
      <c r="F326" s="7" t="s">
        <v>225</v>
      </c>
      <c r="G326" s="7" t="s">
        <v>219</v>
      </c>
      <c r="H326" s="19" t="str">
        <f t="shared" si="5"/>
        <v/>
      </c>
      <c r="I326" s="19" t="s">
        <v>399</v>
      </c>
      <c r="J326" s="7" t="s">
        <v>311</v>
      </c>
      <c r="K326" s="1"/>
      <c r="L326" s="7" t="s">
        <v>195</v>
      </c>
    </row>
    <row r="327" spans="1:12" x14ac:dyDescent="0.25">
      <c r="A327" s="1"/>
      <c r="B327" s="7" t="s">
        <v>223</v>
      </c>
      <c r="C327" s="25">
        <v>20029272</v>
      </c>
      <c r="D327" s="7" t="s">
        <v>2008</v>
      </c>
      <c r="E327" s="26">
        <v>1</v>
      </c>
      <c r="F327" s="7" t="s">
        <v>225</v>
      </c>
      <c r="G327" s="7" t="s">
        <v>219</v>
      </c>
      <c r="H327" s="19" t="str">
        <f t="shared" si="5"/>
        <v/>
      </c>
      <c r="I327" s="19" t="s">
        <v>399</v>
      </c>
      <c r="J327" s="7" t="s">
        <v>311</v>
      </c>
      <c r="K327" s="1"/>
      <c r="L327" s="7" t="s">
        <v>195</v>
      </c>
    </row>
    <row r="328" spans="1:12" x14ac:dyDescent="0.25">
      <c r="A328" s="1"/>
      <c r="B328" s="7" t="s">
        <v>222</v>
      </c>
      <c r="C328" s="25">
        <v>20029278</v>
      </c>
      <c r="D328" s="7" t="s">
        <v>2011</v>
      </c>
      <c r="E328" s="26">
        <v>1</v>
      </c>
      <c r="F328" s="7" t="s">
        <v>225</v>
      </c>
      <c r="G328" s="7" t="s">
        <v>219</v>
      </c>
      <c r="H328" s="19" t="str">
        <f t="shared" si="5"/>
        <v/>
      </c>
      <c r="I328" s="19" t="s">
        <v>221</v>
      </c>
      <c r="J328" s="7" t="s">
        <v>311</v>
      </c>
      <c r="K328" s="1"/>
      <c r="L328" s="7" t="s">
        <v>195</v>
      </c>
    </row>
    <row r="329" spans="1:12" x14ac:dyDescent="0.25">
      <c r="A329" s="1"/>
      <c r="B329" s="7" t="s">
        <v>222</v>
      </c>
      <c r="C329" s="25">
        <v>20029280</v>
      </c>
      <c r="D329" s="7" t="s">
        <v>2013</v>
      </c>
      <c r="E329" s="26">
        <v>1</v>
      </c>
      <c r="F329" s="7" t="s">
        <v>225</v>
      </c>
      <c r="G329" s="7" t="s">
        <v>219</v>
      </c>
      <c r="H329" s="19" t="str">
        <f t="shared" si="5"/>
        <v/>
      </c>
      <c r="I329" s="19" t="s">
        <v>221</v>
      </c>
      <c r="J329" s="7" t="s">
        <v>311</v>
      </c>
      <c r="K329" s="1"/>
      <c r="L329" s="7" t="s">
        <v>195</v>
      </c>
    </row>
    <row r="330" spans="1:12" x14ac:dyDescent="0.25">
      <c r="A330" s="1"/>
      <c r="B330" s="7" t="s">
        <v>223</v>
      </c>
      <c r="C330" s="25">
        <v>20029284</v>
      </c>
      <c r="D330" s="7" t="s">
        <v>2016</v>
      </c>
      <c r="E330" s="26">
        <v>1</v>
      </c>
      <c r="F330" s="7" t="s">
        <v>225</v>
      </c>
      <c r="G330" s="7" t="s">
        <v>219</v>
      </c>
      <c r="H330" s="19" t="str">
        <f t="shared" si="5"/>
        <v/>
      </c>
      <c r="I330" s="19" t="s">
        <v>399</v>
      </c>
      <c r="J330" s="7" t="s">
        <v>311</v>
      </c>
      <c r="K330" s="1"/>
      <c r="L330" s="7" t="s">
        <v>195</v>
      </c>
    </row>
    <row r="331" spans="1:12" x14ac:dyDescent="0.25">
      <c r="A331" s="1"/>
      <c r="B331" s="7" t="s">
        <v>223</v>
      </c>
      <c r="C331" s="25">
        <v>20029285</v>
      </c>
      <c r="D331" s="7" t="s">
        <v>2017</v>
      </c>
      <c r="E331" s="26">
        <v>1</v>
      </c>
      <c r="F331" s="7" t="s">
        <v>225</v>
      </c>
      <c r="G331" s="7" t="s">
        <v>219</v>
      </c>
      <c r="H331" s="19" t="str">
        <f t="shared" si="5"/>
        <v/>
      </c>
      <c r="I331" s="19" t="s">
        <v>399</v>
      </c>
      <c r="J331" s="7" t="s">
        <v>311</v>
      </c>
      <c r="K331" s="1"/>
      <c r="L331" s="7" t="s">
        <v>195</v>
      </c>
    </row>
    <row r="332" spans="1:12" x14ac:dyDescent="0.25">
      <c r="A332" s="1"/>
      <c r="B332" s="7" t="s">
        <v>223</v>
      </c>
      <c r="C332" s="25">
        <v>20029289</v>
      </c>
      <c r="D332" s="7" t="s">
        <v>2021</v>
      </c>
      <c r="E332" s="26">
        <v>1</v>
      </c>
      <c r="F332" s="7" t="s">
        <v>225</v>
      </c>
      <c r="G332" s="7" t="s">
        <v>219</v>
      </c>
      <c r="H332" s="19" t="str">
        <f t="shared" si="5"/>
        <v/>
      </c>
      <c r="I332" s="19" t="s">
        <v>399</v>
      </c>
      <c r="J332" s="7" t="s">
        <v>311</v>
      </c>
      <c r="K332" s="1"/>
      <c r="L332" s="7" t="s">
        <v>195</v>
      </c>
    </row>
    <row r="333" spans="1:12" x14ac:dyDescent="0.25">
      <c r="A333" s="1"/>
      <c r="B333" s="7" t="s">
        <v>223</v>
      </c>
      <c r="C333" s="25">
        <v>20029295</v>
      </c>
      <c r="D333" s="7" t="s">
        <v>2027</v>
      </c>
      <c r="E333" s="26">
        <v>1</v>
      </c>
      <c r="F333" s="7" t="s">
        <v>225</v>
      </c>
      <c r="G333" s="7" t="s">
        <v>219</v>
      </c>
      <c r="H333" s="19" t="str">
        <f t="shared" si="5"/>
        <v/>
      </c>
      <c r="I333" s="19" t="s">
        <v>399</v>
      </c>
      <c r="J333" s="7" t="s">
        <v>311</v>
      </c>
      <c r="K333" s="1"/>
      <c r="L333" s="7" t="s">
        <v>195</v>
      </c>
    </row>
    <row r="334" spans="1:12" x14ac:dyDescent="0.25">
      <c r="A334" s="1"/>
      <c r="B334" s="7" t="s">
        <v>223</v>
      </c>
      <c r="C334" s="25">
        <v>20029298</v>
      </c>
      <c r="D334" s="7" t="s">
        <v>2029</v>
      </c>
      <c r="E334" s="26">
        <v>1</v>
      </c>
      <c r="F334" s="7" t="s">
        <v>225</v>
      </c>
      <c r="G334" s="7" t="s">
        <v>219</v>
      </c>
      <c r="H334" s="19" t="str">
        <f t="shared" si="5"/>
        <v/>
      </c>
      <c r="I334" s="19" t="s">
        <v>399</v>
      </c>
      <c r="J334" s="7" t="s">
        <v>311</v>
      </c>
      <c r="K334" s="1"/>
      <c r="L334" s="7" t="s">
        <v>195</v>
      </c>
    </row>
    <row r="335" spans="1:12" x14ac:dyDescent="0.25">
      <c r="A335" s="1"/>
      <c r="B335" s="7" t="s">
        <v>223</v>
      </c>
      <c r="C335" s="25">
        <v>20029299</v>
      </c>
      <c r="D335" s="7" t="s">
        <v>2030</v>
      </c>
      <c r="E335" s="26">
        <v>1</v>
      </c>
      <c r="F335" s="7" t="s">
        <v>225</v>
      </c>
      <c r="G335" s="7" t="s">
        <v>219</v>
      </c>
      <c r="H335" s="19" t="str">
        <f t="shared" ref="H335:H398" si="6">IF(A335="", "", A335*E335)</f>
        <v/>
      </c>
      <c r="I335" s="19" t="s">
        <v>399</v>
      </c>
      <c r="J335" s="7" t="s">
        <v>311</v>
      </c>
      <c r="K335" s="1"/>
      <c r="L335" s="7" t="s">
        <v>195</v>
      </c>
    </row>
    <row r="336" spans="1:12" x14ac:dyDescent="0.25">
      <c r="A336" s="1"/>
      <c r="B336" s="7" t="s">
        <v>223</v>
      </c>
      <c r="C336" s="25">
        <v>20029300</v>
      </c>
      <c r="D336" s="7" t="s">
        <v>2031</v>
      </c>
      <c r="E336" s="26">
        <v>1</v>
      </c>
      <c r="F336" s="7" t="s">
        <v>225</v>
      </c>
      <c r="G336" s="7" t="s">
        <v>219</v>
      </c>
      <c r="H336" s="19" t="str">
        <f t="shared" si="6"/>
        <v/>
      </c>
      <c r="I336" s="19" t="s">
        <v>399</v>
      </c>
      <c r="J336" s="7" t="s">
        <v>311</v>
      </c>
      <c r="K336" s="1"/>
      <c r="L336" s="7" t="s">
        <v>195</v>
      </c>
    </row>
    <row r="337" spans="1:12" x14ac:dyDescent="0.25">
      <c r="A337" s="1"/>
      <c r="B337" s="7" t="s">
        <v>223</v>
      </c>
      <c r="C337" s="25">
        <v>20029302</v>
      </c>
      <c r="D337" s="7" t="s">
        <v>2033</v>
      </c>
      <c r="E337" s="26">
        <v>1</v>
      </c>
      <c r="F337" s="7" t="s">
        <v>225</v>
      </c>
      <c r="G337" s="7" t="s">
        <v>219</v>
      </c>
      <c r="H337" s="19" t="str">
        <f t="shared" si="6"/>
        <v/>
      </c>
      <c r="I337" s="19" t="s">
        <v>399</v>
      </c>
      <c r="J337" s="7" t="s">
        <v>311</v>
      </c>
      <c r="K337" s="1"/>
      <c r="L337" s="7" t="s">
        <v>195</v>
      </c>
    </row>
    <row r="338" spans="1:12" x14ac:dyDescent="0.25">
      <c r="A338" s="1"/>
      <c r="B338" s="7" t="s">
        <v>223</v>
      </c>
      <c r="C338" s="25">
        <v>20029304</v>
      </c>
      <c r="D338" s="7" t="s">
        <v>2035</v>
      </c>
      <c r="E338" s="26">
        <v>1</v>
      </c>
      <c r="F338" s="7" t="s">
        <v>225</v>
      </c>
      <c r="G338" s="7" t="s">
        <v>219</v>
      </c>
      <c r="H338" s="19" t="str">
        <f t="shared" si="6"/>
        <v/>
      </c>
      <c r="I338" s="19" t="s">
        <v>399</v>
      </c>
      <c r="J338" s="7" t="s">
        <v>311</v>
      </c>
      <c r="K338" s="1"/>
      <c r="L338" s="7" t="s">
        <v>195</v>
      </c>
    </row>
    <row r="339" spans="1:12" x14ac:dyDescent="0.25">
      <c r="A339" s="1"/>
      <c r="B339" s="7" t="s">
        <v>223</v>
      </c>
      <c r="C339" s="25">
        <v>20029305</v>
      </c>
      <c r="D339" s="7" t="s">
        <v>2036</v>
      </c>
      <c r="E339" s="26">
        <v>1</v>
      </c>
      <c r="F339" s="7" t="s">
        <v>225</v>
      </c>
      <c r="G339" s="7" t="s">
        <v>219</v>
      </c>
      <c r="H339" s="19" t="str">
        <f t="shared" si="6"/>
        <v/>
      </c>
      <c r="I339" s="19" t="s">
        <v>399</v>
      </c>
      <c r="J339" s="7" t="s">
        <v>311</v>
      </c>
      <c r="K339" s="1"/>
      <c r="L339" s="7" t="s">
        <v>195</v>
      </c>
    </row>
    <row r="340" spans="1:12" x14ac:dyDescent="0.25">
      <c r="A340" s="1"/>
      <c r="B340" s="7" t="s">
        <v>223</v>
      </c>
      <c r="C340" s="25">
        <v>20029306</v>
      </c>
      <c r="D340" s="7" t="s">
        <v>2037</v>
      </c>
      <c r="E340" s="26">
        <v>1</v>
      </c>
      <c r="F340" s="7" t="s">
        <v>225</v>
      </c>
      <c r="G340" s="7" t="s">
        <v>219</v>
      </c>
      <c r="H340" s="19" t="str">
        <f t="shared" si="6"/>
        <v/>
      </c>
      <c r="I340" s="19" t="s">
        <v>399</v>
      </c>
      <c r="J340" s="7" t="s">
        <v>311</v>
      </c>
      <c r="K340" s="1"/>
      <c r="L340" s="7" t="s">
        <v>195</v>
      </c>
    </row>
    <row r="341" spans="1:12" x14ac:dyDescent="0.25">
      <c r="A341" s="1"/>
      <c r="B341" s="7" t="s">
        <v>223</v>
      </c>
      <c r="C341" s="25">
        <v>20029328</v>
      </c>
      <c r="D341" s="7" t="s">
        <v>2049</v>
      </c>
      <c r="E341" s="26">
        <v>1</v>
      </c>
      <c r="F341" s="7" t="s">
        <v>225</v>
      </c>
      <c r="G341" s="7" t="s">
        <v>219</v>
      </c>
      <c r="H341" s="19" t="str">
        <f t="shared" si="6"/>
        <v/>
      </c>
      <c r="I341" s="19" t="s">
        <v>399</v>
      </c>
      <c r="J341" s="7" t="s">
        <v>311</v>
      </c>
      <c r="K341" s="1"/>
      <c r="L341" s="7" t="s">
        <v>195</v>
      </c>
    </row>
    <row r="342" spans="1:12" x14ac:dyDescent="0.25">
      <c r="A342" s="1"/>
      <c r="B342" s="7" t="s">
        <v>223</v>
      </c>
      <c r="C342" s="25">
        <v>20029329</v>
      </c>
      <c r="D342" s="7" t="s">
        <v>2050</v>
      </c>
      <c r="E342" s="26">
        <v>1</v>
      </c>
      <c r="F342" s="7" t="s">
        <v>225</v>
      </c>
      <c r="G342" s="7" t="s">
        <v>219</v>
      </c>
      <c r="H342" s="19" t="str">
        <f t="shared" si="6"/>
        <v/>
      </c>
      <c r="I342" s="19" t="s">
        <v>399</v>
      </c>
      <c r="J342" s="7" t="s">
        <v>311</v>
      </c>
      <c r="K342" s="1"/>
      <c r="L342" s="7" t="s">
        <v>195</v>
      </c>
    </row>
    <row r="343" spans="1:12" x14ac:dyDescent="0.25">
      <c r="A343" s="1"/>
      <c r="B343" s="7" t="s">
        <v>223</v>
      </c>
      <c r="C343" s="25">
        <v>20029330</v>
      </c>
      <c r="D343" s="7" t="s">
        <v>2051</v>
      </c>
      <c r="E343" s="26">
        <v>1</v>
      </c>
      <c r="F343" s="7" t="s">
        <v>225</v>
      </c>
      <c r="G343" s="7" t="s">
        <v>219</v>
      </c>
      <c r="H343" s="19" t="str">
        <f t="shared" si="6"/>
        <v/>
      </c>
      <c r="I343" s="19" t="s">
        <v>399</v>
      </c>
      <c r="J343" s="7" t="s">
        <v>311</v>
      </c>
      <c r="K343" s="1"/>
      <c r="L343" s="7" t="s">
        <v>195</v>
      </c>
    </row>
    <row r="344" spans="1:12" x14ac:dyDescent="0.25">
      <c r="A344" s="1"/>
      <c r="B344" s="7" t="s">
        <v>223</v>
      </c>
      <c r="C344" s="25">
        <v>20029331</v>
      </c>
      <c r="D344" s="7" t="s">
        <v>2052</v>
      </c>
      <c r="E344" s="26">
        <v>1</v>
      </c>
      <c r="F344" s="7" t="s">
        <v>225</v>
      </c>
      <c r="G344" s="7" t="s">
        <v>219</v>
      </c>
      <c r="H344" s="19" t="str">
        <f t="shared" si="6"/>
        <v/>
      </c>
      <c r="I344" s="19" t="s">
        <v>399</v>
      </c>
      <c r="J344" s="7" t="s">
        <v>311</v>
      </c>
      <c r="K344" s="1"/>
      <c r="L344" s="7" t="s">
        <v>195</v>
      </c>
    </row>
    <row r="345" spans="1:12" x14ac:dyDescent="0.25">
      <c r="A345" s="1"/>
      <c r="B345" s="7" t="s">
        <v>223</v>
      </c>
      <c r="C345" s="25">
        <v>20029332</v>
      </c>
      <c r="D345" s="7" t="s">
        <v>2053</v>
      </c>
      <c r="E345" s="26">
        <v>1</v>
      </c>
      <c r="F345" s="7" t="s">
        <v>225</v>
      </c>
      <c r="G345" s="7" t="s">
        <v>219</v>
      </c>
      <c r="H345" s="19" t="str">
        <f t="shared" si="6"/>
        <v/>
      </c>
      <c r="I345" s="19" t="s">
        <v>399</v>
      </c>
      <c r="J345" s="7" t="s">
        <v>311</v>
      </c>
      <c r="K345" s="1"/>
      <c r="L345" s="7" t="s">
        <v>195</v>
      </c>
    </row>
    <row r="346" spans="1:12" x14ac:dyDescent="0.25">
      <c r="A346" s="1"/>
      <c r="B346" s="7" t="s">
        <v>223</v>
      </c>
      <c r="C346" s="25">
        <v>20029336</v>
      </c>
      <c r="D346" s="7" t="s">
        <v>2054</v>
      </c>
      <c r="E346" s="26">
        <v>1</v>
      </c>
      <c r="F346" s="7" t="s">
        <v>225</v>
      </c>
      <c r="G346" s="7" t="s">
        <v>219</v>
      </c>
      <c r="H346" s="19" t="str">
        <f t="shared" si="6"/>
        <v/>
      </c>
      <c r="I346" s="19" t="s">
        <v>399</v>
      </c>
      <c r="J346" s="7" t="s">
        <v>311</v>
      </c>
      <c r="K346" s="1"/>
      <c r="L346" s="7" t="s">
        <v>195</v>
      </c>
    </row>
    <row r="347" spans="1:12" x14ac:dyDescent="0.25">
      <c r="A347" s="1"/>
      <c r="B347" s="7" t="s">
        <v>223</v>
      </c>
      <c r="C347" s="25">
        <v>20029337</v>
      </c>
      <c r="D347" s="7" t="s">
        <v>2055</v>
      </c>
      <c r="E347" s="26">
        <v>1</v>
      </c>
      <c r="F347" s="7" t="s">
        <v>225</v>
      </c>
      <c r="G347" s="7" t="s">
        <v>219</v>
      </c>
      <c r="H347" s="19" t="str">
        <f t="shared" si="6"/>
        <v/>
      </c>
      <c r="I347" s="19" t="s">
        <v>399</v>
      </c>
      <c r="J347" s="7" t="s">
        <v>311</v>
      </c>
      <c r="K347" s="1"/>
      <c r="L347" s="7" t="s">
        <v>195</v>
      </c>
    </row>
    <row r="348" spans="1:12" x14ac:dyDescent="0.25">
      <c r="A348" s="1"/>
      <c r="B348" s="7" t="s">
        <v>223</v>
      </c>
      <c r="C348" s="25">
        <v>20029338</v>
      </c>
      <c r="D348" s="7" t="s">
        <v>2056</v>
      </c>
      <c r="E348" s="26">
        <v>1</v>
      </c>
      <c r="F348" s="7" t="s">
        <v>225</v>
      </c>
      <c r="G348" s="7" t="s">
        <v>219</v>
      </c>
      <c r="H348" s="19" t="str">
        <f t="shared" si="6"/>
        <v/>
      </c>
      <c r="I348" s="19" t="s">
        <v>399</v>
      </c>
      <c r="J348" s="7" t="s">
        <v>311</v>
      </c>
      <c r="K348" s="1"/>
      <c r="L348" s="7" t="s">
        <v>195</v>
      </c>
    </row>
    <row r="349" spans="1:12" x14ac:dyDescent="0.25">
      <c r="A349" s="1"/>
      <c r="B349" s="7" t="s">
        <v>222</v>
      </c>
      <c r="C349" s="25">
        <v>20029342</v>
      </c>
      <c r="D349" s="7" t="s">
        <v>2060</v>
      </c>
      <c r="E349" s="26">
        <v>1</v>
      </c>
      <c r="F349" s="7" t="s">
        <v>225</v>
      </c>
      <c r="G349" s="7" t="s">
        <v>219</v>
      </c>
      <c r="H349" s="19" t="str">
        <f t="shared" si="6"/>
        <v/>
      </c>
      <c r="I349" s="19" t="s">
        <v>221</v>
      </c>
      <c r="J349" s="7" t="s">
        <v>311</v>
      </c>
      <c r="K349" s="1"/>
      <c r="L349" s="7" t="s">
        <v>195</v>
      </c>
    </row>
    <row r="350" spans="1:12" x14ac:dyDescent="0.25">
      <c r="A350" s="1"/>
      <c r="B350" s="7" t="s">
        <v>222</v>
      </c>
      <c r="C350" s="25">
        <v>20029343</v>
      </c>
      <c r="D350" s="7" t="s">
        <v>2061</v>
      </c>
      <c r="E350" s="26">
        <v>1</v>
      </c>
      <c r="F350" s="7" t="s">
        <v>225</v>
      </c>
      <c r="G350" s="7" t="s">
        <v>219</v>
      </c>
      <c r="H350" s="19" t="str">
        <f t="shared" si="6"/>
        <v/>
      </c>
      <c r="I350" s="19" t="s">
        <v>221</v>
      </c>
      <c r="J350" s="7" t="s">
        <v>311</v>
      </c>
      <c r="K350" s="1"/>
      <c r="L350" s="7" t="s">
        <v>195</v>
      </c>
    </row>
    <row r="351" spans="1:12" x14ac:dyDescent="0.25">
      <c r="A351" s="1"/>
      <c r="B351" s="7" t="s">
        <v>222</v>
      </c>
      <c r="C351" s="25">
        <v>20029344</v>
      </c>
      <c r="D351" s="7" t="s">
        <v>2062</v>
      </c>
      <c r="E351" s="26">
        <v>1</v>
      </c>
      <c r="F351" s="7" t="s">
        <v>225</v>
      </c>
      <c r="G351" s="7" t="s">
        <v>219</v>
      </c>
      <c r="H351" s="19" t="str">
        <f t="shared" si="6"/>
        <v/>
      </c>
      <c r="I351" s="19" t="s">
        <v>221</v>
      </c>
      <c r="J351" s="7" t="s">
        <v>311</v>
      </c>
      <c r="K351" s="1"/>
      <c r="L351" s="7" t="s">
        <v>195</v>
      </c>
    </row>
    <row r="352" spans="1:12" x14ac:dyDescent="0.25">
      <c r="A352" s="1"/>
      <c r="B352" s="7" t="s">
        <v>222</v>
      </c>
      <c r="C352" s="25">
        <v>20029353</v>
      </c>
      <c r="D352" s="7" t="s">
        <v>2065</v>
      </c>
      <c r="E352" s="26">
        <v>1</v>
      </c>
      <c r="F352" s="7" t="s">
        <v>225</v>
      </c>
      <c r="G352" s="7" t="s">
        <v>219</v>
      </c>
      <c r="H352" s="19" t="str">
        <f t="shared" si="6"/>
        <v/>
      </c>
      <c r="I352" s="19" t="s">
        <v>221</v>
      </c>
      <c r="J352" s="7" t="s">
        <v>311</v>
      </c>
      <c r="K352" s="1"/>
      <c r="L352" s="7" t="s">
        <v>195</v>
      </c>
    </row>
    <row r="353" spans="1:12" x14ac:dyDescent="0.25">
      <c r="A353" s="1"/>
      <c r="B353" s="7" t="s">
        <v>223</v>
      </c>
      <c r="C353" s="25">
        <v>20029380</v>
      </c>
      <c r="D353" s="7" t="s">
        <v>2070</v>
      </c>
      <c r="E353" s="26">
        <v>1</v>
      </c>
      <c r="F353" s="7" t="s">
        <v>225</v>
      </c>
      <c r="G353" s="7" t="s">
        <v>219</v>
      </c>
      <c r="H353" s="19" t="str">
        <f t="shared" si="6"/>
        <v/>
      </c>
      <c r="I353" s="19" t="s">
        <v>399</v>
      </c>
      <c r="J353" s="7" t="s">
        <v>311</v>
      </c>
      <c r="K353" s="1"/>
      <c r="L353" s="7" t="s">
        <v>195</v>
      </c>
    </row>
    <row r="354" spans="1:12" x14ac:dyDescent="0.25">
      <c r="A354" s="1"/>
      <c r="B354" s="7" t="s">
        <v>223</v>
      </c>
      <c r="C354" s="25">
        <v>20029383</v>
      </c>
      <c r="D354" s="7" t="s">
        <v>2073</v>
      </c>
      <c r="E354" s="26">
        <v>1</v>
      </c>
      <c r="F354" s="7" t="s">
        <v>225</v>
      </c>
      <c r="G354" s="7" t="s">
        <v>219</v>
      </c>
      <c r="H354" s="19" t="str">
        <f t="shared" si="6"/>
        <v/>
      </c>
      <c r="I354" s="19" t="s">
        <v>399</v>
      </c>
      <c r="J354" s="7" t="s">
        <v>311</v>
      </c>
      <c r="K354" s="1"/>
      <c r="L354" s="7" t="s">
        <v>195</v>
      </c>
    </row>
    <row r="355" spans="1:12" x14ac:dyDescent="0.25">
      <c r="A355" s="1"/>
      <c r="B355" s="7" t="s">
        <v>223</v>
      </c>
      <c r="C355" s="25">
        <v>20029384</v>
      </c>
      <c r="D355" s="7" t="s">
        <v>2074</v>
      </c>
      <c r="E355" s="26">
        <v>1</v>
      </c>
      <c r="F355" s="7" t="s">
        <v>225</v>
      </c>
      <c r="G355" s="7" t="s">
        <v>219</v>
      </c>
      <c r="H355" s="19" t="str">
        <f t="shared" si="6"/>
        <v/>
      </c>
      <c r="I355" s="19" t="s">
        <v>399</v>
      </c>
      <c r="J355" s="7" t="s">
        <v>311</v>
      </c>
      <c r="K355" s="1"/>
      <c r="L355" s="7" t="s">
        <v>195</v>
      </c>
    </row>
    <row r="356" spans="1:12" x14ac:dyDescent="0.25">
      <c r="A356" s="1"/>
      <c r="B356" s="7" t="s">
        <v>222</v>
      </c>
      <c r="C356" s="25">
        <v>20029385</v>
      </c>
      <c r="D356" s="7" t="s">
        <v>2075</v>
      </c>
      <c r="E356" s="26">
        <v>1</v>
      </c>
      <c r="F356" s="7" t="s">
        <v>225</v>
      </c>
      <c r="G356" s="7" t="s">
        <v>219</v>
      </c>
      <c r="H356" s="19" t="str">
        <f t="shared" si="6"/>
        <v/>
      </c>
      <c r="I356" s="19" t="s">
        <v>221</v>
      </c>
      <c r="J356" s="7" t="s">
        <v>311</v>
      </c>
      <c r="K356" s="1"/>
      <c r="L356" s="7" t="s">
        <v>195</v>
      </c>
    </row>
    <row r="357" spans="1:12" x14ac:dyDescent="0.25">
      <c r="A357" s="1"/>
      <c r="B357" s="7" t="s">
        <v>222</v>
      </c>
      <c r="C357" s="25">
        <v>20029479</v>
      </c>
      <c r="D357" s="7" t="s">
        <v>2081</v>
      </c>
      <c r="E357" s="26">
        <v>1</v>
      </c>
      <c r="F357" s="7" t="s">
        <v>225</v>
      </c>
      <c r="G357" s="7" t="s">
        <v>219</v>
      </c>
      <c r="H357" s="19" t="str">
        <f t="shared" si="6"/>
        <v/>
      </c>
      <c r="I357" s="19" t="s">
        <v>221</v>
      </c>
      <c r="J357" s="7" t="s">
        <v>311</v>
      </c>
      <c r="K357" s="1"/>
      <c r="L357" s="7" t="s">
        <v>195</v>
      </c>
    </row>
    <row r="358" spans="1:12" x14ac:dyDescent="0.25">
      <c r="A358" s="1"/>
      <c r="B358" s="7" t="s">
        <v>222</v>
      </c>
      <c r="C358" s="25">
        <v>20029566</v>
      </c>
      <c r="D358" s="7" t="s">
        <v>2095</v>
      </c>
      <c r="E358" s="26">
        <v>1</v>
      </c>
      <c r="F358" s="7" t="s">
        <v>225</v>
      </c>
      <c r="G358" s="7" t="s">
        <v>219</v>
      </c>
      <c r="H358" s="19" t="str">
        <f t="shared" si="6"/>
        <v/>
      </c>
      <c r="I358" s="19" t="s">
        <v>221</v>
      </c>
      <c r="J358" s="7" t="s">
        <v>313</v>
      </c>
      <c r="K358" s="1"/>
      <c r="L358" s="7" t="s">
        <v>195</v>
      </c>
    </row>
    <row r="359" spans="1:12" x14ac:dyDescent="0.25">
      <c r="A359" s="1"/>
      <c r="B359" s="7" t="s">
        <v>222</v>
      </c>
      <c r="C359" s="25">
        <v>20029619</v>
      </c>
      <c r="D359" s="7" t="s">
        <v>2097</v>
      </c>
      <c r="E359" s="26">
        <v>1</v>
      </c>
      <c r="F359" s="7" t="s">
        <v>225</v>
      </c>
      <c r="G359" s="7" t="s">
        <v>219</v>
      </c>
      <c r="H359" s="19" t="str">
        <f t="shared" si="6"/>
        <v/>
      </c>
      <c r="I359" s="19" t="s">
        <v>221</v>
      </c>
      <c r="J359" s="7" t="s">
        <v>311</v>
      </c>
      <c r="K359" s="1"/>
      <c r="L359" s="7" t="s">
        <v>195</v>
      </c>
    </row>
    <row r="360" spans="1:12" x14ac:dyDescent="0.25">
      <c r="A360" s="1"/>
      <c r="B360" s="7" t="s">
        <v>222</v>
      </c>
      <c r="C360" s="25">
        <v>20029620</v>
      </c>
      <c r="D360" s="7" t="s">
        <v>2098</v>
      </c>
      <c r="E360" s="26">
        <v>1</v>
      </c>
      <c r="F360" s="7" t="s">
        <v>225</v>
      </c>
      <c r="G360" s="7" t="s">
        <v>219</v>
      </c>
      <c r="H360" s="19" t="str">
        <f t="shared" si="6"/>
        <v/>
      </c>
      <c r="I360" s="19" t="s">
        <v>221</v>
      </c>
      <c r="J360" s="7" t="s">
        <v>311</v>
      </c>
      <c r="K360" s="1"/>
      <c r="L360" s="7" t="s">
        <v>195</v>
      </c>
    </row>
    <row r="361" spans="1:12" x14ac:dyDescent="0.25">
      <c r="A361" s="1"/>
      <c r="B361" s="7" t="s">
        <v>227</v>
      </c>
      <c r="C361" s="25">
        <v>20029657</v>
      </c>
      <c r="D361" s="7" t="s">
        <v>2106</v>
      </c>
      <c r="E361" s="26">
        <v>1</v>
      </c>
      <c r="F361" s="7" t="s">
        <v>225</v>
      </c>
      <c r="G361" s="7" t="s">
        <v>219</v>
      </c>
      <c r="H361" s="19" t="str">
        <f t="shared" si="6"/>
        <v/>
      </c>
      <c r="I361" s="19" t="s">
        <v>37</v>
      </c>
      <c r="J361" s="7" t="s">
        <v>402</v>
      </c>
      <c r="K361" s="1"/>
      <c r="L361" s="7" t="s">
        <v>232</v>
      </c>
    </row>
    <row r="362" spans="1:12" x14ac:dyDescent="0.25">
      <c r="A362" s="1"/>
      <c r="B362" s="7" t="s">
        <v>230</v>
      </c>
      <c r="C362" s="25">
        <v>20029904</v>
      </c>
      <c r="D362" s="7" t="s">
        <v>2129</v>
      </c>
      <c r="E362" s="26">
        <v>1</v>
      </c>
      <c r="F362" s="7" t="s">
        <v>225</v>
      </c>
      <c r="G362" s="7" t="s">
        <v>219</v>
      </c>
      <c r="H362" s="19" t="str">
        <f t="shared" si="6"/>
        <v/>
      </c>
      <c r="I362" s="19" t="s">
        <v>910</v>
      </c>
      <c r="J362" s="7" t="s">
        <v>397</v>
      </c>
      <c r="K362" s="1"/>
      <c r="L362" s="7" t="s">
        <v>195</v>
      </c>
    </row>
    <row r="363" spans="1:12" x14ac:dyDescent="0.25">
      <c r="A363" s="1"/>
      <c r="B363" s="7" t="s">
        <v>230</v>
      </c>
      <c r="C363" s="25">
        <v>20029905</v>
      </c>
      <c r="D363" s="7" t="s">
        <v>2130</v>
      </c>
      <c r="E363" s="26">
        <v>1</v>
      </c>
      <c r="F363" s="7" t="s">
        <v>225</v>
      </c>
      <c r="G363" s="7" t="s">
        <v>219</v>
      </c>
      <c r="H363" s="19" t="str">
        <f t="shared" si="6"/>
        <v/>
      </c>
      <c r="I363" s="19" t="s">
        <v>910</v>
      </c>
      <c r="J363" s="7" t="s">
        <v>397</v>
      </c>
      <c r="K363" s="1"/>
      <c r="L363" s="7" t="s">
        <v>195</v>
      </c>
    </row>
    <row r="364" spans="1:12" x14ac:dyDescent="0.25">
      <c r="A364" s="1"/>
      <c r="B364" s="7" t="s">
        <v>228</v>
      </c>
      <c r="C364" s="25">
        <v>20030245</v>
      </c>
      <c r="D364" s="7" t="s">
        <v>2174</v>
      </c>
      <c r="E364" s="26">
        <v>1</v>
      </c>
      <c r="F364" s="7" t="s">
        <v>225</v>
      </c>
      <c r="G364" s="7" t="s">
        <v>219</v>
      </c>
      <c r="H364" s="19" t="str">
        <f t="shared" si="6"/>
        <v/>
      </c>
      <c r="I364" s="19" t="s">
        <v>1115</v>
      </c>
      <c r="J364" s="7" t="s">
        <v>246</v>
      </c>
      <c r="K364" s="1"/>
      <c r="L364" s="7" t="s">
        <v>195</v>
      </c>
    </row>
    <row r="365" spans="1:12" x14ac:dyDescent="0.25">
      <c r="A365" s="1"/>
      <c r="B365" s="7" t="s">
        <v>223</v>
      </c>
      <c r="C365" s="25">
        <v>20030246</v>
      </c>
      <c r="D365" s="7" t="s">
        <v>2175</v>
      </c>
      <c r="E365" s="26">
        <v>1</v>
      </c>
      <c r="F365" s="7" t="s">
        <v>225</v>
      </c>
      <c r="G365" s="7" t="s">
        <v>219</v>
      </c>
      <c r="H365" s="19" t="str">
        <f t="shared" si="6"/>
        <v/>
      </c>
      <c r="I365" s="19" t="s">
        <v>399</v>
      </c>
      <c r="J365" s="7" t="s">
        <v>246</v>
      </c>
      <c r="K365" s="1"/>
      <c r="L365" s="7" t="s">
        <v>195</v>
      </c>
    </row>
    <row r="366" spans="1:12" x14ac:dyDescent="0.25">
      <c r="A366" s="1"/>
      <c r="B366" s="7" t="s">
        <v>222</v>
      </c>
      <c r="C366" s="25">
        <v>20030251</v>
      </c>
      <c r="D366" s="7" t="s">
        <v>2178</v>
      </c>
      <c r="E366" s="26">
        <v>1</v>
      </c>
      <c r="F366" s="7" t="s">
        <v>225</v>
      </c>
      <c r="G366" s="7" t="s">
        <v>219</v>
      </c>
      <c r="H366" s="19" t="str">
        <f t="shared" si="6"/>
        <v/>
      </c>
      <c r="I366" s="19" t="s">
        <v>221</v>
      </c>
      <c r="J366" s="7" t="s">
        <v>721</v>
      </c>
      <c r="K366" s="1"/>
      <c r="L366" s="7" t="s">
        <v>195</v>
      </c>
    </row>
    <row r="367" spans="1:12" x14ac:dyDescent="0.25">
      <c r="A367" s="1"/>
      <c r="B367" s="7" t="s">
        <v>222</v>
      </c>
      <c r="C367" s="25">
        <v>20030252</v>
      </c>
      <c r="D367" s="7" t="s">
        <v>2179</v>
      </c>
      <c r="E367" s="26">
        <v>1</v>
      </c>
      <c r="F367" s="7" t="s">
        <v>225</v>
      </c>
      <c r="G367" s="7" t="s">
        <v>219</v>
      </c>
      <c r="H367" s="19" t="str">
        <f t="shared" si="6"/>
        <v/>
      </c>
      <c r="I367" s="19" t="s">
        <v>221</v>
      </c>
      <c r="J367" s="7" t="s">
        <v>721</v>
      </c>
      <c r="K367" s="1"/>
      <c r="L367" s="7" t="s">
        <v>195</v>
      </c>
    </row>
    <row r="368" spans="1:12" x14ac:dyDescent="0.25">
      <c r="A368" s="1"/>
      <c r="B368" s="7" t="s">
        <v>222</v>
      </c>
      <c r="C368" s="25">
        <v>20030278</v>
      </c>
      <c r="D368" s="7" t="s">
        <v>2181</v>
      </c>
      <c r="E368" s="26">
        <v>1</v>
      </c>
      <c r="F368" s="7" t="s">
        <v>225</v>
      </c>
      <c r="G368" s="7" t="s">
        <v>219</v>
      </c>
      <c r="H368" s="19" t="str">
        <f t="shared" si="6"/>
        <v/>
      </c>
      <c r="I368" s="19" t="s">
        <v>221</v>
      </c>
      <c r="J368" s="7" t="s">
        <v>327</v>
      </c>
      <c r="K368" s="1"/>
      <c r="L368" s="7" t="s">
        <v>195</v>
      </c>
    </row>
    <row r="369" spans="1:12" x14ac:dyDescent="0.25">
      <c r="A369" s="1"/>
      <c r="B369" s="7" t="s">
        <v>222</v>
      </c>
      <c r="C369" s="25">
        <v>20030290</v>
      </c>
      <c r="D369" s="7" t="s">
        <v>2182</v>
      </c>
      <c r="E369" s="26">
        <v>1</v>
      </c>
      <c r="F369" s="7" t="s">
        <v>225</v>
      </c>
      <c r="G369" s="7" t="s">
        <v>219</v>
      </c>
      <c r="H369" s="19" t="str">
        <f t="shared" si="6"/>
        <v/>
      </c>
      <c r="I369" s="19" t="s">
        <v>221</v>
      </c>
      <c r="J369" s="7" t="s">
        <v>315</v>
      </c>
      <c r="K369" s="1"/>
      <c r="L369" s="7" t="s">
        <v>195</v>
      </c>
    </row>
    <row r="370" spans="1:12" x14ac:dyDescent="0.25">
      <c r="A370" s="1"/>
      <c r="B370" s="7" t="s">
        <v>227</v>
      </c>
      <c r="C370" s="25">
        <v>20030299</v>
      </c>
      <c r="D370" s="7" t="s">
        <v>2183</v>
      </c>
      <c r="E370" s="26">
        <v>1</v>
      </c>
      <c r="F370" s="7" t="s">
        <v>225</v>
      </c>
      <c r="G370" s="7" t="s">
        <v>219</v>
      </c>
      <c r="H370" s="19" t="str">
        <f t="shared" si="6"/>
        <v/>
      </c>
      <c r="I370" s="19" t="s">
        <v>37</v>
      </c>
      <c r="J370" s="7" t="s">
        <v>402</v>
      </c>
      <c r="K370" s="1"/>
      <c r="L370" s="7" t="s">
        <v>232</v>
      </c>
    </row>
    <row r="371" spans="1:12" x14ac:dyDescent="0.25">
      <c r="A371" s="1"/>
      <c r="B371" s="7" t="s">
        <v>227</v>
      </c>
      <c r="C371" s="25">
        <v>20030300</v>
      </c>
      <c r="D371" s="7" t="s">
        <v>2184</v>
      </c>
      <c r="E371" s="26">
        <v>1</v>
      </c>
      <c r="F371" s="7" t="s">
        <v>225</v>
      </c>
      <c r="G371" s="7" t="s">
        <v>219</v>
      </c>
      <c r="H371" s="19" t="str">
        <f t="shared" si="6"/>
        <v/>
      </c>
      <c r="I371" s="19" t="s">
        <v>37</v>
      </c>
      <c r="J371" s="7" t="s">
        <v>402</v>
      </c>
      <c r="K371" s="1"/>
      <c r="L371" s="7" t="s">
        <v>232</v>
      </c>
    </row>
    <row r="372" spans="1:12" x14ac:dyDescent="0.25">
      <c r="A372" s="1"/>
      <c r="B372" s="7" t="s">
        <v>222</v>
      </c>
      <c r="C372" s="25">
        <v>20030770</v>
      </c>
      <c r="D372" s="7" t="s">
        <v>2220</v>
      </c>
      <c r="E372" s="26">
        <v>1</v>
      </c>
      <c r="F372" s="7" t="s">
        <v>225</v>
      </c>
      <c r="G372" s="7" t="s">
        <v>219</v>
      </c>
      <c r="H372" s="19" t="str">
        <f t="shared" si="6"/>
        <v/>
      </c>
      <c r="I372" s="19" t="s">
        <v>221</v>
      </c>
      <c r="J372" s="7" t="s">
        <v>327</v>
      </c>
      <c r="K372" s="1"/>
      <c r="L372" s="7" t="s">
        <v>195</v>
      </c>
    </row>
    <row r="373" spans="1:12" x14ac:dyDescent="0.25">
      <c r="A373" s="1"/>
      <c r="B373" s="7" t="s">
        <v>222</v>
      </c>
      <c r="C373" s="25">
        <v>20030788</v>
      </c>
      <c r="D373" s="7" t="s">
        <v>2224</v>
      </c>
      <c r="E373" s="26">
        <v>1</v>
      </c>
      <c r="F373" s="7" t="s">
        <v>225</v>
      </c>
      <c r="G373" s="7" t="s">
        <v>219</v>
      </c>
      <c r="H373" s="19" t="str">
        <f t="shared" si="6"/>
        <v/>
      </c>
      <c r="I373" s="19" t="s">
        <v>221</v>
      </c>
      <c r="J373" s="7" t="s">
        <v>721</v>
      </c>
      <c r="K373" s="1"/>
      <c r="L373" s="7" t="s">
        <v>195</v>
      </c>
    </row>
    <row r="374" spans="1:12" x14ac:dyDescent="0.25">
      <c r="A374" s="1"/>
      <c r="B374" s="7" t="s">
        <v>222</v>
      </c>
      <c r="C374" s="25">
        <v>20030822</v>
      </c>
      <c r="D374" s="7" t="s">
        <v>2226</v>
      </c>
      <c r="E374" s="26">
        <v>1</v>
      </c>
      <c r="F374" s="7" t="s">
        <v>225</v>
      </c>
      <c r="G374" s="7" t="s">
        <v>219</v>
      </c>
      <c r="H374" s="19" t="str">
        <f t="shared" si="6"/>
        <v/>
      </c>
      <c r="I374" s="19" t="s">
        <v>221</v>
      </c>
      <c r="J374" s="7" t="s">
        <v>721</v>
      </c>
      <c r="K374" s="1"/>
      <c r="L374" s="7" t="s">
        <v>195</v>
      </c>
    </row>
    <row r="375" spans="1:12" x14ac:dyDescent="0.25">
      <c r="A375" s="1"/>
      <c r="B375" s="7" t="s">
        <v>222</v>
      </c>
      <c r="C375" s="25">
        <v>20030824</v>
      </c>
      <c r="D375" s="7" t="s">
        <v>2228</v>
      </c>
      <c r="E375" s="26">
        <v>1</v>
      </c>
      <c r="F375" s="7" t="s">
        <v>225</v>
      </c>
      <c r="G375" s="7" t="s">
        <v>219</v>
      </c>
      <c r="H375" s="19" t="str">
        <f t="shared" si="6"/>
        <v/>
      </c>
      <c r="I375" s="19" t="s">
        <v>221</v>
      </c>
      <c r="J375" s="7" t="s">
        <v>721</v>
      </c>
      <c r="K375" s="1"/>
      <c r="L375" s="7" t="s">
        <v>195</v>
      </c>
    </row>
    <row r="376" spans="1:12" x14ac:dyDescent="0.25">
      <c r="A376" s="1"/>
      <c r="B376" s="7" t="s">
        <v>222</v>
      </c>
      <c r="C376" s="25">
        <v>20030826</v>
      </c>
      <c r="D376" s="7" t="s">
        <v>2230</v>
      </c>
      <c r="E376" s="26">
        <v>1</v>
      </c>
      <c r="F376" s="7" t="s">
        <v>225</v>
      </c>
      <c r="G376" s="7" t="s">
        <v>219</v>
      </c>
      <c r="H376" s="19" t="str">
        <f t="shared" si="6"/>
        <v/>
      </c>
      <c r="I376" s="19" t="s">
        <v>221</v>
      </c>
      <c r="J376" s="7" t="s">
        <v>721</v>
      </c>
      <c r="K376" s="1"/>
      <c r="L376" s="7" t="s">
        <v>195</v>
      </c>
    </row>
    <row r="377" spans="1:12" x14ac:dyDescent="0.25">
      <c r="A377" s="1"/>
      <c r="B377" s="7" t="s">
        <v>222</v>
      </c>
      <c r="C377" s="25">
        <v>20030827</v>
      </c>
      <c r="D377" s="7" t="s">
        <v>2231</v>
      </c>
      <c r="E377" s="26">
        <v>1</v>
      </c>
      <c r="F377" s="7" t="s">
        <v>225</v>
      </c>
      <c r="G377" s="7" t="s">
        <v>219</v>
      </c>
      <c r="H377" s="19" t="str">
        <f t="shared" si="6"/>
        <v/>
      </c>
      <c r="I377" s="19" t="s">
        <v>221</v>
      </c>
      <c r="J377" s="7" t="s">
        <v>721</v>
      </c>
      <c r="K377" s="1"/>
      <c r="L377" s="7" t="s">
        <v>195</v>
      </c>
    </row>
    <row r="378" spans="1:12" x14ac:dyDescent="0.25">
      <c r="A378" s="1"/>
      <c r="B378" s="7" t="s">
        <v>222</v>
      </c>
      <c r="C378" s="25">
        <v>20030829</v>
      </c>
      <c r="D378" s="7" t="s">
        <v>2233</v>
      </c>
      <c r="E378" s="26">
        <v>1</v>
      </c>
      <c r="F378" s="7" t="s">
        <v>225</v>
      </c>
      <c r="G378" s="7" t="s">
        <v>219</v>
      </c>
      <c r="H378" s="19" t="str">
        <f t="shared" si="6"/>
        <v/>
      </c>
      <c r="I378" s="19" t="s">
        <v>221</v>
      </c>
      <c r="J378" s="7" t="s">
        <v>721</v>
      </c>
      <c r="K378" s="1"/>
      <c r="L378" s="7" t="s">
        <v>195</v>
      </c>
    </row>
    <row r="379" spans="1:12" x14ac:dyDescent="0.25">
      <c r="A379" s="1"/>
      <c r="B379" s="7" t="s">
        <v>222</v>
      </c>
      <c r="C379" s="25">
        <v>20030833</v>
      </c>
      <c r="D379" s="7" t="s">
        <v>2237</v>
      </c>
      <c r="E379" s="26">
        <v>1</v>
      </c>
      <c r="F379" s="7" t="s">
        <v>225</v>
      </c>
      <c r="G379" s="7" t="s">
        <v>219</v>
      </c>
      <c r="H379" s="19" t="str">
        <f t="shared" si="6"/>
        <v/>
      </c>
      <c r="I379" s="19" t="s">
        <v>221</v>
      </c>
      <c r="J379" s="7" t="s">
        <v>721</v>
      </c>
      <c r="K379" s="1"/>
      <c r="L379" s="7" t="s">
        <v>195</v>
      </c>
    </row>
    <row r="380" spans="1:12" x14ac:dyDescent="0.25">
      <c r="A380" s="1"/>
      <c r="B380" s="7" t="s">
        <v>222</v>
      </c>
      <c r="C380" s="25">
        <v>20030876</v>
      </c>
      <c r="D380" s="7" t="s">
        <v>2260</v>
      </c>
      <c r="E380" s="26">
        <v>1</v>
      </c>
      <c r="F380" s="7" t="s">
        <v>225</v>
      </c>
      <c r="G380" s="7" t="s">
        <v>219</v>
      </c>
      <c r="H380" s="19" t="str">
        <f t="shared" si="6"/>
        <v/>
      </c>
      <c r="I380" s="19" t="s">
        <v>221</v>
      </c>
      <c r="J380" s="7" t="s">
        <v>327</v>
      </c>
      <c r="K380" s="1"/>
      <c r="L380" s="7" t="s">
        <v>195</v>
      </c>
    </row>
    <row r="381" spans="1:12" x14ac:dyDescent="0.25">
      <c r="A381" s="1"/>
      <c r="B381" s="7" t="s">
        <v>233</v>
      </c>
      <c r="C381" s="25">
        <v>20031029</v>
      </c>
      <c r="D381" s="7" t="s">
        <v>2269</v>
      </c>
      <c r="E381" s="26">
        <v>1</v>
      </c>
      <c r="F381" s="7" t="s">
        <v>225</v>
      </c>
      <c r="G381" s="7" t="s">
        <v>219</v>
      </c>
      <c r="H381" s="19" t="str">
        <f t="shared" si="6"/>
        <v/>
      </c>
      <c r="I381" s="19" t="s">
        <v>328</v>
      </c>
      <c r="J381" s="7" t="s">
        <v>313</v>
      </c>
      <c r="K381" s="1"/>
      <c r="L381" s="7" t="s">
        <v>195</v>
      </c>
    </row>
    <row r="382" spans="1:12" x14ac:dyDescent="0.25">
      <c r="A382" s="1"/>
      <c r="B382" s="7" t="s">
        <v>222</v>
      </c>
      <c r="C382" s="25">
        <v>20031718</v>
      </c>
      <c r="D382" s="7" t="s">
        <v>2331</v>
      </c>
      <c r="E382" s="26">
        <v>1</v>
      </c>
      <c r="F382" s="7" t="s">
        <v>225</v>
      </c>
      <c r="G382" s="7" t="s">
        <v>219</v>
      </c>
      <c r="H382" s="19" t="str">
        <f t="shared" si="6"/>
        <v/>
      </c>
      <c r="I382" s="19" t="s">
        <v>221</v>
      </c>
      <c r="J382" s="7" t="s">
        <v>347</v>
      </c>
      <c r="K382" s="1"/>
      <c r="L382" s="7" t="s">
        <v>195</v>
      </c>
    </row>
    <row r="383" spans="1:12" x14ac:dyDescent="0.25">
      <c r="A383" s="1"/>
      <c r="B383" s="7" t="s">
        <v>222</v>
      </c>
      <c r="C383" s="25">
        <v>20031719</v>
      </c>
      <c r="D383" s="7" t="s">
        <v>2332</v>
      </c>
      <c r="E383" s="26">
        <v>1</v>
      </c>
      <c r="F383" s="7" t="s">
        <v>225</v>
      </c>
      <c r="G383" s="7" t="s">
        <v>219</v>
      </c>
      <c r="H383" s="19" t="str">
        <f t="shared" si="6"/>
        <v/>
      </c>
      <c r="I383" s="19" t="s">
        <v>221</v>
      </c>
      <c r="J383" s="7" t="s">
        <v>347</v>
      </c>
      <c r="K383" s="1"/>
      <c r="L383" s="7" t="s">
        <v>195</v>
      </c>
    </row>
    <row r="384" spans="1:12" x14ac:dyDescent="0.25">
      <c r="A384" s="1"/>
      <c r="B384" s="7" t="s">
        <v>227</v>
      </c>
      <c r="C384" s="25">
        <v>20031720</v>
      </c>
      <c r="D384" s="7" t="s">
        <v>2333</v>
      </c>
      <c r="E384" s="26">
        <v>1</v>
      </c>
      <c r="F384" s="7" t="s">
        <v>225</v>
      </c>
      <c r="G384" s="7" t="s">
        <v>219</v>
      </c>
      <c r="H384" s="19" t="str">
        <f t="shared" si="6"/>
        <v/>
      </c>
      <c r="I384" s="19" t="s">
        <v>37</v>
      </c>
      <c r="J384" s="7" t="s">
        <v>238</v>
      </c>
      <c r="K384" s="1"/>
      <c r="L384" s="7" t="s">
        <v>232</v>
      </c>
    </row>
    <row r="385" spans="1:12" x14ac:dyDescent="0.25">
      <c r="A385" s="1"/>
      <c r="B385" s="7" t="s">
        <v>222</v>
      </c>
      <c r="C385" s="25">
        <v>20031735</v>
      </c>
      <c r="D385" s="7" t="s">
        <v>2335</v>
      </c>
      <c r="E385" s="26">
        <v>1</v>
      </c>
      <c r="F385" s="7" t="s">
        <v>225</v>
      </c>
      <c r="G385" s="7" t="s">
        <v>219</v>
      </c>
      <c r="H385" s="19" t="str">
        <f t="shared" si="6"/>
        <v/>
      </c>
      <c r="I385" s="19" t="s">
        <v>221</v>
      </c>
      <c r="J385" s="7" t="s">
        <v>333</v>
      </c>
      <c r="K385" s="1"/>
      <c r="L385" s="7" t="s">
        <v>195</v>
      </c>
    </row>
    <row r="386" spans="1:12" x14ac:dyDescent="0.25">
      <c r="A386" s="1"/>
      <c r="B386" s="7" t="s">
        <v>222</v>
      </c>
      <c r="C386" s="25">
        <v>20031894</v>
      </c>
      <c r="D386" s="7" t="s">
        <v>2382</v>
      </c>
      <c r="E386" s="26">
        <v>1</v>
      </c>
      <c r="F386" s="7" t="s">
        <v>225</v>
      </c>
      <c r="G386" s="7" t="s">
        <v>219</v>
      </c>
      <c r="H386" s="19" t="str">
        <f t="shared" si="6"/>
        <v/>
      </c>
      <c r="I386" s="19" t="s">
        <v>221</v>
      </c>
      <c r="J386" s="7" t="s">
        <v>348</v>
      </c>
      <c r="K386" s="1"/>
      <c r="L386" s="7" t="s">
        <v>195</v>
      </c>
    </row>
    <row r="387" spans="1:12" x14ac:dyDescent="0.25">
      <c r="A387" s="1"/>
      <c r="B387" s="7" t="s">
        <v>222</v>
      </c>
      <c r="C387" s="25">
        <v>20031987</v>
      </c>
      <c r="D387" s="7" t="s">
        <v>2389</v>
      </c>
      <c r="E387" s="26">
        <v>1</v>
      </c>
      <c r="F387" s="7" t="s">
        <v>225</v>
      </c>
      <c r="G387" s="7" t="s">
        <v>219</v>
      </c>
      <c r="H387" s="19" t="str">
        <f t="shared" si="6"/>
        <v/>
      </c>
      <c r="I387" s="19" t="s">
        <v>221</v>
      </c>
      <c r="J387" s="7" t="s">
        <v>309</v>
      </c>
      <c r="K387" s="1"/>
      <c r="L387" s="7" t="s">
        <v>195</v>
      </c>
    </row>
    <row r="388" spans="1:12" x14ac:dyDescent="0.25">
      <c r="A388" s="1"/>
      <c r="B388" s="7" t="s">
        <v>222</v>
      </c>
      <c r="C388" s="25">
        <v>20032101</v>
      </c>
      <c r="D388" s="7" t="s">
        <v>2409</v>
      </c>
      <c r="E388" s="26">
        <v>1</v>
      </c>
      <c r="F388" s="7" t="s">
        <v>225</v>
      </c>
      <c r="G388" s="7" t="s">
        <v>219</v>
      </c>
      <c r="H388" s="19" t="str">
        <f t="shared" si="6"/>
        <v/>
      </c>
      <c r="I388" s="19" t="s">
        <v>221</v>
      </c>
      <c r="J388" s="7" t="s">
        <v>327</v>
      </c>
      <c r="K388" s="1"/>
      <c r="L388" s="7" t="s">
        <v>195</v>
      </c>
    </row>
    <row r="389" spans="1:12" x14ac:dyDescent="0.25">
      <c r="A389" s="1"/>
      <c r="B389" s="7" t="s">
        <v>222</v>
      </c>
      <c r="C389" s="25">
        <v>20032102</v>
      </c>
      <c r="D389" s="7" t="s">
        <v>2410</v>
      </c>
      <c r="E389" s="26">
        <v>1</v>
      </c>
      <c r="F389" s="7" t="s">
        <v>225</v>
      </c>
      <c r="G389" s="7" t="s">
        <v>219</v>
      </c>
      <c r="H389" s="19" t="str">
        <f t="shared" si="6"/>
        <v/>
      </c>
      <c r="I389" s="19" t="s">
        <v>221</v>
      </c>
      <c r="J389" s="7" t="s">
        <v>315</v>
      </c>
      <c r="K389" s="1"/>
      <c r="L389" s="7" t="s">
        <v>195</v>
      </c>
    </row>
    <row r="390" spans="1:12" x14ac:dyDescent="0.25">
      <c r="A390" s="1"/>
      <c r="B390" s="7" t="s">
        <v>222</v>
      </c>
      <c r="C390" s="25">
        <v>20032124</v>
      </c>
      <c r="D390" s="7" t="s">
        <v>2417</v>
      </c>
      <c r="E390" s="26">
        <v>1</v>
      </c>
      <c r="F390" s="7" t="s">
        <v>225</v>
      </c>
      <c r="G390" s="7" t="s">
        <v>219</v>
      </c>
      <c r="H390" s="19" t="str">
        <f t="shared" si="6"/>
        <v/>
      </c>
      <c r="I390" s="19" t="s">
        <v>221</v>
      </c>
      <c r="J390" s="7" t="s">
        <v>347</v>
      </c>
      <c r="K390" s="1"/>
      <c r="L390" s="7" t="s">
        <v>195</v>
      </c>
    </row>
    <row r="391" spans="1:12" x14ac:dyDescent="0.25">
      <c r="A391" s="1"/>
      <c r="B391" s="7" t="s">
        <v>230</v>
      </c>
      <c r="C391" s="25">
        <v>20032141</v>
      </c>
      <c r="D391" s="7" t="s">
        <v>2420</v>
      </c>
      <c r="E391" s="26">
        <v>1</v>
      </c>
      <c r="F391" s="7" t="s">
        <v>352</v>
      </c>
      <c r="G391" s="7" t="s">
        <v>190</v>
      </c>
      <c r="H391" s="19" t="str">
        <f t="shared" si="6"/>
        <v/>
      </c>
      <c r="I391" s="19" t="s">
        <v>910</v>
      </c>
      <c r="J391" s="7" t="s">
        <v>309</v>
      </c>
      <c r="K391" s="1"/>
      <c r="L391" s="7" t="s">
        <v>195</v>
      </c>
    </row>
    <row r="392" spans="1:12" x14ac:dyDescent="0.25">
      <c r="A392" s="1"/>
      <c r="B392" s="7" t="s">
        <v>233</v>
      </c>
      <c r="C392" s="25">
        <v>20032144</v>
      </c>
      <c r="D392" s="7" t="s">
        <v>2421</v>
      </c>
      <c r="E392" s="26">
        <v>1</v>
      </c>
      <c r="F392" s="7" t="s">
        <v>225</v>
      </c>
      <c r="G392" s="7" t="s">
        <v>219</v>
      </c>
      <c r="H392" s="19" t="str">
        <f t="shared" si="6"/>
        <v/>
      </c>
      <c r="I392" s="19" t="s">
        <v>328</v>
      </c>
      <c r="J392" s="7" t="s">
        <v>313</v>
      </c>
      <c r="K392" s="1"/>
      <c r="L392" s="7" t="s">
        <v>195</v>
      </c>
    </row>
    <row r="393" spans="1:12" x14ac:dyDescent="0.25">
      <c r="A393" s="1"/>
      <c r="B393" s="7" t="s">
        <v>230</v>
      </c>
      <c r="C393" s="25">
        <v>20032274</v>
      </c>
      <c r="D393" s="7" t="s">
        <v>2432</v>
      </c>
      <c r="E393" s="26">
        <v>1</v>
      </c>
      <c r="F393" s="7" t="s">
        <v>225</v>
      </c>
      <c r="G393" s="7" t="s">
        <v>219</v>
      </c>
      <c r="H393" s="19" t="str">
        <f t="shared" si="6"/>
        <v/>
      </c>
      <c r="I393" s="19" t="s">
        <v>910</v>
      </c>
      <c r="J393" s="7" t="s">
        <v>313</v>
      </c>
      <c r="K393" s="1"/>
      <c r="L393" s="7" t="s">
        <v>195</v>
      </c>
    </row>
    <row r="394" spans="1:12" x14ac:dyDescent="0.25">
      <c r="A394" s="1"/>
      <c r="B394" s="7" t="s">
        <v>230</v>
      </c>
      <c r="C394" s="25">
        <v>20032532</v>
      </c>
      <c r="D394" s="7" t="s">
        <v>2443</v>
      </c>
      <c r="E394" s="26">
        <v>1</v>
      </c>
      <c r="F394" s="7" t="s">
        <v>225</v>
      </c>
      <c r="G394" s="7" t="s">
        <v>219</v>
      </c>
      <c r="H394" s="19" t="str">
        <f t="shared" si="6"/>
        <v/>
      </c>
      <c r="I394" s="19" t="s">
        <v>910</v>
      </c>
      <c r="J394" s="7" t="s">
        <v>942</v>
      </c>
      <c r="K394" s="1"/>
      <c r="L394" s="7" t="s">
        <v>195</v>
      </c>
    </row>
    <row r="395" spans="1:12" x14ac:dyDescent="0.25">
      <c r="A395" s="1"/>
      <c r="B395" s="7" t="s">
        <v>230</v>
      </c>
      <c r="C395" s="25">
        <v>20032539</v>
      </c>
      <c r="D395" s="7" t="s">
        <v>2444</v>
      </c>
      <c r="E395" s="26">
        <v>1</v>
      </c>
      <c r="F395" s="7" t="s">
        <v>225</v>
      </c>
      <c r="G395" s="7" t="s">
        <v>219</v>
      </c>
      <c r="H395" s="19" t="str">
        <f t="shared" si="6"/>
        <v/>
      </c>
      <c r="I395" s="19" t="s">
        <v>910</v>
      </c>
      <c r="J395" s="7" t="s">
        <v>942</v>
      </c>
      <c r="K395" s="1"/>
      <c r="L395" s="7" t="s">
        <v>195</v>
      </c>
    </row>
    <row r="396" spans="1:12" x14ac:dyDescent="0.25">
      <c r="A396" s="1"/>
      <c r="B396" s="7" t="s">
        <v>230</v>
      </c>
      <c r="C396" s="25">
        <v>20032541</v>
      </c>
      <c r="D396" s="7" t="s">
        <v>2445</v>
      </c>
      <c r="E396" s="26">
        <v>1</v>
      </c>
      <c r="F396" s="7" t="s">
        <v>225</v>
      </c>
      <c r="G396" s="7" t="s">
        <v>219</v>
      </c>
      <c r="H396" s="19" t="str">
        <f t="shared" si="6"/>
        <v/>
      </c>
      <c r="I396" s="19" t="s">
        <v>910</v>
      </c>
      <c r="J396" s="7" t="s">
        <v>942</v>
      </c>
      <c r="K396" s="1"/>
      <c r="L396" s="7" t="s">
        <v>195</v>
      </c>
    </row>
    <row r="397" spans="1:12" x14ac:dyDescent="0.25">
      <c r="A397" s="1"/>
      <c r="B397" s="7" t="s">
        <v>222</v>
      </c>
      <c r="C397" s="25">
        <v>20032820</v>
      </c>
      <c r="D397" s="7" t="s">
        <v>2491</v>
      </c>
      <c r="E397" s="26">
        <v>1</v>
      </c>
      <c r="F397" s="7" t="s">
        <v>225</v>
      </c>
      <c r="G397" s="7" t="s">
        <v>219</v>
      </c>
      <c r="H397" s="19" t="str">
        <f t="shared" si="6"/>
        <v/>
      </c>
      <c r="I397" s="19" t="s">
        <v>221</v>
      </c>
      <c r="J397" s="7" t="s">
        <v>397</v>
      </c>
      <c r="K397" s="1"/>
      <c r="L397" s="7" t="s">
        <v>195</v>
      </c>
    </row>
    <row r="398" spans="1:12" x14ac:dyDescent="0.25">
      <c r="A398" s="1"/>
      <c r="B398" s="7" t="s">
        <v>230</v>
      </c>
      <c r="C398" s="25">
        <v>20033293</v>
      </c>
      <c r="D398" s="7" t="s">
        <v>2529</v>
      </c>
      <c r="E398" s="26">
        <v>1</v>
      </c>
      <c r="F398" s="7" t="s">
        <v>225</v>
      </c>
      <c r="G398" s="7" t="s">
        <v>219</v>
      </c>
      <c r="H398" s="19" t="str">
        <f t="shared" si="6"/>
        <v/>
      </c>
      <c r="I398" s="19" t="s">
        <v>910</v>
      </c>
      <c r="J398" s="7" t="s">
        <v>309</v>
      </c>
      <c r="K398" s="1"/>
      <c r="L398" s="7" t="s">
        <v>195</v>
      </c>
    </row>
    <row r="399" spans="1:12" x14ac:dyDescent="0.25">
      <c r="A399" s="1"/>
      <c r="B399" s="7" t="s">
        <v>222</v>
      </c>
      <c r="C399" s="25">
        <v>20033505</v>
      </c>
      <c r="D399" s="7" t="s">
        <v>2543</v>
      </c>
      <c r="E399" s="26">
        <v>1</v>
      </c>
      <c r="F399" s="7" t="s">
        <v>225</v>
      </c>
      <c r="G399" s="7" t="s">
        <v>219</v>
      </c>
      <c r="H399" s="19" t="str">
        <f t="shared" ref="H399:H462" si="7">IF(A399="", "", A399*E399)</f>
        <v/>
      </c>
      <c r="I399" s="19" t="s">
        <v>221</v>
      </c>
      <c r="J399" s="7" t="s">
        <v>327</v>
      </c>
      <c r="K399" s="1"/>
      <c r="L399" s="7" t="s">
        <v>195</v>
      </c>
    </row>
    <row r="400" spans="1:12" x14ac:dyDescent="0.25">
      <c r="A400" s="1"/>
      <c r="B400" s="7" t="s">
        <v>230</v>
      </c>
      <c r="C400" s="25">
        <v>20033584</v>
      </c>
      <c r="D400" s="7" t="s">
        <v>2548</v>
      </c>
      <c r="E400" s="26">
        <v>1</v>
      </c>
      <c r="F400" s="7" t="s">
        <v>352</v>
      </c>
      <c r="G400" s="7" t="s">
        <v>202</v>
      </c>
      <c r="H400" s="19" t="str">
        <f t="shared" si="7"/>
        <v/>
      </c>
      <c r="I400" s="19" t="s">
        <v>910</v>
      </c>
      <c r="J400" s="7" t="s">
        <v>397</v>
      </c>
      <c r="K400" s="1"/>
      <c r="L400" s="7" t="s">
        <v>195</v>
      </c>
    </row>
    <row r="401" spans="1:12" x14ac:dyDescent="0.25">
      <c r="A401" s="1"/>
      <c r="B401" s="7" t="s">
        <v>230</v>
      </c>
      <c r="C401" s="25">
        <v>20033585</v>
      </c>
      <c r="D401" s="7" t="s">
        <v>2549</v>
      </c>
      <c r="E401" s="26">
        <v>1</v>
      </c>
      <c r="F401" s="7" t="s">
        <v>352</v>
      </c>
      <c r="G401" s="7" t="s">
        <v>202</v>
      </c>
      <c r="H401" s="19" t="str">
        <f t="shared" si="7"/>
        <v/>
      </c>
      <c r="I401" s="19" t="s">
        <v>910</v>
      </c>
      <c r="J401" s="7" t="s">
        <v>397</v>
      </c>
      <c r="K401" s="1"/>
      <c r="L401" s="7" t="s">
        <v>195</v>
      </c>
    </row>
    <row r="402" spans="1:12" x14ac:dyDescent="0.25">
      <c r="A402" s="1"/>
      <c r="B402" s="7" t="s">
        <v>222</v>
      </c>
      <c r="C402" s="25">
        <v>20033593</v>
      </c>
      <c r="D402" s="7" t="s">
        <v>2551</v>
      </c>
      <c r="E402" s="26">
        <v>1</v>
      </c>
      <c r="F402" s="7" t="s">
        <v>225</v>
      </c>
      <c r="G402" s="7" t="s">
        <v>219</v>
      </c>
      <c r="H402" s="19" t="str">
        <f t="shared" si="7"/>
        <v/>
      </c>
      <c r="I402" s="19" t="s">
        <v>221</v>
      </c>
      <c r="J402" s="7" t="s">
        <v>311</v>
      </c>
      <c r="K402" s="1"/>
      <c r="L402" s="7" t="s">
        <v>195</v>
      </c>
    </row>
    <row r="403" spans="1:12" x14ac:dyDescent="0.25">
      <c r="A403" s="1"/>
      <c r="B403" s="7" t="s">
        <v>222</v>
      </c>
      <c r="C403" s="25">
        <v>20033773</v>
      </c>
      <c r="D403" s="7" t="s">
        <v>2592</v>
      </c>
      <c r="E403" s="26">
        <v>1</v>
      </c>
      <c r="F403" s="7" t="s">
        <v>225</v>
      </c>
      <c r="G403" s="7" t="s">
        <v>219</v>
      </c>
      <c r="H403" s="19" t="str">
        <f t="shared" si="7"/>
        <v/>
      </c>
      <c r="I403" s="19" t="s">
        <v>221</v>
      </c>
      <c r="J403" s="7" t="s">
        <v>1096</v>
      </c>
      <c r="K403" s="1"/>
      <c r="L403" s="7" t="s">
        <v>195</v>
      </c>
    </row>
    <row r="404" spans="1:12" x14ac:dyDescent="0.25">
      <c r="A404" s="1"/>
      <c r="B404" s="7" t="s">
        <v>228</v>
      </c>
      <c r="C404" s="25">
        <v>20033800</v>
      </c>
      <c r="D404" s="7" t="s">
        <v>2603</v>
      </c>
      <c r="E404" s="26">
        <v>1</v>
      </c>
      <c r="F404" s="7" t="s">
        <v>225</v>
      </c>
      <c r="G404" s="7" t="s">
        <v>219</v>
      </c>
      <c r="H404" s="19" t="str">
        <f t="shared" si="7"/>
        <v/>
      </c>
      <c r="I404" s="19" t="s">
        <v>1115</v>
      </c>
      <c r="J404" s="7" t="s">
        <v>337</v>
      </c>
      <c r="K404" s="1"/>
      <c r="L404" s="7" t="s">
        <v>195</v>
      </c>
    </row>
    <row r="405" spans="1:12" x14ac:dyDescent="0.25">
      <c r="A405" s="1"/>
      <c r="B405" s="7" t="s">
        <v>228</v>
      </c>
      <c r="C405" s="25">
        <v>20033801</v>
      </c>
      <c r="D405" s="7" t="s">
        <v>2604</v>
      </c>
      <c r="E405" s="26">
        <v>1</v>
      </c>
      <c r="F405" s="7" t="s">
        <v>225</v>
      </c>
      <c r="G405" s="7" t="s">
        <v>219</v>
      </c>
      <c r="H405" s="19" t="str">
        <f t="shared" si="7"/>
        <v/>
      </c>
      <c r="I405" s="19" t="s">
        <v>1115</v>
      </c>
      <c r="J405" s="7" t="s">
        <v>337</v>
      </c>
      <c r="K405" s="1"/>
      <c r="L405" s="7" t="s">
        <v>195</v>
      </c>
    </row>
    <row r="406" spans="1:12" x14ac:dyDescent="0.25">
      <c r="A406" s="1"/>
      <c r="B406" s="7" t="s">
        <v>228</v>
      </c>
      <c r="C406" s="25">
        <v>20033803</v>
      </c>
      <c r="D406" s="7" t="s">
        <v>2606</v>
      </c>
      <c r="E406" s="26">
        <v>1</v>
      </c>
      <c r="F406" s="7" t="s">
        <v>225</v>
      </c>
      <c r="G406" s="7" t="s">
        <v>219</v>
      </c>
      <c r="H406" s="19" t="str">
        <f t="shared" si="7"/>
        <v/>
      </c>
      <c r="I406" s="19" t="s">
        <v>1115</v>
      </c>
      <c r="J406" s="7" t="s">
        <v>337</v>
      </c>
      <c r="K406" s="1"/>
      <c r="L406" s="7" t="s">
        <v>195</v>
      </c>
    </row>
    <row r="407" spans="1:12" x14ac:dyDescent="0.25">
      <c r="A407" s="1"/>
      <c r="B407" s="7" t="s">
        <v>222</v>
      </c>
      <c r="C407" s="25">
        <v>20033818</v>
      </c>
      <c r="D407" s="7" t="s">
        <v>2612</v>
      </c>
      <c r="E407" s="26">
        <v>1</v>
      </c>
      <c r="F407" s="7" t="s">
        <v>225</v>
      </c>
      <c r="G407" s="7" t="s">
        <v>219</v>
      </c>
      <c r="H407" s="19" t="str">
        <f t="shared" si="7"/>
        <v/>
      </c>
      <c r="I407" s="19" t="s">
        <v>221</v>
      </c>
      <c r="J407" s="7" t="s">
        <v>315</v>
      </c>
      <c r="K407" s="1"/>
      <c r="L407" s="7" t="s">
        <v>195</v>
      </c>
    </row>
    <row r="408" spans="1:12" x14ac:dyDescent="0.25">
      <c r="A408" s="1"/>
      <c r="B408" s="7" t="s">
        <v>222</v>
      </c>
      <c r="C408" s="25">
        <v>20033948</v>
      </c>
      <c r="D408" s="7" t="s">
        <v>2630</v>
      </c>
      <c r="E408" s="26">
        <v>1</v>
      </c>
      <c r="F408" s="7" t="s">
        <v>225</v>
      </c>
      <c r="G408" s="7" t="s">
        <v>219</v>
      </c>
      <c r="H408" s="19" t="str">
        <f t="shared" si="7"/>
        <v/>
      </c>
      <c r="I408" s="19" t="s">
        <v>221</v>
      </c>
      <c r="J408" s="7" t="s">
        <v>721</v>
      </c>
      <c r="K408" s="1"/>
      <c r="L408" s="7" t="s">
        <v>195</v>
      </c>
    </row>
    <row r="409" spans="1:12" x14ac:dyDescent="0.25">
      <c r="A409" s="1"/>
      <c r="B409" s="7" t="s">
        <v>233</v>
      </c>
      <c r="C409" s="25">
        <v>20033999</v>
      </c>
      <c r="D409" s="7" t="s">
        <v>2655</v>
      </c>
      <c r="E409" s="26">
        <v>1</v>
      </c>
      <c r="F409" s="7" t="s">
        <v>225</v>
      </c>
      <c r="G409" s="7" t="s">
        <v>219</v>
      </c>
      <c r="H409" s="19" t="str">
        <f t="shared" si="7"/>
        <v/>
      </c>
      <c r="I409" s="19" t="s">
        <v>328</v>
      </c>
      <c r="J409" s="7" t="s">
        <v>313</v>
      </c>
      <c r="K409" s="1"/>
      <c r="L409" s="7" t="s">
        <v>195</v>
      </c>
    </row>
    <row r="410" spans="1:12" x14ac:dyDescent="0.25">
      <c r="A410" s="1"/>
      <c r="B410" s="7" t="s">
        <v>222</v>
      </c>
      <c r="C410" s="25">
        <v>20034090</v>
      </c>
      <c r="D410" s="7" t="s">
        <v>2662</v>
      </c>
      <c r="E410" s="26">
        <v>1</v>
      </c>
      <c r="F410" s="7" t="s">
        <v>225</v>
      </c>
      <c r="G410" s="7" t="s">
        <v>219</v>
      </c>
      <c r="H410" s="19" t="str">
        <f t="shared" si="7"/>
        <v/>
      </c>
      <c r="I410" s="19" t="s">
        <v>221</v>
      </c>
      <c r="J410" s="7" t="s">
        <v>347</v>
      </c>
      <c r="K410" s="1"/>
      <c r="L410" s="7" t="s">
        <v>195</v>
      </c>
    </row>
    <row r="411" spans="1:12" x14ac:dyDescent="0.25">
      <c r="A411" s="1"/>
      <c r="B411" s="7" t="s">
        <v>222</v>
      </c>
      <c r="C411" s="25">
        <v>20034209</v>
      </c>
      <c r="D411" s="7" t="s">
        <v>2677</v>
      </c>
      <c r="E411" s="26">
        <v>1</v>
      </c>
      <c r="F411" s="7" t="s">
        <v>225</v>
      </c>
      <c r="G411" s="7" t="s">
        <v>219</v>
      </c>
      <c r="H411" s="19" t="str">
        <f t="shared" si="7"/>
        <v/>
      </c>
      <c r="I411" s="19" t="s">
        <v>221</v>
      </c>
      <c r="J411" s="7" t="s">
        <v>721</v>
      </c>
      <c r="K411" s="1"/>
      <c r="L411" s="7" t="s">
        <v>195</v>
      </c>
    </row>
    <row r="412" spans="1:12" x14ac:dyDescent="0.25">
      <c r="A412" s="1"/>
      <c r="B412" s="7" t="s">
        <v>223</v>
      </c>
      <c r="C412" s="25">
        <v>20034246</v>
      </c>
      <c r="D412" s="7" t="s">
        <v>2686</v>
      </c>
      <c r="E412" s="26">
        <v>1</v>
      </c>
      <c r="F412" s="7" t="s">
        <v>225</v>
      </c>
      <c r="G412" s="7" t="s">
        <v>219</v>
      </c>
      <c r="H412" s="19" t="str">
        <f t="shared" si="7"/>
        <v/>
      </c>
      <c r="I412" s="19" t="s">
        <v>399</v>
      </c>
      <c r="J412" s="7" t="s">
        <v>311</v>
      </c>
      <c r="K412" s="1"/>
      <c r="L412" s="7" t="s">
        <v>195</v>
      </c>
    </row>
    <row r="413" spans="1:12" x14ac:dyDescent="0.25">
      <c r="A413" s="1"/>
      <c r="B413" s="7" t="s">
        <v>228</v>
      </c>
      <c r="C413" s="25">
        <v>20034269</v>
      </c>
      <c r="D413" s="7" t="s">
        <v>2687</v>
      </c>
      <c r="E413" s="26">
        <v>1</v>
      </c>
      <c r="F413" s="7" t="s">
        <v>225</v>
      </c>
      <c r="G413" s="7" t="s">
        <v>219</v>
      </c>
      <c r="H413" s="19" t="str">
        <f t="shared" si="7"/>
        <v/>
      </c>
      <c r="I413" s="19" t="s">
        <v>1115</v>
      </c>
      <c r="J413" s="7" t="s">
        <v>337</v>
      </c>
      <c r="K413" s="1"/>
      <c r="L413" s="7" t="s">
        <v>195</v>
      </c>
    </row>
    <row r="414" spans="1:12" x14ac:dyDescent="0.25">
      <c r="A414" s="1"/>
      <c r="B414" s="7" t="s">
        <v>231</v>
      </c>
      <c r="C414" s="25">
        <v>20034498</v>
      </c>
      <c r="D414" s="7" t="s">
        <v>2722</v>
      </c>
      <c r="E414" s="26">
        <v>1</v>
      </c>
      <c r="F414" s="7" t="s">
        <v>225</v>
      </c>
      <c r="G414" s="7" t="s">
        <v>219</v>
      </c>
      <c r="H414" s="19" t="str">
        <f t="shared" si="7"/>
        <v/>
      </c>
      <c r="I414" s="19" t="s">
        <v>1006</v>
      </c>
      <c r="J414" s="7" t="s">
        <v>337</v>
      </c>
      <c r="K414" s="1"/>
      <c r="L414" s="7" t="s">
        <v>195</v>
      </c>
    </row>
    <row r="415" spans="1:12" x14ac:dyDescent="0.25">
      <c r="A415" s="1"/>
      <c r="B415" s="7" t="s">
        <v>231</v>
      </c>
      <c r="C415" s="25">
        <v>20034499</v>
      </c>
      <c r="D415" s="7" t="s">
        <v>2723</v>
      </c>
      <c r="E415" s="26">
        <v>1</v>
      </c>
      <c r="F415" s="7" t="s">
        <v>225</v>
      </c>
      <c r="G415" s="7" t="s">
        <v>219</v>
      </c>
      <c r="H415" s="19" t="str">
        <f t="shared" si="7"/>
        <v/>
      </c>
      <c r="I415" s="19" t="s">
        <v>1006</v>
      </c>
      <c r="J415" s="7" t="s">
        <v>337</v>
      </c>
      <c r="K415" s="1"/>
      <c r="L415" s="7" t="s">
        <v>195</v>
      </c>
    </row>
    <row r="416" spans="1:12" x14ac:dyDescent="0.25">
      <c r="A416" s="1"/>
      <c r="B416" s="7" t="s">
        <v>222</v>
      </c>
      <c r="C416" s="25">
        <v>20034508</v>
      </c>
      <c r="D416" s="7" t="s">
        <v>2724</v>
      </c>
      <c r="E416" s="26">
        <v>1</v>
      </c>
      <c r="F416" s="7" t="s">
        <v>225</v>
      </c>
      <c r="G416" s="7" t="s">
        <v>219</v>
      </c>
      <c r="H416" s="19" t="str">
        <f t="shared" si="7"/>
        <v/>
      </c>
      <c r="I416" s="19" t="s">
        <v>221</v>
      </c>
      <c r="J416" s="7" t="s">
        <v>397</v>
      </c>
      <c r="K416" s="1"/>
      <c r="L416" s="7" t="s">
        <v>195</v>
      </c>
    </row>
    <row r="417" spans="1:12" x14ac:dyDescent="0.25">
      <c r="A417" s="1"/>
      <c r="B417" s="7" t="s">
        <v>222</v>
      </c>
      <c r="C417" s="25">
        <v>20034560</v>
      </c>
      <c r="D417" s="7" t="s">
        <v>2735</v>
      </c>
      <c r="E417" s="26">
        <v>1</v>
      </c>
      <c r="F417" s="7" t="s">
        <v>225</v>
      </c>
      <c r="G417" s="7" t="s">
        <v>219</v>
      </c>
      <c r="H417" s="19" t="str">
        <f t="shared" si="7"/>
        <v/>
      </c>
      <c r="I417" s="19" t="s">
        <v>221</v>
      </c>
      <c r="J417" s="7" t="s">
        <v>315</v>
      </c>
      <c r="K417" s="1"/>
      <c r="L417" s="7" t="s">
        <v>195</v>
      </c>
    </row>
    <row r="418" spans="1:12" x14ac:dyDescent="0.25">
      <c r="A418" s="1"/>
      <c r="B418" s="7" t="s">
        <v>227</v>
      </c>
      <c r="C418" s="25">
        <v>20034708</v>
      </c>
      <c r="D418" s="7" t="s">
        <v>2743</v>
      </c>
      <c r="E418" s="26">
        <v>1</v>
      </c>
      <c r="F418" s="7" t="s">
        <v>225</v>
      </c>
      <c r="G418" s="7" t="s">
        <v>219</v>
      </c>
      <c r="H418" s="19" t="str">
        <f t="shared" si="7"/>
        <v/>
      </c>
      <c r="I418" s="19" t="s">
        <v>37</v>
      </c>
      <c r="J418" s="7" t="s">
        <v>942</v>
      </c>
      <c r="K418" s="1"/>
      <c r="L418" s="7" t="s">
        <v>232</v>
      </c>
    </row>
    <row r="419" spans="1:12" x14ac:dyDescent="0.25">
      <c r="A419" s="1"/>
      <c r="B419" s="7" t="s">
        <v>230</v>
      </c>
      <c r="C419" s="25">
        <v>20034719</v>
      </c>
      <c r="D419" s="7" t="s">
        <v>2747</v>
      </c>
      <c r="E419" s="26">
        <v>1</v>
      </c>
      <c r="F419" s="7" t="s">
        <v>225</v>
      </c>
      <c r="G419" s="7" t="s">
        <v>219</v>
      </c>
      <c r="H419" s="19" t="str">
        <f t="shared" si="7"/>
        <v/>
      </c>
      <c r="I419" s="19" t="s">
        <v>910</v>
      </c>
      <c r="J419" s="7" t="s">
        <v>327</v>
      </c>
      <c r="K419" s="1"/>
      <c r="L419" s="7" t="s">
        <v>195</v>
      </c>
    </row>
    <row r="420" spans="1:12" x14ac:dyDescent="0.25">
      <c r="A420" s="1"/>
      <c r="B420" s="7" t="s">
        <v>223</v>
      </c>
      <c r="C420" s="25">
        <v>20034828</v>
      </c>
      <c r="D420" s="7" t="s">
        <v>2770</v>
      </c>
      <c r="E420" s="26">
        <v>1</v>
      </c>
      <c r="F420" s="7" t="s">
        <v>225</v>
      </c>
      <c r="G420" s="7" t="s">
        <v>219</v>
      </c>
      <c r="H420" s="19" t="str">
        <f t="shared" si="7"/>
        <v/>
      </c>
      <c r="I420" s="19" t="s">
        <v>399</v>
      </c>
      <c r="J420" s="7" t="s">
        <v>311</v>
      </c>
      <c r="K420" s="1"/>
      <c r="L420" s="7" t="s">
        <v>195</v>
      </c>
    </row>
    <row r="421" spans="1:12" x14ac:dyDescent="0.25">
      <c r="A421" s="1"/>
      <c r="B421" s="7" t="s">
        <v>222</v>
      </c>
      <c r="C421" s="25">
        <v>20034840</v>
      </c>
      <c r="D421" s="7" t="s">
        <v>2773</v>
      </c>
      <c r="E421" s="26">
        <v>1</v>
      </c>
      <c r="F421" s="7" t="s">
        <v>352</v>
      </c>
      <c r="G421" s="7" t="s">
        <v>202</v>
      </c>
      <c r="H421" s="19" t="str">
        <f t="shared" si="7"/>
        <v/>
      </c>
      <c r="I421" s="19" t="s">
        <v>221</v>
      </c>
      <c r="J421" s="7" t="s">
        <v>397</v>
      </c>
      <c r="K421" s="1"/>
      <c r="L421" s="7" t="s">
        <v>195</v>
      </c>
    </row>
    <row r="422" spans="1:12" x14ac:dyDescent="0.25">
      <c r="A422" s="1"/>
      <c r="B422" s="7" t="s">
        <v>222</v>
      </c>
      <c r="C422" s="25">
        <v>20034876</v>
      </c>
      <c r="D422" s="7" t="s">
        <v>2783</v>
      </c>
      <c r="E422" s="26">
        <v>1</v>
      </c>
      <c r="F422" s="7" t="s">
        <v>225</v>
      </c>
      <c r="G422" s="7" t="s">
        <v>219</v>
      </c>
      <c r="H422" s="19" t="str">
        <f t="shared" si="7"/>
        <v/>
      </c>
      <c r="I422" s="19" t="s">
        <v>221</v>
      </c>
      <c r="J422" s="7" t="s">
        <v>721</v>
      </c>
      <c r="K422" s="1"/>
      <c r="L422" s="7" t="s">
        <v>195</v>
      </c>
    </row>
    <row r="423" spans="1:12" x14ac:dyDescent="0.25">
      <c r="A423" s="1"/>
      <c r="B423" s="7" t="s">
        <v>222</v>
      </c>
      <c r="C423" s="25">
        <v>20034878</v>
      </c>
      <c r="D423" s="7" t="s">
        <v>2784</v>
      </c>
      <c r="E423" s="26">
        <v>1</v>
      </c>
      <c r="F423" s="7" t="s">
        <v>225</v>
      </c>
      <c r="G423" s="7" t="s">
        <v>219</v>
      </c>
      <c r="H423" s="19" t="str">
        <f t="shared" si="7"/>
        <v/>
      </c>
      <c r="I423" s="19" t="s">
        <v>221</v>
      </c>
      <c r="J423" s="7" t="s">
        <v>721</v>
      </c>
      <c r="K423" s="1"/>
      <c r="L423" s="7" t="s">
        <v>195</v>
      </c>
    </row>
    <row r="424" spans="1:12" x14ac:dyDescent="0.25">
      <c r="A424" s="1"/>
      <c r="B424" s="7" t="s">
        <v>233</v>
      </c>
      <c r="C424" s="25">
        <v>20035066</v>
      </c>
      <c r="D424" s="7" t="s">
        <v>2862</v>
      </c>
      <c r="E424" s="26">
        <v>1</v>
      </c>
      <c r="F424" s="7" t="s">
        <v>225</v>
      </c>
      <c r="G424" s="7" t="s">
        <v>219</v>
      </c>
      <c r="H424" s="19" t="str">
        <f t="shared" si="7"/>
        <v/>
      </c>
      <c r="I424" s="19" t="s">
        <v>328</v>
      </c>
      <c r="J424" s="7" t="s">
        <v>313</v>
      </c>
      <c r="K424" s="1"/>
      <c r="L424" s="7" t="s">
        <v>195</v>
      </c>
    </row>
    <row r="425" spans="1:12" x14ac:dyDescent="0.25">
      <c r="A425" s="1"/>
      <c r="B425" s="7" t="s">
        <v>222</v>
      </c>
      <c r="C425" s="25">
        <v>20035089</v>
      </c>
      <c r="D425" s="7" t="s">
        <v>2863</v>
      </c>
      <c r="E425" s="26">
        <v>1</v>
      </c>
      <c r="F425" s="7" t="s">
        <v>225</v>
      </c>
      <c r="G425" s="7" t="s">
        <v>219</v>
      </c>
      <c r="H425" s="19" t="str">
        <f t="shared" si="7"/>
        <v/>
      </c>
      <c r="I425" s="19" t="s">
        <v>221</v>
      </c>
      <c r="J425" s="7" t="s">
        <v>315</v>
      </c>
      <c r="K425" s="1"/>
      <c r="L425" s="7" t="s">
        <v>195</v>
      </c>
    </row>
    <row r="426" spans="1:12" x14ac:dyDescent="0.25">
      <c r="A426" s="1"/>
      <c r="B426" s="7" t="s">
        <v>233</v>
      </c>
      <c r="C426" s="25">
        <v>20035639</v>
      </c>
      <c r="D426" s="7" t="s">
        <v>2990</v>
      </c>
      <c r="E426" s="26">
        <v>1</v>
      </c>
      <c r="F426" s="7" t="s">
        <v>225</v>
      </c>
      <c r="G426" s="7" t="s">
        <v>219</v>
      </c>
      <c r="H426" s="19" t="str">
        <f t="shared" si="7"/>
        <v/>
      </c>
      <c r="I426" s="19" t="s">
        <v>328</v>
      </c>
      <c r="J426" s="7" t="s">
        <v>313</v>
      </c>
      <c r="K426" s="1"/>
      <c r="L426" s="7" t="s">
        <v>195</v>
      </c>
    </row>
    <row r="427" spans="1:12" x14ac:dyDescent="0.25">
      <c r="A427" s="1"/>
      <c r="B427" s="7" t="s">
        <v>233</v>
      </c>
      <c r="C427" s="25">
        <v>20035640</v>
      </c>
      <c r="D427" s="7" t="s">
        <v>2991</v>
      </c>
      <c r="E427" s="26">
        <v>1</v>
      </c>
      <c r="F427" s="7" t="s">
        <v>225</v>
      </c>
      <c r="G427" s="7" t="s">
        <v>219</v>
      </c>
      <c r="H427" s="19" t="str">
        <f t="shared" si="7"/>
        <v/>
      </c>
      <c r="I427" s="19" t="s">
        <v>328</v>
      </c>
      <c r="J427" s="7" t="s">
        <v>313</v>
      </c>
      <c r="K427" s="1"/>
      <c r="L427" s="7" t="s">
        <v>195</v>
      </c>
    </row>
    <row r="428" spans="1:12" x14ac:dyDescent="0.25">
      <c r="A428" s="1"/>
      <c r="B428" s="7" t="s">
        <v>233</v>
      </c>
      <c r="C428" s="25">
        <v>20035641</v>
      </c>
      <c r="D428" s="7" t="s">
        <v>2992</v>
      </c>
      <c r="E428" s="26">
        <v>1</v>
      </c>
      <c r="F428" s="7" t="s">
        <v>352</v>
      </c>
      <c r="G428" s="7" t="s">
        <v>184</v>
      </c>
      <c r="H428" s="19" t="str">
        <f t="shared" si="7"/>
        <v/>
      </c>
      <c r="I428" s="19" t="s">
        <v>328</v>
      </c>
      <c r="J428" s="7" t="s">
        <v>313</v>
      </c>
      <c r="K428" s="1"/>
      <c r="L428" s="7" t="s">
        <v>195</v>
      </c>
    </row>
    <row r="429" spans="1:12" x14ac:dyDescent="0.25">
      <c r="A429" s="1"/>
      <c r="B429" s="7" t="s">
        <v>230</v>
      </c>
      <c r="C429" s="25">
        <v>20035678</v>
      </c>
      <c r="D429" s="7" t="s">
        <v>3000</v>
      </c>
      <c r="E429" s="26">
        <v>1</v>
      </c>
      <c r="F429" s="7" t="s">
        <v>225</v>
      </c>
      <c r="G429" s="7" t="s">
        <v>219</v>
      </c>
      <c r="H429" s="19" t="str">
        <f t="shared" si="7"/>
        <v/>
      </c>
      <c r="I429" s="19" t="s">
        <v>910</v>
      </c>
      <c r="J429" s="7" t="s">
        <v>327</v>
      </c>
      <c r="K429" s="1"/>
      <c r="L429" s="7" t="s">
        <v>195</v>
      </c>
    </row>
    <row r="430" spans="1:12" x14ac:dyDescent="0.25">
      <c r="A430" s="1"/>
      <c r="B430" s="7" t="s">
        <v>222</v>
      </c>
      <c r="C430" s="25">
        <v>20035838</v>
      </c>
      <c r="D430" s="7" t="s">
        <v>3032</v>
      </c>
      <c r="E430" s="26">
        <v>1</v>
      </c>
      <c r="F430" s="7" t="s">
        <v>225</v>
      </c>
      <c r="G430" s="7" t="s">
        <v>219</v>
      </c>
      <c r="H430" s="19" t="str">
        <f t="shared" si="7"/>
        <v/>
      </c>
      <c r="I430" s="19" t="s">
        <v>221</v>
      </c>
      <c r="J430" s="7" t="s">
        <v>327</v>
      </c>
      <c r="K430" s="1"/>
      <c r="L430" s="7" t="s">
        <v>195</v>
      </c>
    </row>
    <row r="431" spans="1:12" x14ac:dyDescent="0.25">
      <c r="A431" s="1"/>
      <c r="B431" s="7" t="s">
        <v>222</v>
      </c>
      <c r="C431" s="25">
        <v>20035878</v>
      </c>
      <c r="D431" s="7" t="s">
        <v>3036</v>
      </c>
      <c r="E431" s="26">
        <v>1</v>
      </c>
      <c r="F431" s="7" t="s">
        <v>225</v>
      </c>
      <c r="G431" s="7" t="s">
        <v>219</v>
      </c>
      <c r="H431" s="19" t="str">
        <f t="shared" si="7"/>
        <v/>
      </c>
      <c r="I431" s="19" t="s">
        <v>221</v>
      </c>
      <c r="J431" s="7" t="s">
        <v>397</v>
      </c>
      <c r="K431" s="1"/>
      <c r="L431" s="7" t="s">
        <v>195</v>
      </c>
    </row>
    <row r="432" spans="1:12" x14ac:dyDescent="0.25">
      <c r="A432" s="1"/>
      <c r="B432" s="7" t="s">
        <v>233</v>
      </c>
      <c r="C432" s="25">
        <v>20035990</v>
      </c>
      <c r="D432" s="7" t="s">
        <v>3062</v>
      </c>
      <c r="E432" s="26">
        <v>1</v>
      </c>
      <c r="F432" s="7" t="s">
        <v>225</v>
      </c>
      <c r="G432" s="7" t="s">
        <v>219</v>
      </c>
      <c r="H432" s="19" t="str">
        <f t="shared" si="7"/>
        <v/>
      </c>
      <c r="I432" s="19" t="s">
        <v>328</v>
      </c>
      <c r="J432" s="7" t="s">
        <v>313</v>
      </c>
      <c r="K432" s="1"/>
      <c r="L432" s="7" t="s">
        <v>195</v>
      </c>
    </row>
    <row r="433" spans="1:12" x14ac:dyDescent="0.25">
      <c r="A433" s="1"/>
      <c r="B433" s="7" t="s">
        <v>343</v>
      </c>
      <c r="C433" s="25">
        <v>20036049</v>
      </c>
      <c r="D433" s="7" t="s">
        <v>3065</v>
      </c>
      <c r="E433" s="26">
        <v>1</v>
      </c>
      <c r="F433" s="7" t="s">
        <v>225</v>
      </c>
      <c r="G433" s="7" t="s">
        <v>219</v>
      </c>
      <c r="H433" s="19" t="str">
        <f t="shared" si="7"/>
        <v/>
      </c>
      <c r="I433" s="19" t="s">
        <v>912</v>
      </c>
      <c r="J433" s="7" t="s">
        <v>1945</v>
      </c>
      <c r="K433" s="1"/>
      <c r="L433" s="7" t="s">
        <v>195</v>
      </c>
    </row>
    <row r="434" spans="1:12" x14ac:dyDescent="0.25">
      <c r="A434" s="1"/>
      <c r="B434" s="7" t="s">
        <v>222</v>
      </c>
      <c r="C434" s="25">
        <v>20036071</v>
      </c>
      <c r="D434" s="7" t="s">
        <v>3068</v>
      </c>
      <c r="E434" s="26">
        <v>1</v>
      </c>
      <c r="F434" s="7" t="s">
        <v>225</v>
      </c>
      <c r="G434" s="7" t="s">
        <v>219</v>
      </c>
      <c r="H434" s="19" t="str">
        <f t="shared" si="7"/>
        <v/>
      </c>
      <c r="I434" s="19" t="s">
        <v>221</v>
      </c>
      <c r="J434" s="7" t="s">
        <v>220</v>
      </c>
      <c r="K434" s="1"/>
      <c r="L434" s="7" t="s">
        <v>232</v>
      </c>
    </row>
    <row r="435" spans="1:12" x14ac:dyDescent="0.25">
      <c r="A435" s="1"/>
      <c r="B435" s="7" t="s">
        <v>222</v>
      </c>
      <c r="C435" s="25">
        <v>20036072</v>
      </c>
      <c r="D435" s="7" t="s">
        <v>3069</v>
      </c>
      <c r="E435" s="26">
        <v>1</v>
      </c>
      <c r="F435" s="7" t="s">
        <v>225</v>
      </c>
      <c r="G435" s="7" t="s">
        <v>219</v>
      </c>
      <c r="H435" s="19" t="str">
        <f t="shared" si="7"/>
        <v/>
      </c>
      <c r="I435" s="19" t="s">
        <v>221</v>
      </c>
      <c r="J435" s="7" t="s">
        <v>220</v>
      </c>
      <c r="K435" s="1"/>
      <c r="L435" s="7" t="s">
        <v>232</v>
      </c>
    </row>
    <row r="436" spans="1:12" x14ac:dyDescent="0.25">
      <c r="A436" s="1"/>
      <c r="B436" s="7" t="s">
        <v>230</v>
      </c>
      <c r="C436" s="25">
        <v>20036158</v>
      </c>
      <c r="D436" s="7" t="s">
        <v>3077</v>
      </c>
      <c r="E436" s="26">
        <v>1</v>
      </c>
      <c r="F436" s="7" t="s">
        <v>225</v>
      </c>
      <c r="G436" s="7" t="s">
        <v>219</v>
      </c>
      <c r="H436" s="19" t="str">
        <f t="shared" si="7"/>
        <v/>
      </c>
      <c r="I436" s="19" t="s">
        <v>910</v>
      </c>
      <c r="J436" s="7" t="s">
        <v>347</v>
      </c>
      <c r="K436" s="1"/>
      <c r="L436" s="7" t="s">
        <v>195</v>
      </c>
    </row>
    <row r="437" spans="1:12" x14ac:dyDescent="0.25">
      <c r="A437" s="1"/>
      <c r="B437" s="7" t="s">
        <v>222</v>
      </c>
      <c r="C437" s="25">
        <v>20036181</v>
      </c>
      <c r="D437" s="7" t="s">
        <v>11025</v>
      </c>
      <c r="E437" s="26">
        <v>1</v>
      </c>
      <c r="F437" s="7" t="s">
        <v>225</v>
      </c>
      <c r="G437" s="7" t="s">
        <v>219</v>
      </c>
      <c r="H437" s="19" t="str">
        <f t="shared" si="7"/>
        <v/>
      </c>
      <c r="I437" s="19" t="s">
        <v>221</v>
      </c>
      <c r="J437" s="7" t="s">
        <v>347</v>
      </c>
      <c r="K437" s="1"/>
      <c r="L437" s="7" t="s">
        <v>195</v>
      </c>
    </row>
    <row r="438" spans="1:12" x14ac:dyDescent="0.25">
      <c r="A438" s="1"/>
      <c r="B438" s="7" t="s">
        <v>227</v>
      </c>
      <c r="C438" s="25">
        <v>20036268</v>
      </c>
      <c r="D438" s="7" t="s">
        <v>3103</v>
      </c>
      <c r="E438" s="26">
        <v>1</v>
      </c>
      <c r="F438" s="7" t="s">
        <v>225</v>
      </c>
      <c r="G438" s="7" t="s">
        <v>219</v>
      </c>
      <c r="H438" s="19" t="str">
        <f t="shared" si="7"/>
        <v/>
      </c>
      <c r="I438" s="19" t="s">
        <v>37</v>
      </c>
      <c r="J438" s="7" t="s">
        <v>402</v>
      </c>
      <c r="K438" s="1"/>
      <c r="L438" s="7" t="s">
        <v>232</v>
      </c>
    </row>
    <row r="439" spans="1:12" x14ac:dyDescent="0.25">
      <c r="A439" s="1"/>
      <c r="B439" s="7" t="s">
        <v>227</v>
      </c>
      <c r="C439" s="25">
        <v>20036269</v>
      </c>
      <c r="D439" s="7" t="s">
        <v>3104</v>
      </c>
      <c r="E439" s="26">
        <v>1</v>
      </c>
      <c r="F439" s="7" t="s">
        <v>225</v>
      </c>
      <c r="G439" s="7" t="s">
        <v>219</v>
      </c>
      <c r="H439" s="19" t="str">
        <f t="shared" si="7"/>
        <v/>
      </c>
      <c r="I439" s="19" t="s">
        <v>37</v>
      </c>
      <c r="J439" s="7" t="s">
        <v>402</v>
      </c>
      <c r="K439" s="1"/>
      <c r="L439" s="7" t="s">
        <v>232</v>
      </c>
    </row>
    <row r="440" spans="1:12" x14ac:dyDescent="0.25">
      <c r="A440" s="1"/>
      <c r="B440" s="7" t="s">
        <v>227</v>
      </c>
      <c r="C440" s="25">
        <v>20036315</v>
      </c>
      <c r="D440" s="7" t="s">
        <v>3117</v>
      </c>
      <c r="E440" s="26">
        <v>1</v>
      </c>
      <c r="F440" s="7" t="s">
        <v>225</v>
      </c>
      <c r="G440" s="7" t="s">
        <v>219</v>
      </c>
      <c r="H440" s="19" t="str">
        <f t="shared" si="7"/>
        <v/>
      </c>
      <c r="I440" s="19" t="s">
        <v>37</v>
      </c>
      <c r="J440" s="7" t="s">
        <v>313</v>
      </c>
      <c r="K440" s="1"/>
      <c r="L440" s="7" t="s">
        <v>195</v>
      </c>
    </row>
    <row r="441" spans="1:12" x14ac:dyDescent="0.25">
      <c r="A441" s="1"/>
      <c r="B441" s="7" t="s">
        <v>227</v>
      </c>
      <c r="C441" s="25">
        <v>20036316</v>
      </c>
      <c r="D441" s="7" t="s">
        <v>3118</v>
      </c>
      <c r="E441" s="26">
        <v>1</v>
      </c>
      <c r="F441" s="7" t="s">
        <v>225</v>
      </c>
      <c r="G441" s="7" t="s">
        <v>219</v>
      </c>
      <c r="H441" s="19" t="str">
        <f t="shared" si="7"/>
        <v/>
      </c>
      <c r="I441" s="19" t="s">
        <v>37</v>
      </c>
      <c r="J441" s="7" t="s">
        <v>313</v>
      </c>
      <c r="K441" s="1"/>
      <c r="L441" s="7" t="s">
        <v>195</v>
      </c>
    </row>
    <row r="442" spans="1:12" x14ac:dyDescent="0.25">
      <c r="A442" s="1"/>
      <c r="B442" s="7" t="s">
        <v>227</v>
      </c>
      <c r="C442" s="25">
        <v>20036317</v>
      </c>
      <c r="D442" s="7" t="s">
        <v>3119</v>
      </c>
      <c r="E442" s="26">
        <v>1</v>
      </c>
      <c r="F442" s="7" t="s">
        <v>225</v>
      </c>
      <c r="G442" s="7" t="s">
        <v>219</v>
      </c>
      <c r="H442" s="19" t="str">
        <f t="shared" si="7"/>
        <v/>
      </c>
      <c r="I442" s="19" t="s">
        <v>37</v>
      </c>
      <c r="J442" s="7" t="s">
        <v>313</v>
      </c>
      <c r="K442" s="1"/>
      <c r="L442" s="7" t="s">
        <v>195</v>
      </c>
    </row>
    <row r="443" spans="1:12" x14ac:dyDescent="0.25">
      <c r="A443" s="1"/>
      <c r="B443" s="7" t="s">
        <v>227</v>
      </c>
      <c r="C443" s="25">
        <v>20036328</v>
      </c>
      <c r="D443" s="7" t="s">
        <v>3121</v>
      </c>
      <c r="E443" s="26">
        <v>1</v>
      </c>
      <c r="F443" s="7" t="s">
        <v>225</v>
      </c>
      <c r="G443" s="7" t="s">
        <v>219</v>
      </c>
      <c r="H443" s="19" t="str">
        <f t="shared" si="7"/>
        <v/>
      </c>
      <c r="I443" s="19" t="s">
        <v>37</v>
      </c>
      <c r="J443" s="7" t="s">
        <v>313</v>
      </c>
      <c r="K443" s="1"/>
      <c r="L443" s="7" t="s">
        <v>195</v>
      </c>
    </row>
    <row r="444" spans="1:12" x14ac:dyDescent="0.25">
      <c r="A444" s="1"/>
      <c r="B444" s="7" t="s">
        <v>222</v>
      </c>
      <c r="C444" s="25">
        <v>20036380</v>
      </c>
      <c r="D444" s="7" t="s">
        <v>3130</v>
      </c>
      <c r="E444" s="26">
        <v>1</v>
      </c>
      <c r="F444" s="7" t="s">
        <v>225</v>
      </c>
      <c r="G444" s="7" t="s">
        <v>219</v>
      </c>
      <c r="H444" s="19" t="str">
        <f t="shared" si="7"/>
        <v/>
      </c>
      <c r="I444" s="19" t="s">
        <v>221</v>
      </c>
      <c r="J444" s="7" t="s">
        <v>313</v>
      </c>
      <c r="K444" s="1"/>
      <c r="L444" s="7" t="s">
        <v>195</v>
      </c>
    </row>
    <row r="445" spans="1:12" x14ac:dyDescent="0.25">
      <c r="A445" s="1"/>
      <c r="B445" s="7" t="s">
        <v>222</v>
      </c>
      <c r="C445" s="25">
        <v>20036408</v>
      </c>
      <c r="D445" s="7" t="s">
        <v>3135</v>
      </c>
      <c r="E445" s="26">
        <v>1</v>
      </c>
      <c r="F445" s="7" t="s">
        <v>225</v>
      </c>
      <c r="G445" s="7" t="s">
        <v>219</v>
      </c>
      <c r="H445" s="19" t="str">
        <f t="shared" si="7"/>
        <v/>
      </c>
      <c r="I445" s="19" t="s">
        <v>221</v>
      </c>
      <c r="J445" s="7" t="s">
        <v>309</v>
      </c>
      <c r="K445" s="1"/>
      <c r="L445" s="7" t="s">
        <v>195</v>
      </c>
    </row>
    <row r="446" spans="1:12" x14ac:dyDescent="0.25">
      <c r="A446" s="1"/>
      <c r="B446" s="7" t="s">
        <v>222</v>
      </c>
      <c r="C446" s="25">
        <v>20036622</v>
      </c>
      <c r="D446" s="7" t="s">
        <v>3142</v>
      </c>
      <c r="E446" s="26">
        <v>1</v>
      </c>
      <c r="F446" s="7" t="s">
        <v>225</v>
      </c>
      <c r="G446" s="7" t="s">
        <v>219</v>
      </c>
      <c r="H446" s="19" t="str">
        <f t="shared" si="7"/>
        <v/>
      </c>
      <c r="I446" s="19" t="s">
        <v>221</v>
      </c>
      <c r="J446" s="7" t="s">
        <v>315</v>
      </c>
      <c r="K446" s="1"/>
      <c r="L446" s="7" t="s">
        <v>195</v>
      </c>
    </row>
    <row r="447" spans="1:12" x14ac:dyDescent="0.25">
      <c r="A447" s="1"/>
      <c r="B447" s="7" t="s">
        <v>222</v>
      </c>
      <c r="C447" s="25">
        <v>20036623</v>
      </c>
      <c r="D447" s="7" t="s">
        <v>3143</v>
      </c>
      <c r="E447" s="26">
        <v>1</v>
      </c>
      <c r="F447" s="7" t="s">
        <v>225</v>
      </c>
      <c r="G447" s="7" t="s">
        <v>219</v>
      </c>
      <c r="H447" s="19" t="str">
        <f t="shared" si="7"/>
        <v/>
      </c>
      <c r="I447" s="19" t="s">
        <v>221</v>
      </c>
      <c r="J447" s="7" t="s">
        <v>315</v>
      </c>
      <c r="K447" s="1"/>
      <c r="L447" s="7" t="s">
        <v>195</v>
      </c>
    </row>
    <row r="448" spans="1:12" x14ac:dyDescent="0.25">
      <c r="A448" s="1"/>
      <c r="B448" s="7" t="s">
        <v>222</v>
      </c>
      <c r="C448" s="25">
        <v>20036624</v>
      </c>
      <c r="D448" s="7" t="s">
        <v>3144</v>
      </c>
      <c r="E448" s="26">
        <v>1</v>
      </c>
      <c r="F448" s="7" t="s">
        <v>225</v>
      </c>
      <c r="G448" s="7" t="s">
        <v>219</v>
      </c>
      <c r="H448" s="19" t="str">
        <f t="shared" si="7"/>
        <v/>
      </c>
      <c r="I448" s="19" t="s">
        <v>221</v>
      </c>
      <c r="J448" s="7" t="s">
        <v>315</v>
      </c>
      <c r="K448" s="1"/>
      <c r="L448" s="7" t="s">
        <v>195</v>
      </c>
    </row>
    <row r="449" spans="1:12" x14ac:dyDescent="0.25">
      <c r="A449" s="1"/>
      <c r="B449" s="7" t="s">
        <v>223</v>
      </c>
      <c r="C449" s="25">
        <v>20036796</v>
      </c>
      <c r="D449" s="7" t="s">
        <v>3206</v>
      </c>
      <c r="E449" s="26">
        <v>1</v>
      </c>
      <c r="F449" s="7" t="s">
        <v>225</v>
      </c>
      <c r="G449" s="7" t="s">
        <v>219</v>
      </c>
      <c r="H449" s="19" t="str">
        <f t="shared" si="7"/>
        <v/>
      </c>
      <c r="I449" s="19" t="s">
        <v>399</v>
      </c>
      <c r="J449" s="7" t="s">
        <v>311</v>
      </c>
      <c r="K449" s="1"/>
      <c r="L449" s="7" t="s">
        <v>195</v>
      </c>
    </row>
    <row r="450" spans="1:12" x14ac:dyDescent="0.25">
      <c r="A450" s="1"/>
      <c r="B450" s="7" t="s">
        <v>223</v>
      </c>
      <c r="C450" s="25">
        <v>20036797</v>
      </c>
      <c r="D450" s="7" t="s">
        <v>3207</v>
      </c>
      <c r="E450" s="26">
        <v>1</v>
      </c>
      <c r="F450" s="7" t="s">
        <v>225</v>
      </c>
      <c r="G450" s="7" t="s">
        <v>219</v>
      </c>
      <c r="H450" s="19" t="str">
        <f t="shared" si="7"/>
        <v/>
      </c>
      <c r="I450" s="19" t="s">
        <v>399</v>
      </c>
      <c r="J450" s="7" t="s">
        <v>311</v>
      </c>
      <c r="K450" s="1"/>
      <c r="L450" s="7" t="s">
        <v>195</v>
      </c>
    </row>
    <row r="451" spans="1:12" x14ac:dyDescent="0.25">
      <c r="A451" s="1"/>
      <c r="B451" s="7" t="s">
        <v>230</v>
      </c>
      <c r="C451" s="25">
        <v>20036820</v>
      </c>
      <c r="D451" s="7" t="s">
        <v>3171</v>
      </c>
      <c r="E451" s="26">
        <v>1</v>
      </c>
      <c r="F451" s="7" t="s">
        <v>225</v>
      </c>
      <c r="G451" s="7" t="s">
        <v>219</v>
      </c>
      <c r="H451" s="19" t="str">
        <f t="shared" si="7"/>
        <v/>
      </c>
      <c r="I451" s="19" t="s">
        <v>910</v>
      </c>
      <c r="J451" s="7" t="s">
        <v>440</v>
      </c>
      <c r="K451" s="1"/>
      <c r="L451" s="7" t="s">
        <v>195</v>
      </c>
    </row>
    <row r="452" spans="1:12" x14ac:dyDescent="0.25">
      <c r="A452" s="1"/>
      <c r="B452" s="7" t="s">
        <v>223</v>
      </c>
      <c r="C452" s="25">
        <v>20036821</v>
      </c>
      <c r="D452" s="7" t="s">
        <v>3182</v>
      </c>
      <c r="E452" s="26">
        <v>1</v>
      </c>
      <c r="F452" s="7" t="s">
        <v>225</v>
      </c>
      <c r="G452" s="7" t="s">
        <v>219</v>
      </c>
      <c r="H452" s="19" t="str">
        <f t="shared" si="7"/>
        <v/>
      </c>
      <c r="I452" s="19" t="s">
        <v>399</v>
      </c>
      <c r="J452" s="7" t="s">
        <v>311</v>
      </c>
      <c r="K452" s="1"/>
      <c r="L452" s="7" t="s">
        <v>195</v>
      </c>
    </row>
    <row r="453" spans="1:12" x14ac:dyDescent="0.25">
      <c r="A453" s="1"/>
      <c r="B453" s="7" t="s">
        <v>223</v>
      </c>
      <c r="C453" s="25">
        <v>20036822</v>
      </c>
      <c r="D453" s="7" t="s">
        <v>3183</v>
      </c>
      <c r="E453" s="26">
        <v>1</v>
      </c>
      <c r="F453" s="7" t="s">
        <v>225</v>
      </c>
      <c r="G453" s="7" t="s">
        <v>219</v>
      </c>
      <c r="H453" s="19" t="str">
        <f t="shared" si="7"/>
        <v/>
      </c>
      <c r="I453" s="19" t="s">
        <v>399</v>
      </c>
      <c r="J453" s="7" t="s">
        <v>311</v>
      </c>
      <c r="K453" s="1"/>
      <c r="L453" s="7" t="s">
        <v>195</v>
      </c>
    </row>
    <row r="454" spans="1:12" x14ac:dyDescent="0.25">
      <c r="A454" s="1"/>
      <c r="B454" s="7" t="s">
        <v>223</v>
      </c>
      <c r="C454" s="25">
        <v>20036823</v>
      </c>
      <c r="D454" s="7" t="s">
        <v>3184</v>
      </c>
      <c r="E454" s="26">
        <v>1</v>
      </c>
      <c r="F454" s="7" t="s">
        <v>225</v>
      </c>
      <c r="G454" s="7" t="s">
        <v>219</v>
      </c>
      <c r="H454" s="19" t="str">
        <f t="shared" si="7"/>
        <v/>
      </c>
      <c r="I454" s="19" t="s">
        <v>399</v>
      </c>
      <c r="J454" s="7" t="s">
        <v>311</v>
      </c>
      <c r="K454" s="1"/>
      <c r="L454" s="7" t="s">
        <v>195</v>
      </c>
    </row>
    <row r="455" spans="1:12" x14ac:dyDescent="0.25">
      <c r="A455" s="1"/>
      <c r="B455" s="7" t="s">
        <v>223</v>
      </c>
      <c r="C455" s="25">
        <v>20036824</v>
      </c>
      <c r="D455" s="7" t="s">
        <v>3185</v>
      </c>
      <c r="E455" s="26">
        <v>1</v>
      </c>
      <c r="F455" s="7" t="s">
        <v>225</v>
      </c>
      <c r="G455" s="7" t="s">
        <v>219</v>
      </c>
      <c r="H455" s="19" t="str">
        <f t="shared" si="7"/>
        <v/>
      </c>
      <c r="I455" s="19" t="s">
        <v>399</v>
      </c>
      <c r="J455" s="7" t="s">
        <v>311</v>
      </c>
      <c r="K455" s="1"/>
      <c r="L455" s="7" t="s">
        <v>195</v>
      </c>
    </row>
    <row r="456" spans="1:12" x14ac:dyDescent="0.25">
      <c r="A456" s="1"/>
      <c r="B456" s="7" t="s">
        <v>223</v>
      </c>
      <c r="C456" s="25">
        <v>20036826</v>
      </c>
      <c r="D456" s="7" t="s">
        <v>3187</v>
      </c>
      <c r="E456" s="26">
        <v>1</v>
      </c>
      <c r="F456" s="7" t="s">
        <v>225</v>
      </c>
      <c r="G456" s="7" t="s">
        <v>219</v>
      </c>
      <c r="H456" s="19" t="str">
        <f t="shared" si="7"/>
        <v/>
      </c>
      <c r="I456" s="19" t="s">
        <v>399</v>
      </c>
      <c r="J456" s="7" t="s">
        <v>311</v>
      </c>
      <c r="K456" s="1"/>
      <c r="L456" s="7" t="s">
        <v>195</v>
      </c>
    </row>
    <row r="457" spans="1:12" x14ac:dyDescent="0.25">
      <c r="A457" s="1"/>
      <c r="B457" s="7" t="s">
        <v>223</v>
      </c>
      <c r="C457" s="25">
        <v>20036848</v>
      </c>
      <c r="D457" s="7" t="s">
        <v>3189</v>
      </c>
      <c r="E457" s="26">
        <v>1</v>
      </c>
      <c r="F457" s="7" t="s">
        <v>225</v>
      </c>
      <c r="G457" s="7" t="s">
        <v>219</v>
      </c>
      <c r="H457" s="19" t="str">
        <f t="shared" si="7"/>
        <v/>
      </c>
      <c r="I457" s="19" t="s">
        <v>399</v>
      </c>
      <c r="J457" s="7" t="s">
        <v>311</v>
      </c>
      <c r="K457" s="1"/>
      <c r="L457" s="7" t="s">
        <v>195</v>
      </c>
    </row>
    <row r="458" spans="1:12" x14ac:dyDescent="0.25">
      <c r="A458" s="1"/>
      <c r="B458" s="7" t="s">
        <v>233</v>
      </c>
      <c r="C458" s="25">
        <v>20036849</v>
      </c>
      <c r="D458" s="7" t="s">
        <v>3190</v>
      </c>
      <c r="E458" s="26">
        <v>1</v>
      </c>
      <c r="F458" s="7" t="s">
        <v>225</v>
      </c>
      <c r="G458" s="7" t="s">
        <v>219</v>
      </c>
      <c r="H458" s="19" t="str">
        <f t="shared" si="7"/>
        <v/>
      </c>
      <c r="I458" s="19" t="s">
        <v>328</v>
      </c>
      <c r="J458" s="7" t="s">
        <v>311</v>
      </c>
      <c r="K458" s="1"/>
      <c r="L458" s="7" t="s">
        <v>195</v>
      </c>
    </row>
    <row r="459" spans="1:12" x14ac:dyDescent="0.25">
      <c r="A459" s="1"/>
      <c r="B459" s="7" t="s">
        <v>233</v>
      </c>
      <c r="C459" s="25">
        <v>20036850</v>
      </c>
      <c r="D459" s="7" t="s">
        <v>3191</v>
      </c>
      <c r="E459" s="26">
        <v>1</v>
      </c>
      <c r="F459" s="7" t="s">
        <v>225</v>
      </c>
      <c r="G459" s="7" t="s">
        <v>219</v>
      </c>
      <c r="H459" s="19" t="str">
        <f t="shared" si="7"/>
        <v/>
      </c>
      <c r="I459" s="19" t="s">
        <v>328</v>
      </c>
      <c r="J459" s="7" t="s">
        <v>311</v>
      </c>
      <c r="K459" s="1"/>
      <c r="L459" s="7" t="s">
        <v>195</v>
      </c>
    </row>
    <row r="460" spans="1:12" x14ac:dyDescent="0.25">
      <c r="A460" s="1"/>
      <c r="B460" s="7" t="s">
        <v>223</v>
      </c>
      <c r="C460" s="25">
        <v>20036852</v>
      </c>
      <c r="D460" s="7" t="s">
        <v>3193</v>
      </c>
      <c r="E460" s="26">
        <v>1</v>
      </c>
      <c r="F460" s="7" t="s">
        <v>225</v>
      </c>
      <c r="G460" s="7" t="s">
        <v>219</v>
      </c>
      <c r="H460" s="19" t="str">
        <f t="shared" si="7"/>
        <v/>
      </c>
      <c r="I460" s="19" t="s">
        <v>399</v>
      </c>
      <c r="J460" s="7" t="s">
        <v>311</v>
      </c>
      <c r="K460" s="1"/>
      <c r="L460" s="7" t="s">
        <v>195</v>
      </c>
    </row>
    <row r="461" spans="1:12" x14ac:dyDescent="0.25">
      <c r="A461" s="1"/>
      <c r="B461" s="7" t="s">
        <v>223</v>
      </c>
      <c r="C461" s="25">
        <v>20036853</v>
      </c>
      <c r="D461" s="7" t="s">
        <v>3194</v>
      </c>
      <c r="E461" s="26">
        <v>1</v>
      </c>
      <c r="F461" s="7" t="s">
        <v>225</v>
      </c>
      <c r="G461" s="7" t="s">
        <v>219</v>
      </c>
      <c r="H461" s="19" t="str">
        <f t="shared" si="7"/>
        <v/>
      </c>
      <c r="I461" s="19" t="s">
        <v>399</v>
      </c>
      <c r="J461" s="7" t="s">
        <v>311</v>
      </c>
      <c r="K461" s="1"/>
      <c r="L461" s="7" t="s">
        <v>195</v>
      </c>
    </row>
    <row r="462" spans="1:12" x14ac:dyDescent="0.25">
      <c r="A462" s="1"/>
      <c r="B462" s="7" t="s">
        <v>223</v>
      </c>
      <c r="C462" s="25">
        <v>20036854</v>
      </c>
      <c r="D462" s="7" t="s">
        <v>3195</v>
      </c>
      <c r="E462" s="26">
        <v>1</v>
      </c>
      <c r="F462" s="7" t="s">
        <v>225</v>
      </c>
      <c r="G462" s="7" t="s">
        <v>219</v>
      </c>
      <c r="H462" s="19" t="str">
        <f t="shared" si="7"/>
        <v/>
      </c>
      <c r="I462" s="19" t="s">
        <v>399</v>
      </c>
      <c r="J462" s="7" t="s">
        <v>311</v>
      </c>
      <c r="K462" s="1"/>
      <c r="L462" s="7" t="s">
        <v>195</v>
      </c>
    </row>
    <row r="463" spans="1:12" x14ac:dyDescent="0.25">
      <c r="A463" s="1"/>
      <c r="B463" s="7" t="s">
        <v>223</v>
      </c>
      <c r="C463" s="25">
        <v>20036859</v>
      </c>
      <c r="D463" s="7" t="s">
        <v>3200</v>
      </c>
      <c r="E463" s="26">
        <v>1</v>
      </c>
      <c r="F463" s="7" t="s">
        <v>225</v>
      </c>
      <c r="G463" s="7" t="s">
        <v>219</v>
      </c>
      <c r="H463" s="19" t="str">
        <f t="shared" ref="H463:H526" si="8">IF(A463="", "", A463*E463)</f>
        <v/>
      </c>
      <c r="I463" s="19" t="s">
        <v>399</v>
      </c>
      <c r="J463" s="7" t="s">
        <v>311</v>
      </c>
      <c r="K463" s="1"/>
      <c r="L463" s="7" t="s">
        <v>195</v>
      </c>
    </row>
    <row r="464" spans="1:12" x14ac:dyDescent="0.25">
      <c r="A464" s="1"/>
      <c r="B464" s="7" t="s">
        <v>223</v>
      </c>
      <c r="C464" s="25">
        <v>20036874</v>
      </c>
      <c r="D464" s="7" t="s">
        <v>3212</v>
      </c>
      <c r="E464" s="26">
        <v>1</v>
      </c>
      <c r="F464" s="7" t="s">
        <v>225</v>
      </c>
      <c r="G464" s="7" t="s">
        <v>219</v>
      </c>
      <c r="H464" s="19" t="str">
        <f t="shared" si="8"/>
        <v/>
      </c>
      <c r="I464" s="19" t="s">
        <v>399</v>
      </c>
      <c r="J464" s="7" t="s">
        <v>311</v>
      </c>
      <c r="K464" s="1"/>
      <c r="L464" s="7" t="s">
        <v>195</v>
      </c>
    </row>
    <row r="465" spans="1:12" x14ac:dyDescent="0.25">
      <c r="A465" s="1"/>
      <c r="B465" s="7" t="s">
        <v>222</v>
      </c>
      <c r="C465" s="25">
        <v>20036958</v>
      </c>
      <c r="D465" s="7" t="s">
        <v>3245</v>
      </c>
      <c r="E465" s="26">
        <v>1</v>
      </c>
      <c r="F465" s="7" t="s">
        <v>225</v>
      </c>
      <c r="G465" s="7" t="s">
        <v>219</v>
      </c>
      <c r="H465" s="19" t="str">
        <f t="shared" si="8"/>
        <v/>
      </c>
      <c r="I465" s="19" t="s">
        <v>221</v>
      </c>
      <c r="J465" s="7" t="s">
        <v>348</v>
      </c>
      <c r="K465" s="1"/>
      <c r="L465" s="7" t="s">
        <v>195</v>
      </c>
    </row>
    <row r="466" spans="1:12" x14ac:dyDescent="0.25">
      <c r="A466" s="1"/>
      <c r="B466" s="7" t="s">
        <v>222</v>
      </c>
      <c r="C466" s="25">
        <v>20036959</v>
      </c>
      <c r="D466" s="7" t="s">
        <v>3246</v>
      </c>
      <c r="E466" s="26">
        <v>1</v>
      </c>
      <c r="F466" s="7" t="s">
        <v>225</v>
      </c>
      <c r="G466" s="7" t="s">
        <v>219</v>
      </c>
      <c r="H466" s="19" t="str">
        <f t="shared" si="8"/>
        <v/>
      </c>
      <c r="I466" s="19" t="s">
        <v>221</v>
      </c>
      <c r="J466" s="7" t="s">
        <v>348</v>
      </c>
      <c r="K466" s="1"/>
      <c r="L466" s="7" t="s">
        <v>195</v>
      </c>
    </row>
    <row r="467" spans="1:12" x14ac:dyDescent="0.25">
      <c r="A467" s="1"/>
      <c r="B467" s="7" t="s">
        <v>222</v>
      </c>
      <c r="C467" s="25">
        <v>20036979</v>
      </c>
      <c r="D467" s="7" t="s">
        <v>3249</v>
      </c>
      <c r="E467" s="26">
        <v>1</v>
      </c>
      <c r="F467" s="7" t="s">
        <v>225</v>
      </c>
      <c r="G467" s="7" t="s">
        <v>219</v>
      </c>
      <c r="H467" s="19" t="str">
        <f t="shared" si="8"/>
        <v/>
      </c>
      <c r="I467" s="19" t="s">
        <v>221</v>
      </c>
      <c r="J467" s="7" t="s">
        <v>397</v>
      </c>
      <c r="K467" s="1"/>
      <c r="L467" s="7" t="s">
        <v>195</v>
      </c>
    </row>
    <row r="468" spans="1:12" x14ac:dyDescent="0.25">
      <c r="A468" s="1"/>
      <c r="B468" s="7" t="s">
        <v>222</v>
      </c>
      <c r="C468" s="25">
        <v>20037283</v>
      </c>
      <c r="D468" s="7" t="s">
        <v>3354</v>
      </c>
      <c r="E468" s="26">
        <v>1</v>
      </c>
      <c r="F468" s="7" t="s">
        <v>225</v>
      </c>
      <c r="G468" s="7" t="s">
        <v>219</v>
      </c>
      <c r="H468" s="19" t="str">
        <f t="shared" si="8"/>
        <v/>
      </c>
      <c r="I468" s="19" t="s">
        <v>221</v>
      </c>
      <c r="J468" s="7" t="s">
        <v>398</v>
      </c>
      <c r="K468" s="1"/>
      <c r="L468" s="7" t="s">
        <v>195</v>
      </c>
    </row>
    <row r="469" spans="1:12" x14ac:dyDescent="0.25">
      <c r="A469" s="1"/>
      <c r="B469" s="7" t="s">
        <v>222</v>
      </c>
      <c r="C469" s="25">
        <v>20037390</v>
      </c>
      <c r="D469" s="7" t="s">
        <v>3378</v>
      </c>
      <c r="E469" s="26">
        <v>1</v>
      </c>
      <c r="F469" s="7" t="s">
        <v>225</v>
      </c>
      <c r="G469" s="7" t="s">
        <v>219</v>
      </c>
      <c r="H469" s="19" t="str">
        <f t="shared" si="8"/>
        <v/>
      </c>
      <c r="I469" s="19" t="s">
        <v>221</v>
      </c>
      <c r="J469" s="7" t="s">
        <v>954</v>
      </c>
      <c r="K469" s="1"/>
      <c r="L469" s="7" t="s">
        <v>195</v>
      </c>
    </row>
    <row r="470" spans="1:12" x14ac:dyDescent="0.25">
      <c r="A470" s="1"/>
      <c r="B470" s="7" t="s">
        <v>222</v>
      </c>
      <c r="C470" s="25">
        <v>20037392</v>
      </c>
      <c r="D470" s="7" t="s">
        <v>11513</v>
      </c>
      <c r="E470" s="26">
        <v>1</v>
      </c>
      <c r="F470" s="7" t="s">
        <v>225</v>
      </c>
      <c r="G470" s="7" t="s">
        <v>219</v>
      </c>
      <c r="H470" s="19" t="str">
        <f t="shared" si="8"/>
        <v/>
      </c>
      <c r="I470" s="19" t="s">
        <v>221</v>
      </c>
      <c r="J470" s="7" t="s">
        <v>954</v>
      </c>
      <c r="K470" s="1"/>
      <c r="L470" s="7" t="s">
        <v>195</v>
      </c>
    </row>
    <row r="471" spans="1:12" x14ac:dyDescent="0.25">
      <c r="A471" s="1"/>
      <c r="B471" s="7" t="s">
        <v>230</v>
      </c>
      <c r="C471" s="25">
        <v>20037531</v>
      </c>
      <c r="D471" s="7" t="s">
        <v>3401</v>
      </c>
      <c r="E471" s="26">
        <v>1</v>
      </c>
      <c r="F471" s="7" t="s">
        <v>225</v>
      </c>
      <c r="G471" s="7" t="s">
        <v>219</v>
      </c>
      <c r="H471" s="19" t="str">
        <f t="shared" si="8"/>
        <v/>
      </c>
      <c r="I471" s="19" t="s">
        <v>910</v>
      </c>
      <c r="J471" s="7" t="s">
        <v>309</v>
      </c>
      <c r="K471" s="1"/>
      <c r="L471" s="7" t="s">
        <v>195</v>
      </c>
    </row>
    <row r="472" spans="1:12" x14ac:dyDescent="0.25">
      <c r="A472" s="1"/>
      <c r="B472" s="7" t="s">
        <v>222</v>
      </c>
      <c r="C472" s="25">
        <v>20037670</v>
      </c>
      <c r="D472" s="7" t="s">
        <v>3409</v>
      </c>
      <c r="E472" s="26">
        <v>1</v>
      </c>
      <c r="F472" s="7" t="s">
        <v>225</v>
      </c>
      <c r="G472" s="7" t="s">
        <v>219</v>
      </c>
      <c r="H472" s="19" t="str">
        <f t="shared" si="8"/>
        <v/>
      </c>
      <c r="I472" s="19" t="s">
        <v>221</v>
      </c>
      <c r="J472" s="7" t="s">
        <v>327</v>
      </c>
      <c r="K472" s="1"/>
      <c r="L472" s="7" t="s">
        <v>195</v>
      </c>
    </row>
    <row r="473" spans="1:12" x14ac:dyDescent="0.25">
      <c r="A473" s="1"/>
      <c r="B473" s="7" t="s">
        <v>222</v>
      </c>
      <c r="C473" s="25">
        <v>20037708</v>
      </c>
      <c r="D473" s="7" t="s">
        <v>3413</v>
      </c>
      <c r="E473" s="26">
        <v>1</v>
      </c>
      <c r="F473" s="7" t="s">
        <v>225</v>
      </c>
      <c r="G473" s="7" t="s">
        <v>219</v>
      </c>
      <c r="H473" s="19" t="str">
        <f t="shared" si="8"/>
        <v/>
      </c>
      <c r="I473" s="19" t="s">
        <v>221</v>
      </c>
      <c r="J473" s="7" t="s">
        <v>397</v>
      </c>
      <c r="K473" s="1"/>
      <c r="L473" s="7" t="s">
        <v>195</v>
      </c>
    </row>
    <row r="474" spans="1:12" x14ac:dyDescent="0.25">
      <c r="A474" s="1"/>
      <c r="B474" s="7" t="s">
        <v>227</v>
      </c>
      <c r="C474" s="25">
        <v>20037709</v>
      </c>
      <c r="D474" s="7" t="s">
        <v>3415</v>
      </c>
      <c r="E474" s="26">
        <v>1</v>
      </c>
      <c r="F474" s="7" t="s">
        <v>225</v>
      </c>
      <c r="G474" s="7" t="s">
        <v>219</v>
      </c>
      <c r="H474" s="19" t="str">
        <f t="shared" si="8"/>
        <v/>
      </c>
      <c r="I474" s="19" t="s">
        <v>37</v>
      </c>
      <c r="J474" s="7" t="s">
        <v>309</v>
      </c>
      <c r="K474" s="1"/>
      <c r="L474" s="7" t="s">
        <v>195</v>
      </c>
    </row>
    <row r="475" spans="1:12" x14ac:dyDescent="0.25">
      <c r="A475" s="1"/>
      <c r="B475" s="7" t="s">
        <v>230</v>
      </c>
      <c r="C475" s="25">
        <v>20037879</v>
      </c>
      <c r="D475" s="7" t="s">
        <v>3422</v>
      </c>
      <c r="E475" s="26">
        <v>1</v>
      </c>
      <c r="F475" s="7" t="s">
        <v>225</v>
      </c>
      <c r="G475" s="7" t="s">
        <v>219</v>
      </c>
      <c r="H475" s="19" t="str">
        <f t="shared" si="8"/>
        <v/>
      </c>
      <c r="I475" s="19" t="s">
        <v>910</v>
      </c>
      <c r="J475" s="7" t="s">
        <v>440</v>
      </c>
      <c r="K475" s="1"/>
      <c r="L475" s="7" t="s">
        <v>195</v>
      </c>
    </row>
    <row r="476" spans="1:12" x14ac:dyDescent="0.25">
      <c r="A476" s="1"/>
      <c r="B476" s="7" t="s">
        <v>222</v>
      </c>
      <c r="C476" s="25">
        <v>20037899</v>
      </c>
      <c r="D476" s="7" t="s">
        <v>3425</v>
      </c>
      <c r="E476" s="26">
        <v>1</v>
      </c>
      <c r="F476" s="7" t="s">
        <v>225</v>
      </c>
      <c r="G476" s="7" t="s">
        <v>219</v>
      </c>
      <c r="H476" s="19" t="str">
        <f t="shared" si="8"/>
        <v/>
      </c>
      <c r="I476" s="19" t="s">
        <v>221</v>
      </c>
      <c r="J476" s="7" t="s">
        <v>380</v>
      </c>
      <c r="K476" s="1"/>
      <c r="L476" s="7" t="s">
        <v>195</v>
      </c>
    </row>
    <row r="477" spans="1:12" x14ac:dyDescent="0.25">
      <c r="A477" s="1"/>
      <c r="B477" s="7" t="s">
        <v>222</v>
      </c>
      <c r="C477" s="25">
        <v>20038289</v>
      </c>
      <c r="D477" s="7" t="s">
        <v>3501</v>
      </c>
      <c r="E477" s="26">
        <v>1</v>
      </c>
      <c r="F477" s="7" t="s">
        <v>225</v>
      </c>
      <c r="G477" s="7" t="s">
        <v>219</v>
      </c>
      <c r="H477" s="19" t="str">
        <f t="shared" si="8"/>
        <v/>
      </c>
      <c r="I477" s="19" t="s">
        <v>221</v>
      </c>
      <c r="J477" s="7" t="s">
        <v>345</v>
      </c>
      <c r="K477" s="1"/>
      <c r="L477" s="7" t="s">
        <v>195</v>
      </c>
    </row>
    <row r="478" spans="1:12" x14ac:dyDescent="0.25">
      <c r="A478" s="1"/>
      <c r="B478" s="7" t="s">
        <v>222</v>
      </c>
      <c r="C478" s="25">
        <v>20038538</v>
      </c>
      <c r="D478" s="7" t="s">
        <v>3535</v>
      </c>
      <c r="E478" s="26">
        <v>1</v>
      </c>
      <c r="F478" s="7" t="s">
        <v>225</v>
      </c>
      <c r="G478" s="7" t="s">
        <v>219</v>
      </c>
      <c r="H478" s="19" t="str">
        <f t="shared" si="8"/>
        <v/>
      </c>
      <c r="I478" s="19" t="s">
        <v>221</v>
      </c>
      <c r="J478" s="7" t="s">
        <v>347</v>
      </c>
      <c r="K478" s="1"/>
      <c r="L478" s="7" t="s">
        <v>195</v>
      </c>
    </row>
    <row r="479" spans="1:12" x14ac:dyDescent="0.25">
      <c r="A479" s="1"/>
      <c r="B479" s="7" t="s">
        <v>222</v>
      </c>
      <c r="C479" s="25">
        <v>20038558</v>
      </c>
      <c r="D479" s="7" t="s">
        <v>3537</v>
      </c>
      <c r="E479" s="26">
        <v>1</v>
      </c>
      <c r="F479" s="7" t="s">
        <v>225</v>
      </c>
      <c r="G479" s="7" t="s">
        <v>219</v>
      </c>
      <c r="H479" s="19" t="str">
        <f t="shared" si="8"/>
        <v/>
      </c>
      <c r="I479" s="19" t="s">
        <v>221</v>
      </c>
      <c r="J479" s="7" t="s">
        <v>246</v>
      </c>
      <c r="K479" s="1"/>
      <c r="L479" s="7" t="s">
        <v>195</v>
      </c>
    </row>
    <row r="480" spans="1:12" x14ac:dyDescent="0.25">
      <c r="A480" s="1"/>
      <c r="B480" s="7" t="s">
        <v>222</v>
      </c>
      <c r="C480" s="25">
        <v>20038594</v>
      </c>
      <c r="D480" s="7" t="s">
        <v>3560</v>
      </c>
      <c r="E480" s="26">
        <v>1</v>
      </c>
      <c r="F480" s="7" t="s">
        <v>225</v>
      </c>
      <c r="G480" s="7" t="s">
        <v>219</v>
      </c>
      <c r="H480" s="19" t="str">
        <f t="shared" si="8"/>
        <v/>
      </c>
      <c r="I480" s="19" t="s">
        <v>221</v>
      </c>
      <c r="J480" s="7" t="s">
        <v>315</v>
      </c>
      <c r="K480" s="1"/>
      <c r="L480" s="7" t="s">
        <v>195</v>
      </c>
    </row>
    <row r="481" spans="1:12" x14ac:dyDescent="0.25">
      <c r="A481" s="1"/>
      <c r="B481" s="7" t="s">
        <v>223</v>
      </c>
      <c r="C481" s="25">
        <v>20038729</v>
      </c>
      <c r="D481" s="7" t="s">
        <v>3581</v>
      </c>
      <c r="E481" s="26">
        <v>1</v>
      </c>
      <c r="F481" s="7" t="s">
        <v>225</v>
      </c>
      <c r="G481" s="7" t="s">
        <v>219</v>
      </c>
      <c r="H481" s="19" t="str">
        <f t="shared" si="8"/>
        <v/>
      </c>
      <c r="I481" s="19" t="s">
        <v>399</v>
      </c>
      <c r="J481" s="7" t="s">
        <v>311</v>
      </c>
      <c r="K481" s="1"/>
      <c r="L481" s="7" t="s">
        <v>195</v>
      </c>
    </row>
    <row r="482" spans="1:12" x14ac:dyDescent="0.25">
      <c r="A482" s="1"/>
      <c r="B482" s="7" t="s">
        <v>230</v>
      </c>
      <c r="C482" s="25">
        <v>20038832</v>
      </c>
      <c r="D482" s="7" t="s">
        <v>3591</v>
      </c>
      <c r="E482" s="26">
        <v>1</v>
      </c>
      <c r="F482" s="7" t="s">
        <v>225</v>
      </c>
      <c r="G482" s="7" t="s">
        <v>219</v>
      </c>
      <c r="H482" s="19" t="str">
        <f t="shared" si="8"/>
        <v/>
      </c>
      <c r="I482" s="19" t="s">
        <v>910</v>
      </c>
      <c r="J482" s="7" t="s">
        <v>440</v>
      </c>
      <c r="K482" s="1"/>
      <c r="L482" s="7" t="s">
        <v>195</v>
      </c>
    </row>
    <row r="483" spans="1:12" x14ac:dyDescent="0.25">
      <c r="A483" s="1"/>
      <c r="B483" s="7" t="s">
        <v>222</v>
      </c>
      <c r="C483" s="25">
        <v>20039090</v>
      </c>
      <c r="D483" s="7" t="s">
        <v>3635</v>
      </c>
      <c r="E483" s="26">
        <v>1</v>
      </c>
      <c r="F483" s="7" t="s">
        <v>225</v>
      </c>
      <c r="G483" s="7" t="s">
        <v>219</v>
      </c>
      <c r="H483" s="19" t="str">
        <f t="shared" si="8"/>
        <v/>
      </c>
      <c r="I483" s="19" t="s">
        <v>221</v>
      </c>
      <c r="J483" s="7" t="s">
        <v>347</v>
      </c>
      <c r="K483" s="1"/>
      <c r="L483" s="7" t="s">
        <v>195</v>
      </c>
    </row>
    <row r="484" spans="1:12" x14ac:dyDescent="0.25">
      <c r="A484" s="1"/>
      <c r="B484" s="7" t="s">
        <v>230</v>
      </c>
      <c r="C484" s="25">
        <v>20039275</v>
      </c>
      <c r="D484" s="7" t="s">
        <v>3702</v>
      </c>
      <c r="E484" s="26">
        <v>1</v>
      </c>
      <c r="F484" s="7" t="s">
        <v>225</v>
      </c>
      <c r="G484" s="7" t="s">
        <v>219</v>
      </c>
      <c r="H484" s="19" t="str">
        <f t="shared" si="8"/>
        <v/>
      </c>
      <c r="I484" s="19" t="s">
        <v>910</v>
      </c>
      <c r="J484" s="7" t="s">
        <v>309</v>
      </c>
      <c r="K484" s="1"/>
      <c r="L484" s="7" t="s">
        <v>232</v>
      </c>
    </row>
    <row r="485" spans="1:12" x14ac:dyDescent="0.25">
      <c r="A485" s="1"/>
      <c r="B485" s="7" t="s">
        <v>230</v>
      </c>
      <c r="C485" s="25">
        <v>20039276</v>
      </c>
      <c r="D485" s="7" t="s">
        <v>3703</v>
      </c>
      <c r="E485" s="26">
        <v>1</v>
      </c>
      <c r="F485" s="7" t="s">
        <v>225</v>
      </c>
      <c r="G485" s="7" t="s">
        <v>219</v>
      </c>
      <c r="H485" s="19" t="str">
        <f t="shared" si="8"/>
        <v/>
      </c>
      <c r="I485" s="19" t="s">
        <v>910</v>
      </c>
      <c r="J485" s="7" t="s">
        <v>309</v>
      </c>
      <c r="K485" s="1"/>
      <c r="L485" s="7" t="s">
        <v>232</v>
      </c>
    </row>
    <row r="486" spans="1:12" x14ac:dyDescent="0.25">
      <c r="A486" s="1"/>
      <c r="B486" s="7" t="s">
        <v>230</v>
      </c>
      <c r="C486" s="25">
        <v>20039299</v>
      </c>
      <c r="D486" s="7" t="s">
        <v>3713</v>
      </c>
      <c r="E486" s="26">
        <v>1</v>
      </c>
      <c r="F486" s="7" t="s">
        <v>225</v>
      </c>
      <c r="G486" s="7" t="s">
        <v>219</v>
      </c>
      <c r="H486" s="19" t="str">
        <f t="shared" si="8"/>
        <v/>
      </c>
      <c r="I486" s="19" t="s">
        <v>910</v>
      </c>
      <c r="J486" s="7" t="s">
        <v>309</v>
      </c>
      <c r="K486" s="1"/>
      <c r="L486" s="7" t="s">
        <v>195</v>
      </c>
    </row>
    <row r="487" spans="1:12" x14ac:dyDescent="0.25">
      <c r="A487" s="1"/>
      <c r="B487" s="7" t="s">
        <v>230</v>
      </c>
      <c r="C487" s="25">
        <v>20039300</v>
      </c>
      <c r="D487" s="7" t="s">
        <v>3714</v>
      </c>
      <c r="E487" s="26">
        <v>1</v>
      </c>
      <c r="F487" s="7" t="s">
        <v>225</v>
      </c>
      <c r="G487" s="7" t="s">
        <v>219</v>
      </c>
      <c r="H487" s="19" t="str">
        <f t="shared" si="8"/>
        <v/>
      </c>
      <c r="I487" s="19" t="s">
        <v>910</v>
      </c>
      <c r="J487" s="7" t="s">
        <v>309</v>
      </c>
      <c r="K487" s="1"/>
      <c r="L487" s="7" t="s">
        <v>195</v>
      </c>
    </row>
    <row r="488" spans="1:12" x14ac:dyDescent="0.25">
      <c r="A488" s="1"/>
      <c r="B488" s="7" t="s">
        <v>230</v>
      </c>
      <c r="C488" s="25">
        <v>20039301</v>
      </c>
      <c r="D488" s="7" t="s">
        <v>3715</v>
      </c>
      <c r="E488" s="26">
        <v>1</v>
      </c>
      <c r="F488" s="7" t="s">
        <v>225</v>
      </c>
      <c r="G488" s="7" t="s">
        <v>219</v>
      </c>
      <c r="H488" s="19" t="str">
        <f t="shared" si="8"/>
        <v/>
      </c>
      <c r="I488" s="19" t="s">
        <v>910</v>
      </c>
      <c r="J488" s="7" t="s">
        <v>309</v>
      </c>
      <c r="K488" s="1"/>
      <c r="L488" s="7" t="s">
        <v>195</v>
      </c>
    </row>
    <row r="489" spans="1:12" x14ac:dyDescent="0.25">
      <c r="A489" s="1"/>
      <c r="B489" s="7" t="s">
        <v>230</v>
      </c>
      <c r="C489" s="25">
        <v>20039302</v>
      </c>
      <c r="D489" s="7" t="s">
        <v>3716</v>
      </c>
      <c r="E489" s="26">
        <v>1</v>
      </c>
      <c r="F489" s="7" t="s">
        <v>225</v>
      </c>
      <c r="G489" s="7" t="s">
        <v>219</v>
      </c>
      <c r="H489" s="19" t="str">
        <f t="shared" si="8"/>
        <v/>
      </c>
      <c r="I489" s="19" t="s">
        <v>910</v>
      </c>
      <c r="J489" s="7" t="s">
        <v>309</v>
      </c>
      <c r="K489" s="1"/>
      <c r="L489" s="7" t="s">
        <v>195</v>
      </c>
    </row>
    <row r="490" spans="1:12" x14ac:dyDescent="0.25">
      <c r="A490" s="1"/>
      <c r="B490" s="7" t="s">
        <v>230</v>
      </c>
      <c r="C490" s="25">
        <v>20039303</v>
      </c>
      <c r="D490" s="7" t="s">
        <v>3717</v>
      </c>
      <c r="E490" s="26">
        <v>1</v>
      </c>
      <c r="F490" s="7" t="s">
        <v>225</v>
      </c>
      <c r="G490" s="7" t="s">
        <v>219</v>
      </c>
      <c r="H490" s="19" t="str">
        <f t="shared" si="8"/>
        <v/>
      </c>
      <c r="I490" s="19" t="s">
        <v>910</v>
      </c>
      <c r="J490" s="7" t="s">
        <v>309</v>
      </c>
      <c r="K490" s="1"/>
      <c r="L490" s="7" t="s">
        <v>195</v>
      </c>
    </row>
    <row r="491" spans="1:12" x14ac:dyDescent="0.25">
      <c r="A491" s="1"/>
      <c r="B491" s="7" t="s">
        <v>230</v>
      </c>
      <c r="C491" s="25">
        <v>20039304</v>
      </c>
      <c r="D491" s="7" t="s">
        <v>3718</v>
      </c>
      <c r="E491" s="26">
        <v>1</v>
      </c>
      <c r="F491" s="7" t="s">
        <v>225</v>
      </c>
      <c r="G491" s="7" t="s">
        <v>219</v>
      </c>
      <c r="H491" s="19" t="str">
        <f t="shared" si="8"/>
        <v/>
      </c>
      <c r="I491" s="19" t="s">
        <v>910</v>
      </c>
      <c r="J491" s="7" t="s">
        <v>309</v>
      </c>
      <c r="K491" s="1"/>
      <c r="L491" s="7" t="s">
        <v>195</v>
      </c>
    </row>
    <row r="492" spans="1:12" x14ac:dyDescent="0.25">
      <c r="A492" s="1"/>
      <c r="B492" s="7" t="s">
        <v>230</v>
      </c>
      <c r="C492" s="25">
        <v>20039305</v>
      </c>
      <c r="D492" s="7" t="s">
        <v>3719</v>
      </c>
      <c r="E492" s="26">
        <v>1</v>
      </c>
      <c r="F492" s="7" t="s">
        <v>225</v>
      </c>
      <c r="G492" s="7" t="s">
        <v>219</v>
      </c>
      <c r="H492" s="19" t="str">
        <f t="shared" si="8"/>
        <v/>
      </c>
      <c r="I492" s="19" t="s">
        <v>910</v>
      </c>
      <c r="J492" s="7" t="s">
        <v>309</v>
      </c>
      <c r="K492" s="1"/>
      <c r="L492" s="7" t="s">
        <v>195</v>
      </c>
    </row>
    <row r="493" spans="1:12" x14ac:dyDescent="0.25">
      <c r="A493" s="1"/>
      <c r="B493" s="7" t="s">
        <v>230</v>
      </c>
      <c r="C493" s="25">
        <v>20039306</v>
      </c>
      <c r="D493" s="7" t="s">
        <v>3720</v>
      </c>
      <c r="E493" s="26">
        <v>1</v>
      </c>
      <c r="F493" s="7" t="s">
        <v>225</v>
      </c>
      <c r="G493" s="7" t="s">
        <v>219</v>
      </c>
      <c r="H493" s="19" t="str">
        <f t="shared" si="8"/>
        <v/>
      </c>
      <c r="I493" s="19" t="s">
        <v>910</v>
      </c>
      <c r="J493" s="7" t="s">
        <v>309</v>
      </c>
      <c r="K493" s="1"/>
      <c r="L493" s="7" t="s">
        <v>195</v>
      </c>
    </row>
    <row r="494" spans="1:12" x14ac:dyDescent="0.25">
      <c r="A494" s="1"/>
      <c r="B494" s="7" t="s">
        <v>230</v>
      </c>
      <c r="C494" s="25">
        <v>20039307</v>
      </c>
      <c r="D494" s="7" t="s">
        <v>3721</v>
      </c>
      <c r="E494" s="26">
        <v>1</v>
      </c>
      <c r="F494" s="7" t="s">
        <v>225</v>
      </c>
      <c r="G494" s="7" t="s">
        <v>219</v>
      </c>
      <c r="H494" s="19" t="str">
        <f t="shared" si="8"/>
        <v/>
      </c>
      <c r="I494" s="19" t="s">
        <v>910</v>
      </c>
      <c r="J494" s="7" t="s">
        <v>309</v>
      </c>
      <c r="K494" s="1"/>
      <c r="L494" s="7" t="s">
        <v>195</v>
      </c>
    </row>
    <row r="495" spans="1:12" x14ac:dyDescent="0.25">
      <c r="A495" s="1"/>
      <c r="B495" s="7" t="s">
        <v>230</v>
      </c>
      <c r="C495" s="25">
        <v>20039311</v>
      </c>
      <c r="D495" s="7" t="s">
        <v>3725</v>
      </c>
      <c r="E495" s="26">
        <v>1</v>
      </c>
      <c r="F495" s="7" t="s">
        <v>225</v>
      </c>
      <c r="G495" s="7" t="s">
        <v>219</v>
      </c>
      <c r="H495" s="19" t="str">
        <f t="shared" si="8"/>
        <v/>
      </c>
      <c r="I495" s="19" t="s">
        <v>910</v>
      </c>
      <c r="J495" s="7" t="s">
        <v>309</v>
      </c>
      <c r="K495" s="1"/>
      <c r="L495" s="7" t="s">
        <v>195</v>
      </c>
    </row>
    <row r="496" spans="1:12" x14ac:dyDescent="0.25">
      <c r="A496" s="1"/>
      <c r="B496" s="7" t="s">
        <v>230</v>
      </c>
      <c r="C496" s="25">
        <v>20039312</v>
      </c>
      <c r="D496" s="7" t="s">
        <v>3726</v>
      </c>
      <c r="E496" s="26">
        <v>1</v>
      </c>
      <c r="F496" s="7" t="s">
        <v>225</v>
      </c>
      <c r="G496" s="7" t="s">
        <v>219</v>
      </c>
      <c r="H496" s="19" t="str">
        <f t="shared" si="8"/>
        <v/>
      </c>
      <c r="I496" s="19" t="s">
        <v>910</v>
      </c>
      <c r="J496" s="7" t="s">
        <v>309</v>
      </c>
      <c r="K496" s="1"/>
      <c r="L496" s="7" t="s">
        <v>195</v>
      </c>
    </row>
    <row r="497" spans="1:12" x14ac:dyDescent="0.25">
      <c r="A497" s="1"/>
      <c r="B497" s="7" t="s">
        <v>222</v>
      </c>
      <c r="C497" s="25">
        <v>20039413</v>
      </c>
      <c r="D497" s="7" t="s">
        <v>3762</v>
      </c>
      <c r="E497" s="26">
        <v>1</v>
      </c>
      <c r="F497" s="7" t="s">
        <v>225</v>
      </c>
      <c r="G497" s="7" t="s">
        <v>219</v>
      </c>
      <c r="H497" s="19" t="str">
        <f t="shared" si="8"/>
        <v/>
      </c>
      <c r="I497" s="19" t="s">
        <v>221</v>
      </c>
      <c r="J497" s="7" t="s">
        <v>397</v>
      </c>
      <c r="K497" s="1"/>
      <c r="L497" s="7" t="s">
        <v>195</v>
      </c>
    </row>
    <row r="498" spans="1:12" x14ac:dyDescent="0.25">
      <c r="A498" s="1"/>
      <c r="B498" s="7" t="s">
        <v>230</v>
      </c>
      <c r="C498" s="25">
        <v>20039421</v>
      </c>
      <c r="D498" s="7" t="s">
        <v>3761</v>
      </c>
      <c r="E498" s="26">
        <v>1</v>
      </c>
      <c r="F498" s="7" t="s">
        <v>225</v>
      </c>
      <c r="G498" s="7" t="s">
        <v>219</v>
      </c>
      <c r="H498" s="19" t="str">
        <f t="shared" si="8"/>
        <v/>
      </c>
      <c r="I498" s="19" t="s">
        <v>910</v>
      </c>
      <c r="J498" s="7" t="s">
        <v>309</v>
      </c>
      <c r="K498" s="1"/>
      <c r="L498" s="7" t="s">
        <v>195</v>
      </c>
    </row>
    <row r="499" spans="1:12" x14ac:dyDescent="0.25">
      <c r="A499" s="1"/>
      <c r="B499" s="7" t="s">
        <v>222</v>
      </c>
      <c r="C499" s="25">
        <v>20039438</v>
      </c>
      <c r="D499" s="7" t="s">
        <v>3766</v>
      </c>
      <c r="E499" s="26">
        <v>1</v>
      </c>
      <c r="F499" s="7" t="s">
        <v>225</v>
      </c>
      <c r="G499" s="7" t="s">
        <v>219</v>
      </c>
      <c r="H499" s="19" t="str">
        <f t="shared" si="8"/>
        <v/>
      </c>
      <c r="I499" s="19" t="s">
        <v>221</v>
      </c>
      <c r="J499" s="7" t="s">
        <v>246</v>
      </c>
      <c r="K499" s="1"/>
      <c r="L499" s="7" t="s">
        <v>195</v>
      </c>
    </row>
    <row r="500" spans="1:12" x14ac:dyDescent="0.25">
      <c r="A500" s="1"/>
      <c r="B500" s="7" t="s">
        <v>230</v>
      </c>
      <c r="C500" s="25">
        <v>20039448</v>
      </c>
      <c r="D500" s="7" t="s">
        <v>3767</v>
      </c>
      <c r="E500" s="26">
        <v>1</v>
      </c>
      <c r="F500" s="7" t="s">
        <v>225</v>
      </c>
      <c r="G500" s="7" t="s">
        <v>219</v>
      </c>
      <c r="H500" s="19" t="str">
        <f t="shared" si="8"/>
        <v/>
      </c>
      <c r="I500" s="19" t="s">
        <v>910</v>
      </c>
      <c r="J500" s="7" t="s">
        <v>397</v>
      </c>
      <c r="K500" s="1"/>
      <c r="L500" s="7" t="s">
        <v>195</v>
      </c>
    </row>
    <row r="501" spans="1:12" x14ac:dyDescent="0.25">
      <c r="A501" s="1"/>
      <c r="B501" s="7" t="s">
        <v>227</v>
      </c>
      <c r="C501" s="25">
        <v>20039450</v>
      </c>
      <c r="D501" s="7" t="s">
        <v>3768</v>
      </c>
      <c r="E501" s="26">
        <v>1</v>
      </c>
      <c r="F501" s="7" t="s">
        <v>225</v>
      </c>
      <c r="G501" s="7" t="s">
        <v>219</v>
      </c>
      <c r="H501" s="19" t="str">
        <f t="shared" si="8"/>
        <v/>
      </c>
      <c r="I501" s="19" t="s">
        <v>37</v>
      </c>
      <c r="J501" s="7" t="s">
        <v>402</v>
      </c>
      <c r="K501" s="1"/>
      <c r="L501" s="7" t="s">
        <v>232</v>
      </c>
    </row>
    <row r="502" spans="1:12" x14ac:dyDescent="0.25">
      <c r="A502" s="1"/>
      <c r="B502" s="7" t="s">
        <v>230</v>
      </c>
      <c r="C502" s="25">
        <v>20039469</v>
      </c>
      <c r="D502" s="7" t="s">
        <v>3770</v>
      </c>
      <c r="E502" s="26">
        <v>1</v>
      </c>
      <c r="F502" s="7" t="s">
        <v>225</v>
      </c>
      <c r="G502" s="7" t="s">
        <v>219</v>
      </c>
      <c r="H502" s="19" t="str">
        <f t="shared" si="8"/>
        <v/>
      </c>
      <c r="I502" s="19" t="s">
        <v>910</v>
      </c>
      <c r="J502" s="7" t="s">
        <v>440</v>
      </c>
      <c r="K502" s="1"/>
      <c r="L502" s="7" t="s">
        <v>195</v>
      </c>
    </row>
    <row r="503" spans="1:12" x14ac:dyDescent="0.25">
      <c r="A503" s="1"/>
      <c r="B503" s="7" t="s">
        <v>227</v>
      </c>
      <c r="C503" s="25">
        <v>20039472</v>
      </c>
      <c r="D503" s="7" t="s">
        <v>3779</v>
      </c>
      <c r="E503" s="26">
        <v>1</v>
      </c>
      <c r="F503" s="7" t="s">
        <v>352</v>
      </c>
      <c r="G503" s="7" t="s">
        <v>202</v>
      </c>
      <c r="H503" s="19" t="str">
        <f t="shared" si="8"/>
        <v/>
      </c>
      <c r="I503" s="19" t="s">
        <v>37</v>
      </c>
      <c r="J503" s="7" t="s">
        <v>942</v>
      </c>
      <c r="K503" s="1"/>
      <c r="L503" s="7" t="s">
        <v>232</v>
      </c>
    </row>
    <row r="504" spans="1:12" x14ac:dyDescent="0.25">
      <c r="A504" s="1"/>
      <c r="B504" s="7" t="s">
        <v>227</v>
      </c>
      <c r="C504" s="25">
        <v>20039484</v>
      </c>
      <c r="D504" s="7" t="s">
        <v>3774</v>
      </c>
      <c r="E504" s="26">
        <v>1</v>
      </c>
      <c r="F504" s="7" t="s">
        <v>225</v>
      </c>
      <c r="G504" s="7" t="s">
        <v>219</v>
      </c>
      <c r="H504" s="19" t="str">
        <f t="shared" si="8"/>
        <v/>
      </c>
      <c r="I504" s="19" t="s">
        <v>37</v>
      </c>
      <c r="J504" s="7" t="s">
        <v>942</v>
      </c>
      <c r="K504" s="1"/>
      <c r="L504" s="7" t="s">
        <v>232</v>
      </c>
    </row>
    <row r="505" spans="1:12" x14ac:dyDescent="0.25">
      <c r="A505" s="1"/>
      <c r="B505" s="7" t="s">
        <v>343</v>
      </c>
      <c r="C505" s="25">
        <v>20039485</v>
      </c>
      <c r="D505" s="7" t="s">
        <v>3775</v>
      </c>
      <c r="E505" s="26">
        <v>1</v>
      </c>
      <c r="F505" s="7" t="s">
        <v>225</v>
      </c>
      <c r="G505" s="7" t="s">
        <v>219</v>
      </c>
      <c r="H505" s="19" t="str">
        <f t="shared" si="8"/>
        <v/>
      </c>
      <c r="I505" s="19" t="s">
        <v>912</v>
      </c>
      <c r="J505" s="7" t="s">
        <v>347</v>
      </c>
      <c r="K505" s="1"/>
      <c r="L505" s="7" t="s">
        <v>195</v>
      </c>
    </row>
    <row r="506" spans="1:12" x14ac:dyDescent="0.25">
      <c r="A506" s="1"/>
      <c r="B506" s="7" t="s">
        <v>222</v>
      </c>
      <c r="C506" s="25">
        <v>20039640</v>
      </c>
      <c r="D506" s="7" t="s">
        <v>3790</v>
      </c>
      <c r="E506" s="26">
        <v>1</v>
      </c>
      <c r="F506" s="7" t="s">
        <v>225</v>
      </c>
      <c r="G506" s="7" t="s">
        <v>219</v>
      </c>
      <c r="H506" s="19" t="str">
        <f t="shared" si="8"/>
        <v/>
      </c>
      <c r="I506" s="19" t="s">
        <v>221</v>
      </c>
      <c r="J506" s="7" t="s">
        <v>347</v>
      </c>
      <c r="K506" s="1"/>
      <c r="L506" s="7" t="s">
        <v>195</v>
      </c>
    </row>
    <row r="507" spans="1:12" x14ac:dyDescent="0.25">
      <c r="A507" s="1"/>
      <c r="B507" s="7" t="s">
        <v>230</v>
      </c>
      <c r="C507" s="25">
        <v>20039648</v>
      </c>
      <c r="D507" s="7" t="s">
        <v>3791</v>
      </c>
      <c r="E507" s="26">
        <v>1</v>
      </c>
      <c r="F507" s="7" t="s">
        <v>225</v>
      </c>
      <c r="G507" s="7" t="s">
        <v>219</v>
      </c>
      <c r="H507" s="19" t="str">
        <f t="shared" si="8"/>
        <v/>
      </c>
      <c r="I507" s="19" t="s">
        <v>910</v>
      </c>
      <c r="J507" s="7" t="s">
        <v>309</v>
      </c>
      <c r="K507" s="1"/>
      <c r="L507" s="7" t="s">
        <v>195</v>
      </c>
    </row>
    <row r="508" spans="1:12" x14ac:dyDescent="0.25">
      <c r="A508" s="1"/>
      <c r="B508" s="7" t="s">
        <v>222</v>
      </c>
      <c r="C508" s="25">
        <v>20039728</v>
      </c>
      <c r="D508" s="7" t="s">
        <v>3805</v>
      </c>
      <c r="E508" s="26">
        <v>1</v>
      </c>
      <c r="F508" s="7" t="s">
        <v>225</v>
      </c>
      <c r="G508" s="7" t="s">
        <v>219</v>
      </c>
      <c r="H508" s="19" t="str">
        <f t="shared" si="8"/>
        <v/>
      </c>
      <c r="I508" s="19" t="s">
        <v>221</v>
      </c>
      <c r="J508" s="7" t="s">
        <v>954</v>
      </c>
      <c r="K508" s="1"/>
      <c r="L508" s="7" t="s">
        <v>195</v>
      </c>
    </row>
    <row r="509" spans="1:12" x14ac:dyDescent="0.25">
      <c r="A509" s="1"/>
      <c r="B509" s="7" t="s">
        <v>222</v>
      </c>
      <c r="C509" s="25">
        <v>20039760</v>
      </c>
      <c r="D509" s="7" t="s">
        <v>3818</v>
      </c>
      <c r="E509" s="26">
        <v>1</v>
      </c>
      <c r="F509" s="7" t="s">
        <v>225</v>
      </c>
      <c r="G509" s="7" t="s">
        <v>219</v>
      </c>
      <c r="H509" s="19" t="str">
        <f t="shared" si="8"/>
        <v/>
      </c>
      <c r="I509" s="19" t="s">
        <v>221</v>
      </c>
      <c r="J509" s="7" t="s">
        <v>347</v>
      </c>
      <c r="K509" s="1"/>
      <c r="L509" s="7" t="s">
        <v>195</v>
      </c>
    </row>
    <row r="510" spans="1:12" x14ac:dyDescent="0.25">
      <c r="A510" s="1"/>
      <c r="B510" s="7" t="s">
        <v>222</v>
      </c>
      <c r="C510" s="25">
        <v>20039770</v>
      </c>
      <c r="D510" s="7" t="s">
        <v>3817</v>
      </c>
      <c r="E510" s="26">
        <v>1</v>
      </c>
      <c r="F510" s="7" t="s">
        <v>225</v>
      </c>
      <c r="G510" s="7" t="s">
        <v>219</v>
      </c>
      <c r="H510" s="19" t="str">
        <f t="shared" si="8"/>
        <v/>
      </c>
      <c r="I510" s="19" t="s">
        <v>221</v>
      </c>
      <c r="J510" s="7" t="s">
        <v>313</v>
      </c>
      <c r="K510" s="1"/>
      <c r="L510" s="7" t="s">
        <v>195</v>
      </c>
    </row>
    <row r="511" spans="1:12" x14ac:dyDescent="0.25">
      <c r="A511" s="1"/>
      <c r="B511" s="7" t="s">
        <v>222</v>
      </c>
      <c r="C511" s="25">
        <v>20039779</v>
      </c>
      <c r="D511" s="7" t="s">
        <v>3825</v>
      </c>
      <c r="E511" s="26">
        <v>1</v>
      </c>
      <c r="F511" s="7" t="s">
        <v>225</v>
      </c>
      <c r="G511" s="7" t="s">
        <v>219</v>
      </c>
      <c r="H511" s="19" t="str">
        <f t="shared" si="8"/>
        <v/>
      </c>
      <c r="I511" s="19" t="s">
        <v>221</v>
      </c>
      <c r="J511" s="7" t="s">
        <v>347</v>
      </c>
      <c r="K511" s="1"/>
      <c r="L511" s="7" t="s">
        <v>195</v>
      </c>
    </row>
    <row r="512" spans="1:12" x14ac:dyDescent="0.25">
      <c r="A512" s="1"/>
      <c r="B512" s="7" t="s">
        <v>223</v>
      </c>
      <c r="C512" s="25">
        <v>20039808</v>
      </c>
      <c r="D512" s="7" t="s">
        <v>3827</v>
      </c>
      <c r="E512" s="26">
        <v>1</v>
      </c>
      <c r="F512" s="7" t="s">
        <v>225</v>
      </c>
      <c r="G512" s="7" t="s">
        <v>219</v>
      </c>
      <c r="H512" s="19" t="str">
        <f t="shared" si="8"/>
        <v/>
      </c>
      <c r="I512" s="19" t="s">
        <v>399</v>
      </c>
      <c r="J512" s="7" t="s">
        <v>311</v>
      </c>
      <c r="K512" s="1"/>
      <c r="L512" s="7" t="s">
        <v>195</v>
      </c>
    </row>
    <row r="513" spans="1:12" x14ac:dyDescent="0.25">
      <c r="A513" s="1"/>
      <c r="B513" s="7" t="s">
        <v>223</v>
      </c>
      <c r="C513" s="25">
        <v>20039810</v>
      </c>
      <c r="D513" s="7" t="s">
        <v>3832</v>
      </c>
      <c r="E513" s="26">
        <v>1</v>
      </c>
      <c r="F513" s="7" t="s">
        <v>225</v>
      </c>
      <c r="G513" s="7" t="s">
        <v>219</v>
      </c>
      <c r="H513" s="19" t="str">
        <f t="shared" si="8"/>
        <v/>
      </c>
      <c r="I513" s="19" t="s">
        <v>399</v>
      </c>
      <c r="J513" s="7" t="s">
        <v>337</v>
      </c>
      <c r="K513" s="1"/>
      <c r="L513" s="7" t="s">
        <v>195</v>
      </c>
    </row>
    <row r="514" spans="1:12" x14ac:dyDescent="0.25">
      <c r="A514" s="1"/>
      <c r="B514" s="7" t="s">
        <v>222</v>
      </c>
      <c r="C514" s="25">
        <v>20039901</v>
      </c>
      <c r="D514" s="7" t="s">
        <v>3847</v>
      </c>
      <c r="E514" s="26">
        <v>1</v>
      </c>
      <c r="F514" s="7" t="s">
        <v>225</v>
      </c>
      <c r="G514" s="7" t="s">
        <v>219</v>
      </c>
      <c r="H514" s="19" t="str">
        <f t="shared" si="8"/>
        <v/>
      </c>
      <c r="I514" s="19" t="s">
        <v>221</v>
      </c>
      <c r="J514" s="7" t="s">
        <v>313</v>
      </c>
      <c r="K514" s="1"/>
      <c r="L514" s="7" t="s">
        <v>195</v>
      </c>
    </row>
    <row r="515" spans="1:12" x14ac:dyDescent="0.25">
      <c r="A515" s="1"/>
      <c r="B515" s="7" t="s">
        <v>222</v>
      </c>
      <c r="C515" s="25">
        <v>20039902</v>
      </c>
      <c r="D515" s="7" t="s">
        <v>3848</v>
      </c>
      <c r="E515" s="26">
        <v>1</v>
      </c>
      <c r="F515" s="7" t="s">
        <v>225</v>
      </c>
      <c r="G515" s="7" t="s">
        <v>219</v>
      </c>
      <c r="H515" s="19" t="str">
        <f t="shared" si="8"/>
        <v/>
      </c>
      <c r="I515" s="19" t="s">
        <v>221</v>
      </c>
      <c r="J515" s="7" t="s">
        <v>313</v>
      </c>
      <c r="K515" s="1"/>
      <c r="L515" s="7" t="s">
        <v>195</v>
      </c>
    </row>
    <row r="516" spans="1:12" x14ac:dyDescent="0.25">
      <c r="A516" s="1"/>
      <c r="B516" s="7" t="s">
        <v>222</v>
      </c>
      <c r="C516" s="25">
        <v>20039910</v>
      </c>
      <c r="D516" s="7" t="s">
        <v>3851</v>
      </c>
      <c r="E516" s="26">
        <v>1</v>
      </c>
      <c r="F516" s="7" t="s">
        <v>352</v>
      </c>
      <c r="G516" s="7" t="s">
        <v>202</v>
      </c>
      <c r="H516" s="19" t="str">
        <f t="shared" si="8"/>
        <v/>
      </c>
      <c r="I516" s="19" t="s">
        <v>221</v>
      </c>
      <c r="J516" s="7" t="s">
        <v>309</v>
      </c>
      <c r="K516" s="1"/>
      <c r="L516" s="7" t="s">
        <v>195</v>
      </c>
    </row>
    <row r="517" spans="1:12" x14ac:dyDescent="0.25">
      <c r="A517" s="1"/>
      <c r="B517" s="7" t="s">
        <v>222</v>
      </c>
      <c r="C517" s="25">
        <v>20039911</v>
      </c>
      <c r="D517" s="7" t="s">
        <v>3852</v>
      </c>
      <c r="E517" s="26">
        <v>1</v>
      </c>
      <c r="F517" s="7" t="s">
        <v>352</v>
      </c>
      <c r="G517" s="7" t="s">
        <v>202</v>
      </c>
      <c r="H517" s="19" t="str">
        <f t="shared" si="8"/>
        <v/>
      </c>
      <c r="I517" s="19" t="s">
        <v>221</v>
      </c>
      <c r="J517" s="7" t="s">
        <v>309</v>
      </c>
      <c r="K517" s="1"/>
      <c r="L517" s="7" t="s">
        <v>195</v>
      </c>
    </row>
    <row r="518" spans="1:12" x14ac:dyDescent="0.25">
      <c r="A518" s="1"/>
      <c r="B518" s="7" t="s">
        <v>222</v>
      </c>
      <c r="C518" s="25">
        <v>20039990</v>
      </c>
      <c r="D518" s="7" t="s">
        <v>3868</v>
      </c>
      <c r="E518" s="26">
        <v>1</v>
      </c>
      <c r="F518" s="7" t="s">
        <v>225</v>
      </c>
      <c r="G518" s="7" t="s">
        <v>219</v>
      </c>
      <c r="H518" s="19" t="str">
        <f t="shared" si="8"/>
        <v/>
      </c>
      <c r="I518" s="19" t="s">
        <v>221</v>
      </c>
      <c r="J518" s="7" t="s">
        <v>315</v>
      </c>
      <c r="K518" s="1"/>
      <c r="L518" s="7" t="s">
        <v>195</v>
      </c>
    </row>
    <row r="519" spans="1:12" x14ac:dyDescent="0.25">
      <c r="A519" s="1"/>
      <c r="B519" s="7" t="s">
        <v>223</v>
      </c>
      <c r="C519" s="25">
        <v>20039991</v>
      </c>
      <c r="D519" s="7" t="s">
        <v>3869</v>
      </c>
      <c r="E519" s="26">
        <v>1</v>
      </c>
      <c r="F519" s="7" t="s">
        <v>225</v>
      </c>
      <c r="G519" s="7" t="s">
        <v>219</v>
      </c>
      <c r="H519" s="19" t="str">
        <f t="shared" si="8"/>
        <v/>
      </c>
      <c r="I519" s="19" t="s">
        <v>399</v>
      </c>
      <c r="J519" s="7" t="s">
        <v>315</v>
      </c>
      <c r="K519" s="1"/>
      <c r="L519" s="7" t="s">
        <v>195</v>
      </c>
    </row>
    <row r="520" spans="1:12" x14ac:dyDescent="0.25">
      <c r="A520" s="1"/>
      <c r="B520" s="7" t="s">
        <v>222</v>
      </c>
      <c r="C520" s="25">
        <v>20039992</v>
      </c>
      <c r="D520" s="7" t="s">
        <v>3870</v>
      </c>
      <c r="E520" s="26">
        <v>1</v>
      </c>
      <c r="F520" s="7" t="s">
        <v>225</v>
      </c>
      <c r="G520" s="7" t="s">
        <v>219</v>
      </c>
      <c r="H520" s="19" t="str">
        <f t="shared" si="8"/>
        <v/>
      </c>
      <c r="I520" s="19" t="s">
        <v>221</v>
      </c>
      <c r="J520" s="7" t="s">
        <v>315</v>
      </c>
      <c r="K520" s="1"/>
      <c r="L520" s="7" t="s">
        <v>195</v>
      </c>
    </row>
    <row r="521" spans="1:12" x14ac:dyDescent="0.25">
      <c r="A521" s="1"/>
      <c r="B521" s="7" t="s">
        <v>222</v>
      </c>
      <c r="C521" s="25">
        <v>20039993</v>
      </c>
      <c r="D521" s="7" t="s">
        <v>3871</v>
      </c>
      <c r="E521" s="26">
        <v>1</v>
      </c>
      <c r="F521" s="7" t="s">
        <v>225</v>
      </c>
      <c r="G521" s="7" t="s">
        <v>219</v>
      </c>
      <c r="H521" s="19" t="str">
        <f t="shared" si="8"/>
        <v/>
      </c>
      <c r="I521" s="19" t="s">
        <v>221</v>
      </c>
      <c r="J521" s="7" t="s">
        <v>1209</v>
      </c>
      <c r="K521" s="1"/>
      <c r="L521" s="7" t="s">
        <v>195</v>
      </c>
    </row>
    <row r="522" spans="1:12" x14ac:dyDescent="0.25">
      <c r="A522" s="1"/>
      <c r="B522" s="7" t="s">
        <v>222</v>
      </c>
      <c r="C522" s="25">
        <v>20039994</v>
      </c>
      <c r="D522" s="7" t="s">
        <v>3872</v>
      </c>
      <c r="E522" s="26">
        <v>1</v>
      </c>
      <c r="F522" s="7" t="s">
        <v>225</v>
      </c>
      <c r="G522" s="7" t="s">
        <v>219</v>
      </c>
      <c r="H522" s="19" t="str">
        <f t="shared" si="8"/>
        <v/>
      </c>
      <c r="I522" s="19" t="s">
        <v>221</v>
      </c>
      <c r="J522" s="7" t="s">
        <v>1184</v>
      </c>
      <c r="K522" s="1"/>
      <c r="L522" s="7" t="s">
        <v>195</v>
      </c>
    </row>
    <row r="523" spans="1:12" x14ac:dyDescent="0.25">
      <c r="A523" s="1"/>
      <c r="B523" s="7" t="s">
        <v>230</v>
      </c>
      <c r="C523" s="25">
        <v>20040018</v>
      </c>
      <c r="D523" s="7" t="s">
        <v>3873</v>
      </c>
      <c r="E523" s="26">
        <v>1</v>
      </c>
      <c r="F523" s="7" t="s">
        <v>225</v>
      </c>
      <c r="G523" s="7" t="s">
        <v>219</v>
      </c>
      <c r="H523" s="19" t="str">
        <f t="shared" si="8"/>
        <v/>
      </c>
      <c r="I523" s="19" t="s">
        <v>910</v>
      </c>
      <c r="J523" s="7" t="s">
        <v>309</v>
      </c>
      <c r="K523" s="1"/>
      <c r="L523" s="7" t="s">
        <v>195</v>
      </c>
    </row>
    <row r="524" spans="1:12" x14ac:dyDescent="0.25">
      <c r="A524" s="1"/>
      <c r="B524" s="7" t="s">
        <v>222</v>
      </c>
      <c r="C524" s="25">
        <v>20040028</v>
      </c>
      <c r="D524" s="7" t="s">
        <v>3874</v>
      </c>
      <c r="E524" s="26">
        <v>1</v>
      </c>
      <c r="F524" s="7" t="s">
        <v>225</v>
      </c>
      <c r="G524" s="7" t="s">
        <v>219</v>
      </c>
      <c r="H524" s="19" t="str">
        <f t="shared" si="8"/>
        <v/>
      </c>
      <c r="I524" s="19" t="s">
        <v>221</v>
      </c>
      <c r="J524" s="7" t="s">
        <v>315</v>
      </c>
      <c r="K524" s="1"/>
      <c r="L524" s="7" t="s">
        <v>195</v>
      </c>
    </row>
    <row r="525" spans="1:12" x14ac:dyDescent="0.25">
      <c r="A525" s="1"/>
      <c r="B525" s="7" t="s">
        <v>230</v>
      </c>
      <c r="C525" s="25">
        <v>20040148</v>
      </c>
      <c r="D525" s="7" t="s">
        <v>11034</v>
      </c>
      <c r="E525" s="26">
        <v>1</v>
      </c>
      <c r="F525" s="7" t="s">
        <v>352</v>
      </c>
      <c r="G525" s="7" t="s">
        <v>11199</v>
      </c>
      <c r="H525" s="19" t="str">
        <f t="shared" si="8"/>
        <v/>
      </c>
      <c r="I525" s="19" t="s">
        <v>910</v>
      </c>
      <c r="J525" s="7" t="s">
        <v>1184</v>
      </c>
      <c r="K525" s="1"/>
      <c r="L525" s="7" t="s">
        <v>195</v>
      </c>
    </row>
    <row r="526" spans="1:12" x14ac:dyDescent="0.25">
      <c r="A526" s="1"/>
      <c r="B526" s="7" t="s">
        <v>230</v>
      </c>
      <c r="C526" s="25">
        <v>20040149</v>
      </c>
      <c r="D526" s="7" t="s">
        <v>3891</v>
      </c>
      <c r="E526" s="26">
        <v>1</v>
      </c>
      <c r="F526" s="7" t="s">
        <v>225</v>
      </c>
      <c r="G526" s="7" t="s">
        <v>219</v>
      </c>
      <c r="H526" s="19" t="str">
        <f t="shared" si="8"/>
        <v/>
      </c>
      <c r="I526" s="19" t="s">
        <v>910</v>
      </c>
      <c r="J526" s="7" t="s">
        <v>1184</v>
      </c>
      <c r="K526" s="1"/>
      <c r="L526" s="7" t="s">
        <v>195</v>
      </c>
    </row>
    <row r="527" spans="1:12" x14ac:dyDescent="0.25">
      <c r="A527" s="1"/>
      <c r="B527" s="7" t="s">
        <v>222</v>
      </c>
      <c r="C527" s="25">
        <v>20040188</v>
      </c>
      <c r="D527" s="7" t="s">
        <v>3896</v>
      </c>
      <c r="E527" s="26">
        <v>1</v>
      </c>
      <c r="F527" s="7" t="s">
        <v>225</v>
      </c>
      <c r="G527" s="7" t="s">
        <v>219</v>
      </c>
      <c r="H527" s="19" t="str">
        <f t="shared" ref="H527:H590" si="9">IF(A527="", "", A527*E527)</f>
        <v/>
      </c>
      <c r="I527" s="19" t="s">
        <v>221</v>
      </c>
      <c r="J527" s="7" t="s">
        <v>1209</v>
      </c>
      <c r="K527" s="1"/>
      <c r="L527" s="7" t="s">
        <v>195</v>
      </c>
    </row>
    <row r="528" spans="1:12" x14ac:dyDescent="0.25">
      <c r="A528" s="1"/>
      <c r="B528" s="7" t="s">
        <v>222</v>
      </c>
      <c r="C528" s="25">
        <v>20040230</v>
      </c>
      <c r="D528" s="7" t="s">
        <v>3919</v>
      </c>
      <c r="E528" s="26">
        <v>1</v>
      </c>
      <c r="F528" s="7" t="s">
        <v>225</v>
      </c>
      <c r="G528" s="7" t="s">
        <v>219</v>
      </c>
      <c r="H528" s="19" t="str">
        <f t="shared" si="9"/>
        <v/>
      </c>
      <c r="I528" s="19" t="s">
        <v>221</v>
      </c>
      <c r="J528" s="7" t="s">
        <v>315</v>
      </c>
      <c r="K528" s="1"/>
      <c r="L528" s="7" t="s">
        <v>195</v>
      </c>
    </row>
    <row r="529" spans="1:12" x14ac:dyDescent="0.25">
      <c r="A529" s="1"/>
      <c r="B529" s="7" t="s">
        <v>222</v>
      </c>
      <c r="C529" s="25">
        <v>20040256</v>
      </c>
      <c r="D529" s="7" t="s">
        <v>3926</v>
      </c>
      <c r="E529" s="26">
        <v>1</v>
      </c>
      <c r="F529" s="7" t="s">
        <v>225</v>
      </c>
      <c r="G529" s="7" t="s">
        <v>219</v>
      </c>
      <c r="H529" s="19" t="str">
        <f t="shared" si="9"/>
        <v/>
      </c>
      <c r="I529" s="19" t="s">
        <v>221</v>
      </c>
      <c r="J529" s="7" t="s">
        <v>315</v>
      </c>
      <c r="K529" s="1"/>
      <c r="L529" s="7" t="s">
        <v>195</v>
      </c>
    </row>
    <row r="530" spans="1:12" x14ac:dyDescent="0.25">
      <c r="A530" s="1"/>
      <c r="B530" s="7" t="s">
        <v>222</v>
      </c>
      <c r="C530" s="25">
        <v>20040257</v>
      </c>
      <c r="D530" s="7" t="s">
        <v>3927</v>
      </c>
      <c r="E530" s="26">
        <v>1</v>
      </c>
      <c r="F530" s="7" t="s">
        <v>225</v>
      </c>
      <c r="G530" s="7" t="s">
        <v>219</v>
      </c>
      <c r="H530" s="19" t="str">
        <f t="shared" si="9"/>
        <v/>
      </c>
      <c r="I530" s="19" t="s">
        <v>221</v>
      </c>
      <c r="J530" s="7" t="s">
        <v>315</v>
      </c>
      <c r="K530" s="1"/>
      <c r="L530" s="7" t="s">
        <v>195</v>
      </c>
    </row>
    <row r="531" spans="1:12" x14ac:dyDescent="0.25">
      <c r="A531" s="1"/>
      <c r="B531" s="7" t="s">
        <v>230</v>
      </c>
      <c r="C531" s="25">
        <v>20040299</v>
      </c>
      <c r="D531" s="7" t="s">
        <v>3936</v>
      </c>
      <c r="E531" s="26">
        <v>1</v>
      </c>
      <c r="F531" s="7" t="s">
        <v>225</v>
      </c>
      <c r="G531" s="7" t="s">
        <v>219</v>
      </c>
      <c r="H531" s="19" t="str">
        <f t="shared" si="9"/>
        <v/>
      </c>
      <c r="I531" s="19" t="s">
        <v>910</v>
      </c>
      <c r="J531" s="7" t="s">
        <v>327</v>
      </c>
      <c r="K531" s="1"/>
      <c r="L531" s="7" t="s">
        <v>195</v>
      </c>
    </row>
    <row r="532" spans="1:12" x14ac:dyDescent="0.25">
      <c r="A532" s="1"/>
      <c r="B532" s="7" t="s">
        <v>230</v>
      </c>
      <c r="C532" s="25">
        <v>20040325</v>
      </c>
      <c r="D532" s="7" t="s">
        <v>3956</v>
      </c>
      <c r="E532" s="26">
        <v>1</v>
      </c>
      <c r="F532" s="7" t="s">
        <v>225</v>
      </c>
      <c r="G532" s="7" t="s">
        <v>219</v>
      </c>
      <c r="H532" s="19" t="str">
        <f t="shared" si="9"/>
        <v/>
      </c>
      <c r="I532" s="19" t="s">
        <v>910</v>
      </c>
      <c r="J532" s="7" t="s">
        <v>309</v>
      </c>
      <c r="K532" s="1"/>
      <c r="L532" s="7" t="s">
        <v>195</v>
      </c>
    </row>
    <row r="533" spans="1:12" x14ac:dyDescent="0.25">
      <c r="A533" s="1"/>
      <c r="B533" s="7" t="s">
        <v>222</v>
      </c>
      <c r="C533" s="25">
        <v>20040398</v>
      </c>
      <c r="D533" s="7" t="s">
        <v>3964</v>
      </c>
      <c r="E533" s="26">
        <v>1</v>
      </c>
      <c r="F533" s="7" t="s">
        <v>225</v>
      </c>
      <c r="G533" s="7" t="s">
        <v>219</v>
      </c>
      <c r="H533" s="19" t="str">
        <f t="shared" si="9"/>
        <v/>
      </c>
      <c r="I533" s="19" t="s">
        <v>221</v>
      </c>
      <c r="J533" s="7" t="s">
        <v>4855</v>
      </c>
      <c r="K533" s="1"/>
      <c r="L533" s="7" t="s">
        <v>195</v>
      </c>
    </row>
    <row r="534" spans="1:12" x14ac:dyDescent="0.25">
      <c r="A534" s="1"/>
      <c r="B534" s="7" t="s">
        <v>222</v>
      </c>
      <c r="C534" s="25">
        <v>20040498</v>
      </c>
      <c r="D534" s="7" t="s">
        <v>3980</v>
      </c>
      <c r="E534" s="26">
        <v>1</v>
      </c>
      <c r="F534" s="7" t="s">
        <v>225</v>
      </c>
      <c r="G534" s="7" t="s">
        <v>219</v>
      </c>
      <c r="H534" s="19" t="str">
        <f t="shared" si="9"/>
        <v/>
      </c>
      <c r="I534" s="19" t="s">
        <v>221</v>
      </c>
      <c r="J534" s="7" t="s">
        <v>347</v>
      </c>
      <c r="K534" s="1"/>
      <c r="L534" s="7" t="s">
        <v>195</v>
      </c>
    </row>
    <row r="535" spans="1:12" x14ac:dyDescent="0.25">
      <c r="A535" s="1"/>
      <c r="B535" s="7" t="s">
        <v>222</v>
      </c>
      <c r="C535" s="25">
        <v>20040519</v>
      </c>
      <c r="D535" s="7" t="s">
        <v>3981</v>
      </c>
      <c r="E535" s="26">
        <v>1</v>
      </c>
      <c r="F535" s="7" t="s">
        <v>225</v>
      </c>
      <c r="G535" s="7" t="s">
        <v>219</v>
      </c>
      <c r="H535" s="19" t="str">
        <f t="shared" si="9"/>
        <v/>
      </c>
      <c r="I535" s="19" t="s">
        <v>221</v>
      </c>
      <c r="J535" s="7" t="s">
        <v>397</v>
      </c>
      <c r="K535" s="1"/>
      <c r="L535" s="7" t="s">
        <v>195</v>
      </c>
    </row>
    <row r="536" spans="1:12" x14ac:dyDescent="0.25">
      <c r="A536" s="1"/>
      <c r="B536" s="7" t="s">
        <v>222</v>
      </c>
      <c r="C536" s="25">
        <v>20040567</v>
      </c>
      <c r="D536" s="7" t="s">
        <v>4007</v>
      </c>
      <c r="E536" s="26">
        <v>1</v>
      </c>
      <c r="F536" s="7" t="s">
        <v>225</v>
      </c>
      <c r="G536" s="7" t="s">
        <v>219</v>
      </c>
      <c r="H536" s="19" t="str">
        <f t="shared" si="9"/>
        <v/>
      </c>
      <c r="I536" s="19" t="s">
        <v>221</v>
      </c>
      <c r="J536" s="7" t="s">
        <v>347</v>
      </c>
      <c r="K536" s="1"/>
      <c r="L536" s="7" t="s">
        <v>195</v>
      </c>
    </row>
    <row r="537" spans="1:12" x14ac:dyDescent="0.25">
      <c r="A537" s="1"/>
      <c r="B537" s="7" t="s">
        <v>222</v>
      </c>
      <c r="C537" s="25">
        <v>20040599</v>
      </c>
      <c r="D537" s="7" t="s">
        <v>4012</v>
      </c>
      <c r="E537" s="26">
        <v>1</v>
      </c>
      <c r="F537" s="7" t="s">
        <v>225</v>
      </c>
      <c r="G537" s="7" t="s">
        <v>219</v>
      </c>
      <c r="H537" s="19" t="str">
        <f t="shared" si="9"/>
        <v/>
      </c>
      <c r="I537" s="19" t="s">
        <v>221</v>
      </c>
      <c r="J537" s="7" t="s">
        <v>242</v>
      </c>
      <c r="K537" s="1"/>
      <c r="L537" s="7" t="s">
        <v>195</v>
      </c>
    </row>
    <row r="538" spans="1:12" x14ac:dyDescent="0.25">
      <c r="A538" s="1"/>
      <c r="B538" s="7" t="s">
        <v>233</v>
      </c>
      <c r="C538" s="25">
        <v>20040600</v>
      </c>
      <c r="D538" s="7" t="s">
        <v>4013</v>
      </c>
      <c r="E538" s="26">
        <v>1</v>
      </c>
      <c r="F538" s="7" t="s">
        <v>225</v>
      </c>
      <c r="G538" s="7" t="s">
        <v>219</v>
      </c>
      <c r="H538" s="19" t="str">
        <f t="shared" si="9"/>
        <v/>
      </c>
      <c r="I538" s="19" t="s">
        <v>328</v>
      </c>
      <c r="J538" s="7" t="s">
        <v>242</v>
      </c>
      <c r="K538" s="1"/>
      <c r="L538" s="7" t="s">
        <v>195</v>
      </c>
    </row>
    <row r="539" spans="1:12" x14ac:dyDescent="0.25">
      <c r="A539" s="1"/>
      <c r="B539" s="7" t="s">
        <v>230</v>
      </c>
      <c r="C539" s="25">
        <v>20040678</v>
      </c>
      <c r="D539" s="7" t="s">
        <v>4023</v>
      </c>
      <c r="E539" s="26">
        <v>1</v>
      </c>
      <c r="F539" s="7" t="s">
        <v>225</v>
      </c>
      <c r="G539" s="7" t="s">
        <v>219</v>
      </c>
      <c r="H539" s="19" t="str">
        <f t="shared" si="9"/>
        <v/>
      </c>
      <c r="I539" s="19" t="s">
        <v>910</v>
      </c>
      <c r="J539" s="7" t="s">
        <v>309</v>
      </c>
      <c r="K539" s="1"/>
      <c r="L539" s="7" t="s">
        <v>232</v>
      </c>
    </row>
    <row r="540" spans="1:12" x14ac:dyDescent="0.25">
      <c r="A540" s="1"/>
      <c r="B540" s="7" t="s">
        <v>230</v>
      </c>
      <c r="C540" s="25">
        <v>20040679</v>
      </c>
      <c r="D540" s="7" t="s">
        <v>4024</v>
      </c>
      <c r="E540" s="26">
        <v>1</v>
      </c>
      <c r="F540" s="7" t="s">
        <v>225</v>
      </c>
      <c r="G540" s="7" t="s">
        <v>219</v>
      </c>
      <c r="H540" s="19" t="str">
        <f t="shared" si="9"/>
        <v/>
      </c>
      <c r="I540" s="19" t="s">
        <v>910</v>
      </c>
      <c r="J540" s="7" t="s">
        <v>309</v>
      </c>
      <c r="K540" s="1"/>
      <c r="L540" s="7" t="s">
        <v>195</v>
      </c>
    </row>
    <row r="541" spans="1:12" x14ac:dyDescent="0.25">
      <c r="A541" s="1"/>
      <c r="B541" s="7" t="s">
        <v>230</v>
      </c>
      <c r="C541" s="25">
        <v>20040681</v>
      </c>
      <c r="D541" s="7" t="s">
        <v>4025</v>
      </c>
      <c r="E541" s="26">
        <v>1</v>
      </c>
      <c r="F541" s="7" t="s">
        <v>225</v>
      </c>
      <c r="G541" s="7" t="s">
        <v>219</v>
      </c>
      <c r="H541" s="19" t="str">
        <f t="shared" si="9"/>
        <v/>
      </c>
      <c r="I541" s="19" t="s">
        <v>910</v>
      </c>
      <c r="J541" s="7" t="s">
        <v>309</v>
      </c>
      <c r="K541" s="1"/>
      <c r="L541" s="7" t="s">
        <v>195</v>
      </c>
    </row>
    <row r="542" spans="1:12" x14ac:dyDescent="0.25">
      <c r="A542" s="1"/>
      <c r="B542" s="7" t="s">
        <v>230</v>
      </c>
      <c r="C542" s="25">
        <v>20040689</v>
      </c>
      <c r="D542" s="7" t="s">
        <v>4027</v>
      </c>
      <c r="E542" s="26">
        <v>1</v>
      </c>
      <c r="F542" s="7" t="s">
        <v>225</v>
      </c>
      <c r="G542" s="7" t="s">
        <v>219</v>
      </c>
      <c r="H542" s="19" t="str">
        <f t="shared" si="9"/>
        <v/>
      </c>
      <c r="I542" s="19" t="s">
        <v>910</v>
      </c>
      <c r="J542" s="7" t="s">
        <v>397</v>
      </c>
      <c r="K542" s="1"/>
      <c r="L542" s="7" t="s">
        <v>195</v>
      </c>
    </row>
    <row r="543" spans="1:12" x14ac:dyDescent="0.25">
      <c r="A543" s="1"/>
      <c r="B543" s="7" t="s">
        <v>230</v>
      </c>
      <c r="C543" s="25">
        <v>20040699</v>
      </c>
      <c r="D543" s="7" t="s">
        <v>4026</v>
      </c>
      <c r="E543" s="26">
        <v>1</v>
      </c>
      <c r="F543" s="7" t="s">
        <v>225</v>
      </c>
      <c r="G543" s="7" t="s">
        <v>219</v>
      </c>
      <c r="H543" s="19" t="str">
        <f t="shared" si="9"/>
        <v/>
      </c>
      <c r="I543" s="19" t="s">
        <v>910</v>
      </c>
      <c r="J543" s="7" t="s">
        <v>397</v>
      </c>
      <c r="K543" s="1"/>
      <c r="L543" s="7" t="s">
        <v>195</v>
      </c>
    </row>
    <row r="544" spans="1:12" x14ac:dyDescent="0.25">
      <c r="A544" s="1"/>
      <c r="B544" s="7" t="s">
        <v>222</v>
      </c>
      <c r="C544" s="25">
        <v>20040769</v>
      </c>
      <c r="D544" s="7" t="s">
        <v>4033</v>
      </c>
      <c r="E544" s="26">
        <v>1</v>
      </c>
      <c r="F544" s="7" t="s">
        <v>225</v>
      </c>
      <c r="G544" s="7" t="s">
        <v>219</v>
      </c>
      <c r="H544" s="19" t="str">
        <f t="shared" si="9"/>
        <v/>
      </c>
      <c r="I544" s="19" t="s">
        <v>221</v>
      </c>
      <c r="J544" s="7" t="s">
        <v>246</v>
      </c>
      <c r="K544" s="1"/>
      <c r="L544" s="7" t="s">
        <v>195</v>
      </c>
    </row>
    <row r="545" spans="1:12" x14ac:dyDescent="0.25">
      <c r="A545" s="1"/>
      <c r="B545" s="7" t="s">
        <v>222</v>
      </c>
      <c r="C545" s="25">
        <v>20040779</v>
      </c>
      <c r="D545" s="7" t="s">
        <v>4034</v>
      </c>
      <c r="E545" s="26">
        <v>1</v>
      </c>
      <c r="F545" s="7" t="s">
        <v>225</v>
      </c>
      <c r="G545" s="7" t="s">
        <v>219</v>
      </c>
      <c r="H545" s="19" t="str">
        <f t="shared" si="9"/>
        <v/>
      </c>
      <c r="I545" s="19" t="s">
        <v>221</v>
      </c>
      <c r="J545" s="7" t="s">
        <v>313</v>
      </c>
      <c r="K545" s="1"/>
      <c r="L545" s="7" t="s">
        <v>195</v>
      </c>
    </row>
    <row r="546" spans="1:12" x14ac:dyDescent="0.25">
      <c r="A546" s="1"/>
      <c r="B546" s="7" t="s">
        <v>222</v>
      </c>
      <c r="C546" s="25">
        <v>20040801</v>
      </c>
      <c r="D546" s="7" t="s">
        <v>4041</v>
      </c>
      <c r="E546" s="26">
        <v>1</v>
      </c>
      <c r="F546" s="7" t="s">
        <v>225</v>
      </c>
      <c r="G546" s="7" t="s">
        <v>219</v>
      </c>
      <c r="H546" s="19" t="str">
        <f t="shared" si="9"/>
        <v/>
      </c>
      <c r="I546" s="19" t="s">
        <v>221</v>
      </c>
      <c r="J546" s="7" t="s">
        <v>721</v>
      </c>
      <c r="K546" s="1"/>
      <c r="L546" s="7" t="s">
        <v>195</v>
      </c>
    </row>
    <row r="547" spans="1:12" x14ac:dyDescent="0.25">
      <c r="A547" s="1"/>
      <c r="B547" s="7" t="s">
        <v>222</v>
      </c>
      <c r="C547" s="25">
        <v>20040809</v>
      </c>
      <c r="D547" s="7" t="s">
        <v>4038</v>
      </c>
      <c r="E547" s="26">
        <v>1</v>
      </c>
      <c r="F547" s="7" t="s">
        <v>225</v>
      </c>
      <c r="G547" s="7" t="s">
        <v>219</v>
      </c>
      <c r="H547" s="19" t="str">
        <f t="shared" si="9"/>
        <v/>
      </c>
      <c r="I547" s="19" t="s">
        <v>221</v>
      </c>
      <c r="J547" s="7" t="s">
        <v>347</v>
      </c>
      <c r="K547" s="1"/>
      <c r="L547" s="7" t="s">
        <v>195</v>
      </c>
    </row>
    <row r="548" spans="1:12" x14ac:dyDescent="0.25">
      <c r="A548" s="1"/>
      <c r="B548" s="7" t="s">
        <v>222</v>
      </c>
      <c r="C548" s="25">
        <v>20040810</v>
      </c>
      <c r="D548" s="7" t="s">
        <v>4039</v>
      </c>
      <c r="E548" s="26">
        <v>1</v>
      </c>
      <c r="F548" s="7" t="s">
        <v>225</v>
      </c>
      <c r="G548" s="7" t="s">
        <v>219</v>
      </c>
      <c r="H548" s="19" t="str">
        <f t="shared" si="9"/>
        <v/>
      </c>
      <c r="I548" s="19" t="s">
        <v>221</v>
      </c>
      <c r="J548" s="7" t="s">
        <v>347</v>
      </c>
      <c r="K548" s="1"/>
      <c r="L548" s="7" t="s">
        <v>195</v>
      </c>
    </row>
    <row r="549" spans="1:12" x14ac:dyDescent="0.25">
      <c r="A549" s="1"/>
      <c r="B549" s="7" t="s">
        <v>222</v>
      </c>
      <c r="C549" s="25">
        <v>20040893</v>
      </c>
      <c r="D549" s="7" t="s">
        <v>4088</v>
      </c>
      <c r="E549" s="26">
        <v>1</v>
      </c>
      <c r="F549" s="7" t="s">
        <v>225</v>
      </c>
      <c r="G549" s="7" t="s">
        <v>219</v>
      </c>
      <c r="H549" s="19" t="str">
        <f t="shared" si="9"/>
        <v/>
      </c>
      <c r="I549" s="19" t="s">
        <v>221</v>
      </c>
      <c r="J549" s="7" t="s">
        <v>309</v>
      </c>
      <c r="K549" s="1"/>
      <c r="L549" s="7" t="s">
        <v>195</v>
      </c>
    </row>
    <row r="550" spans="1:12" x14ac:dyDescent="0.25">
      <c r="A550" s="1"/>
      <c r="B550" s="7" t="s">
        <v>222</v>
      </c>
      <c r="C550" s="25">
        <v>20040894</v>
      </c>
      <c r="D550" s="7" t="s">
        <v>4089</v>
      </c>
      <c r="E550" s="26">
        <v>1</v>
      </c>
      <c r="F550" s="7" t="s">
        <v>225</v>
      </c>
      <c r="G550" s="7" t="s">
        <v>219</v>
      </c>
      <c r="H550" s="19" t="str">
        <f t="shared" si="9"/>
        <v/>
      </c>
      <c r="I550" s="19" t="s">
        <v>221</v>
      </c>
      <c r="J550" s="7" t="s">
        <v>309</v>
      </c>
      <c r="K550" s="1"/>
      <c r="L550" s="7" t="s">
        <v>195</v>
      </c>
    </row>
    <row r="551" spans="1:12" x14ac:dyDescent="0.25">
      <c r="A551" s="1"/>
      <c r="B551" s="7" t="s">
        <v>222</v>
      </c>
      <c r="C551" s="25">
        <v>20040912</v>
      </c>
      <c r="D551" s="7" t="s">
        <v>4079</v>
      </c>
      <c r="E551" s="26">
        <v>1</v>
      </c>
      <c r="F551" s="7" t="s">
        <v>225</v>
      </c>
      <c r="G551" s="7" t="s">
        <v>219</v>
      </c>
      <c r="H551" s="19" t="str">
        <f t="shared" si="9"/>
        <v/>
      </c>
      <c r="I551" s="19" t="s">
        <v>221</v>
      </c>
      <c r="J551" s="7" t="s">
        <v>311</v>
      </c>
      <c r="K551" s="1"/>
      <c r="L551" s="7" t="s">
        <v>195</v>
      </c>
    </row>
    <row r="552" spans="1:12" x14ac:dyDescent="0.25">
      <c r="A552" s="1"/>
      <c r="B552" s="7" t="s">
        <v>222</v>
      </c>
      <c r="C552" s="25">
        <v>20040918</v>
      </c>
      <c r="D552" s="7" t="s">
        <v>4090</v>
      </c>
      <c r="E552" s="26">
        <v>1</v>
      </c>
      <c r="F552" s="7" t="s">
        <v>225</v>
      </c>
      <c r="G552" s="7" t="s">
        <v>219</v>
      </c>
      <c r="H552" s="19" t="str">
        <f t="shared" si="9"/>
        <v/>
      </c>
      <c r="I552" s="19" t="s">
        <v>221</v>
      </c>
      <c r="J552" s="7" t="s">
        <v>309</v>
      </c>
      <c r="K552" s="1"/>
      <c r="L552" s="7" t="s">
        <v>195</v>
      </c>
    </row>
    <row r="553" spans="1:12" x14ac:dyDescent="0.25">
      <c r="A553" s="1"/>
      <c r="B553" s="7" t="s">
        <v>227</v>
      </c>
      <c r="C553" s="25">
        <v>20040923</v>
      </c>
      <c r="D553" s="7" t="s">
        <v>4094</v>
      </c>
      <c r="E553" s="26">
        <v>1</v>
      </c>
      <c r="F553" s="7" t="s">
        <v>225</v>
      </c>
      <c r="G553" s="7" t="s">
        <v>219</v>
      </c>
      <c r="H553" s="19" t="str">
        <f t="shared" si="9"/>
        <v/>
      </c>
      <c r="I553" s="19" t="s">
        <v>37</v>
      </c>
      <c r="J553" s="7" t="s">
        <v>942</v>
      </c>
      <c r="K553" s="1"/>
      <c r="L553" s="7" t="s">
        <v>232</v>
      </c>
    </row>
    <row r="554" spans="1:12" x14ac:dyDescent="0.25">
      <c r="A554" s="1"/>
      <c r="B554" s="7" t="s">
        <v>222</v>
      </c>
      <c r="C554" s="25">
        <v>20040942</v>
      </c>
      <c r="D554" s="7" t="s">
        <v>4108</v>
      </c>
      <c r="E554" s="26">
        <v>1</v>
      </c>
      <c r="F554" s="7" t="s">
        <v>225</v>
      </c>
      <c r="G554" s="7" t="s">
        <v>219</v>
      </c>
      <c r="H554" s="19" t="str">
        <f t="shared" si="9"/>
        <v/>
      </c>
      <c r="I554" s="19" t="s">
        <v>221</v>
      </c>
      <c r="J554" s="7" t="s">
        <v>954</v>
      </c>
      <c r="K554" s="1"/>
      <c r="L554" s="7" t="s">
        <v>195</v>
      </c>
    </row>
    <row r="555" spans="1:12" x14ac:dyDescent="0.25">
      <c r="A555" s="1"/>
      <c r="B555" s="7" t="s">
        <v>222</v>
      </c>
      <c r="C555" s="25">
        <v>20040943</v>
      </c>
      <c r="D555" s="7" t="s">
        <v>4109</v>
      </c>
      <c r="E555" s="26">
        <v>1</v>
      </c>
      <c r="F555" s="7" t="s">
        <v>225</v>
      </c>
      <c r="G555" s="7" t="s">
        <v>219</v>
      </c>
      <c r="H555" s="19" t="str">
        <f t="shared" si="9"/>
        <v/>
      </c>
      <c r="I555" s="19" t="s">
        <v>221</v>
      </c>
      <c r="J555" s="7" t="s">
        <v>954</v>
      </c>
      <c r="K555" s="1"/>
      <c r="L555" s="7" t="s">
        <v>195</v>
      </c>
    </row>
    <row r="556" spans="1:12" x14ac:dyDescent="0.25">
      <c r="A556" s="1"/>
      <c r="B556" s="7" t="s">
        <v>222</v>
      </c>
      <c r="C556" s="25">
        <v>20040998</v>
      </c>
      <c r="D556" s="7" t="s">
        <v>4099</v>
      </c>
      <c r="E556" s="26">
        <v>1</v>
      </c>
      <c r="F556" s="7" t="s">
        <v>352</v>
      </c>
      <c r="G556" s="7" t="s">
        <v>4100</v>
      </c>
      <c r="H556" s="19" t="str">
        <f t="shared" si="9"/>
        <v/>
      </c>
      <c r="I556" s="19" t="s">
        <v>221</v>
      </c>
      <c r="J556" s="7" t="s">
        <v>315</v>
      </c>
      <c r="K556" s="1"/>
      <c r="L556" s="7" t="s">
        <v>195</v>
      </c>
    </row>
    <row r="557" spans="1:12" x14ac:dyDescent="0.25">
      <c r="A557" s="1"/>
      <c r="B557" s="7" t="s">
        <v>230</v>
      </c>
      <c r="C557" s="25">
        <v>20041048</v>
      </c>
      <c r="D557" s="7" t="s">
        <v>11211</v>
      </c>
      <c r="E557" s="26">
        <v>1</v>
      </c>
      <c r="F557" s="7" t="s">
        <v>225</v>
      </c>
      <c r="G557" s="7" t="s">
        <v>219</v>
      </c>
      <c r="H557" s="19" t="str">
        <f t="shared" si="9"/>
        <v/>
      </c>
      <c r="I557" s="19" t="s">
        <v>910</v>
      </c>
      <c r="J557" s="7" t="s">
        <v>309</v>
      </c>
      <c r="K557" s="1"/>
      <c r="L557" s="7" t="s">
        <v>195</v>
      </c>
    </row>
    <row r="558" spans="1:12" x14ac:dyDescent="0.25">
      <c r="A558" s="1"/>
      <c r="B558" s="7" t="s">
        <v>230</v>
      </c>
      <c r="C558" s="25">
        <v>20041179</v>
      </c>
      <c r="D558" s="7" t="s">
        <v>4143</v>
      </c>
      <c r="E558" s="26">
        <v>1</v>
      </c>
      <c r="F558" s="7" t="s">
        <v>225</v>
      </c>
      <c r="G558" s="7" t="s">
        <v>219</v>
      </c>
      <c r="H558" s="19" t="str">
        <f t="shared" si="9"/>
        <v/>
      </c>
      <c r="I558" s="19" t="s">
        <v>910</v>
      </c>
      <c r="J558" s="7" t="s">
        <v>309</v>
      </c>
      <c r="K558" s="1"/>
      <c r="L558" s="7" t="s">
        <v>195</v>
      </c>
    </row>
    <row r="559" spans="1:12" x14ac:dyDescent="0.25">
      <c r="A559" s="1"/>
      <c r="B559" s="7" t="s">
        <v>222</v>
      </c>
      <c r="C559" s="25">
        <v>20041238</v>
      </c>
      <c r="D559" s="7" t="s">
        <v>4144</v>
      </c>
      <c r="E559" s="26">
        <v>1</v>
      </c>
      <c r="F559" s="7" t="s">
        <v>225</v>
      </c>
      <c r="G559" s="7" t="s">
        <v>219</v>
      </c>
      <c r="H559" s="19" t="str">
        <f t="shared" si="9"/>
        <v/>
      </c>
      <c r="I559" s="19" t="s">
        <v>221</v>
      </c>
      <c r="J559" s="7" t="s">
        <v>397</v>
      </c>
      <c r="K559" s="1"/>
      <c r="L559" s="7" t="s">
        <v>195</v>
      </c>
    </row>
    <row r="560" spans="1:12" x14ac:dyDescent="0.25">
      <c r="A560" s="1"/>
      <c r="B560" s="7" t="s">
        <v>222</v>
      </c>
      <c r="C560" s="25">
        <v>20041318</v>
      </c>
      <c r="D560" s="7" t="s">
        <v>4159</v>
      </c>
      <c r="E560" s="26">
        <v>1</v>
      </c>
      <c r="F560" s="7" t="s">
        <v>225</v>
      </c>
      <c r="G560" s="7" t="s">
        <v>219</v>
      </c>
      <c r="H560" s="19" t="str">
        <f t="shared" si="9"/>
        <v/>
      </c>
      <c r="I560" s="19" t="s">
        <v>221</v>
      </c>
      <c r="J560" s="7" t="s">
        <v>347</v>
      </c>
      <c r="K560" s="1"/>
      <c r="L560" s="7" t="s">
        <v>195</v>
      </c>
    </row>
    <row r="561" spans="1:12" x14ac:dyDescent="0.25">
      <c r="A561" s="1"/>
      <c r="B561" s="7" t="s">
        <v>222</v>
      </c>
      <c r="C561" s="25">
        <v>20041319</v>
      </c>
      <c r="D561" s="7" t="s">
        <v>4163</v>
      </c>
      <c r="E561" s="26">
        <v>1</v>
      </c>
      <c r="F561" s="7" t="s">
        <v>225</v>
      </c>
      <c r="G561" s="7" t="s">
        <v>219</v>
      </c>
      <c r="H561" s="19" t="str">
        <f t="shared" si="9"/>
        <v/>
      </c>
      <c r="I561" s="19" t="s">
        <v>221</v>
      </c>
      <c r="J561" s="7" t="s">
        <v>347</v>
      </c>
      <c r="K561" s="1"/>
      <c r="L561" s="7" t="s">
        <v>195</v>
      </c>
    </row>
    <row r="562" spans="1:12" x14ac:dyDescent="0.25">
      <c r="A562" s="1"/>
      <c r="B562" s="7" t="s">
        <v>222</v>
      </c>
      <c r="C562" s="25">
        <v>20041397</v>
      </c>
      <c r="D562" s="7" t="s">
        <v>4260</v>
      </c>
      <c r="E562" s="26">
        <v>1</v>
      </c>
      <c r="F562" s="7" t="s">
        <v>225</v>
      </c>
      <c r="G562" s="7" t="s">
        <v>219</v>
      </c>
      <c r="H562" s="19" t="str">
        <f t="shared" si="9"/>
        <v/>
      </c>
      <c r="I562" s="19" t="s">
        <v>221</v>
      </c>
      <c r="J562" s="7" t="s">
        <v>313</v>
      </c>
      <c r="K562" s="1"/>
      <c r="L562" s="7" t="s">
        <v>195</v>
      </c>
    </row>
    <row r="563" spans="1:12" x14ac:dyDescent="0.25">
      <c r="A563" s="1"/>
      <c r="B563" s="7" t="s">
        <v>222</v>
      </c>
      <c r="C563" s="25">
        <v>20041459</v>
      </c>
      <c r="D563" s="7" t="s">
        <v>4247</v>
      </c>
      <c r="E563" s="26">
        <v>1</v>
      </c>
      <c r="F563" s="7" t="s">
        <v>225</v>
      </c>
      <c r="G563" s="7" t="s">
        <v>219</v>
      </c>
      <c r="H563" s="19" t="str">
        <f t="shared" si="9"/>
        <v/>
      </c>
      <c r="I563" s="19" t="s">
        <v>221</v>
      </c>
      <c r="J563" s="7" t="s">
        <v>313</v>
      </c>
      <c r="K563" s="1"/>
      <c r="L563" s="7" t="s">
        <v>195</v>
      </c>
    </row>
    <row r="564" spans="1:12" x14ac:dyDescent="0.25">
      <c r="A564" s="1"/>
      <c r="B564" s="7" t="s">
        <v>222</v>
      </c>
      <c r="C564" s="25">
        <v>20041549</v>
      </c>
      <c r="D564" s="7" t="s">
        <v>4284</v>
      </c>
      <c r="E564" s="26">
        <v>1</v>
      </c>
      <c r="F564" s="7" t="s">
        <v>225</v>
      </c>
      <c r="G564" s="7" t="s">
        <v>219</v>
      </c>
      <c r="H564" s="19" t="str">
        <f t="shared" si="9"/>
        <v/>
      </c>
      <c r="I564" s="19" t="s">
        <v>221</v>
      </c>
      <c r="J564" s="7" t="s">
        <v>313</v>
      </c>
      <c r="K564" s="1"/>
      <c r="L564" s="7" t="s">
        <v>195</v>
      </c>
    </row>
    <row r="565" spans="1:12" x14ac:dyDescent="0.25">
      <c r="A565" s="1"/>
      <c r="B565" s="7" t="s">
        <v>222</v>
      </c>
      <c r="C565" s="25">
        <v>20041550</v>
      </c>
      <c r="D565" s="7" t="s">
        <v>4285</v>
      </c>
      <c r="E565" s="26">
        <v>1</v>
      </c>
      <c r="F565" s="7" t="s">
        <v>225</v>
      </c>
      <c r="G565" s="7" t="s">
        <v>219</v>
      </c>
      <c r="H565" s="19" t="str">
        <f t="shared" si="9"/>
        <v/>
      </c>
      <c r="I565" s="19" t="s">
        <v>221</v>
      </c>
      <c r="J565" s="7" t="s">
        <v>313</v>
      </c>
      <c r="K565" s="1"/>
      <c r="L565" s="7" t="s">
        <v>195</v>
      </c>
    </row>
    <row r="566" spans="1:12" x14ac:dyDescent="0.25">
      <c r="A566" s="1"/>
      <c r="B566" s="7" t="s">
        <v>222</v>
      </c>
      <c r="C566" s="25">
        <v>20041551</v>
      </c>
      <c r="D566" s="7" t="s">
        <v>4286</v>
      </c>
      <c r="E566" s="26">
        <v>1</v>
      </c>
      <c r="F566" s="7" t="s">
        <v>225</v>
      </c>
      <c r="G566" s="7" t="s">
        <v>219</v>
      </c>
      <c r="H566" s="19" t="str">
        <f t="shared" si="9"/>
        <v/>
      </c>
      <c r="I566" s="19" t="s">
        <v>221</v>
      </c>
      <c r="J566" s="7" t="s">
        <v>313</v>
      </c>
      <c r="K566" s="1"/>
      <c r="L566" s="7" t="s">
        <v>195</v>
      </c>
    </row>
    <row r="567" spans="1:12" x14ac:dyDescent="0.25">
      <c r="A567" s="1"/>
      <c r="B567" s="7" t="s">
        <v>222</v>
      </c>
      <c r="C567" s="25">
        <v>20041552</v>
      </c>
      <c r="D567" s="7" t="s">
        <v>4287</v>
      </c>
      <c r="E567" s="26">
        <v>1</v>
      </c>
      <c r="F567" s="7" t="s">
        <v>225</v>
      </c>
      <c r="G567" s="7" t="s">
        <v>219</v>
      </c>
      <c r="H567" s="19" t="str">
        <f t="shared" si="9"/>
        <v/>
      </c>
      <c r="I567" s="19" t="s">
        <v>221</v>
      </c>
      <c r="J567" s="7" t="s">
        <v>313</v>
      </c>
      <c r="K567" s="1"/>
      <c r="L567" s="7" t="s">
        <v>195</v>
      </c>
    </row>
    <row r="568" spans="1:12" x14ac:dyDescent="0.25">
      <c r="A568" s="1"/>
      <c r="B568" s="7" t="s">
        <v>222</v>
      </c>
      <c r="C568" s="25">
        <v>20041553</v>
      </c>
      <c r="D568" s="7" t="s">
        <v>4288</v>
      </c>
      <c r="E568" s="26">
        <v>1</v>
      </c>
      <c r="F568" s="7" t="s">
        <v>225</v>
      </c>
      <c r="G568" s="7" t="s">
        <v>219</v>
      </c>
      <c r="H568" s="19" t="str">
        <f t="shared" si="9"/>
        <v/>
      </c>
      <c r="I568" s="19" t="s">
        <v>221</v>
      </c>
      <c r="J568" s="7" t="s">
        <v>313</v>
      </c>
      <c r="K568" s="1"/>
      <c r="L568" s="7" t="s">
        <v>195</v>
      </c>
    </row>
    <row r="569" spans="1:12" x14ac:dyDescent="0.25">
      <c r="A569" s="1"/>
      <c r="B569" s="7" t="s">
        <v>222</v>
      </c>
      <c r="C569" s="25">
        <v>20041555</v>
      </c>
      <c r="D569" s="7" t="s">
        <v>4290</v>
      </c>
      <c r="E569" s="26">
        <v>1</v>
      </c>
      <c r="F569" s="7" t="s">
        <v>225</v>
      </c>
      <c r="G569" s="7" t="s">
        <v>219</v>
      </c>
      <c r="H569" s="19" t="str">
        <f t="shared" si="9"/>
        <v/>
      </c>
      <c r="I569" s="19" t="s">
        <v>221</v>
      </c>
      <c r="J569" s="7" t="s">
        <v>313</v>
      </c>
      <c r="K569" s="1"/>
      <c r="L569" s="7" t="s">
        <v>195</v>
      </c>
    </row>
    <row r="570" spans="1:12" x14ac:dyDescent="0.25">
      <c r="A570" s="1"/>
      <c r="B570" s="7" t="s">
        <v>222</v>
      </c>
      <c r="C570" s="25">
        <v>20041556</v>
      </c>
      <c r="D570" s="7" t="s">
        <v>4291</v>
      </c>
      <c r="E570" s="26">
        <v>1</v>
      </c>
      <c r="F570" s="7" t="s">
        <v>225</v>
      </c>
      <c r="G570" s="7" t="s">
        <v>219</v>
      </c>
      <c r="H570" s="19" t="str">
        <f t="shared" si="9"/>
        <v/>
      </c>
      <c r="I570" s="19" t="s">
        <v>221</v>
      </c>
      <c r="J570" s="7" t="s">
        <v>313</v>
      </c>
      <c r="K570" s="1"/>
      <c r="L570" s="7" t="s">
        <v>195</v>
      </c>
    </row>
    <row r="571" spans="1:12" x14ac:dyDescent="0.25">
      <c r="A571" s="1"/>
      <c r="B571" s="7" t="s">
        <v>222</v>
      </c>
      <c r="C571" s="25">
        <v>20041557</v>
      </c>
      <c r="D571" s="7" t="s">
        <v>4292</v>
      </c>
      <c r="E571" s="26">
        <v>1</v>
      </c>
      <c r="F571" s="7" t="s">
        <v>225</v>
      </c>
      <c r="G571" s="7" t="s">
        <v>219</v>
      </c>
      <c r="H571" s="19" t="str">
        <f t="shared" si="9"/>
        <v/>
      </c>
      <c r="I571" s="19" t="s">
        <v>221</v>
      </c>
      <c r="J571" s="7" t="s">
        <v>313</v>
      </c>
      <c r="K571" s="1"/>
      <c r="L571" s="7" t="s">
        <v>195</v>
      </c>
    </row>
    <row r="572" spans="1:12" x14ac:dyDescent="0.25">
      <c r="A572" s="1"/>
      <c r="B572" s="7" t="s">
        <v>222</v>
      </c>
      <c r="C572" s="25">
        <v>20041563</v>
      </c>
      <c r="D572" s="7" t="s">
        <v>4271</v>
      </c>
      <c r="E572" s="26">
        <v>1</v>
      </c>
      <c r="F572" s="7" t="s">
        <v>225</v>
      </c>
      <c r="G572" s="7" t="s">
        <v>219</v>
      </c>
      <c r="H572" s="19" t="str">
        <f t="shared" si="9"/>
        <v/>
      </c>
      <c r="I572" s="19" t="s">
        <v>221</v>
      </c>
      <c r="J572" s="7" t="s">
        <v>313</v>
      </c>
      <c r="K572" s="1"/>
      <c r="L572" s="7" t="s">
        <v>195</v>
      </c>
    </row>
    <row r="573" spans="1:12" x14ac:dyDescent="0.25">
      <c r="A573" s="1"/>
      <c r="B573" s="7" t="s">
        <v>222</v>
      </c>
      <c r="C573" s="25">
        <v>20041564</v>
      </c>
      <c r="D573" s="7" t="s">
        <v>4272</v>
      </c>
      <c r="E573" s="26">
        <v>1</v>
      </c>
      <c r="F573" s="7" t="s">
        <v>225</v>
      </c>
      <c r="G573" s="7" t="s">
        <v>219</v>
      </c>
      <c r="H573" s="19" t="str">
        <f t="shared" si="9"/>
        <v/>
      </c>
      <c r="I573" s="19" t="s">
        <v>221</v>
      </c>
      <c r="J573" s="7" t="s">
        <v>313</v>
      </c>
      <c r="K573" s="1"/>
      <c r="L573" s="7" t="s">
        <v>195</v>
      </c>
    </row>
    <row r="574" spans="1:12" x14ac:dyDescent="0.25">
      <c r="A574" s="1"/>
      <c r="B574" s="7" t="s">
        <v>222</v>
      </c>
      <c r="C574" s="25">
        <v>20041565</v>
      </c>
      <c r="D574" s="7" t="s">
        <v>4273</v>
      </c>
      <c r="E574" s="26">
        <v>1</v>
      </c>
      <c r="F574" s="7" t="s">
        <v>225</v>
      </c>
      <c r="G574" s="7" t="s">
        <v>219</v>
      </c>
      <c r="H574" s="19" t="str">
        <f t="shared" si="9"/>
        <v/>
      </c>
      <c r="I574" s="19" t="s">
        <v>221</v>
      </c>
      <c r="J574" s="7" t="s">
        <v>313</v>
      </c>
      <c r="K574" s="1"/>
      <c r="L574" s="7" t="s">
        <v>195</v>
      </c>
    </row>
    <row r="575" spans="1:12" x14ac:dyDescent="0.25">
      <c r="A575" s="1"/>
      <c r="B575" s="7" t="s">
        <v>222</v>
      </c>
      <c r="C575" s="25">
        <v>20041567</v>
      </c>
      <c r="D575" s="7" t="s">
        <v>4275</v>
      </c>
      <c r="E575" s="26">
        <v>1</v>
      </c>
      <c r="F575" s="7" t="s">
        <v>225</v>
      </c>
      <c r="G575" s="7" t="s">
        <v>219</v>
      </c>
      <c r="H575" s="19" t="str">
        <f t="shared" si="9"/>
        <v/>
      </c>
      <c r="I575" s="19" t="s">
        <v>221</v>
      </c>
      <c r="J575" s="7" t="s">
        <v>313</v>
      </c>
      <c r="K575" s="1"/>
      <c r="L575" s="7" t="s">
        <v>195</v>
      </c>
    </row>
    <row r="576" spans="1:12" x14ac:dyDescent="0.25">
      <c r="A576" s="1"/>
      <c r="B576" s="7" t="s">
        <v>222</v>
      </c>
      <c r="C576" s="25">
        <v>20041571</v>
      </c>
      <c r="D576" s="7" t="s">
        <v>4267</v>
      </c>
      <c r="E576" s="26">
        <v>1</v>
      </c>
      <c r="F576" s="7" t="s">
        <v>225</v>
      </c>
      <c r="G576" s="7" t="s">
        <v>219</v>
      </c>
      <c r="H576" s="19" t="str">
        <f t="shared" si="9"/>
        <v/>
      </c>
      <c r="I576" s="19" t="s">
        <v>221</v>
      </c>
      <c r="J576" s="7" t="s">
        <v>313</v>
      </c>
      <c r="K576" s="1"/>
      <c r="L576" s="7" t="s">
        <v>195</v>
      </c>
    </row>
    <row r="577" spans="1:12" x14ac:dyDescent="0.25">
      <c r="A577" s="1"/>
      <c r="B577" s="7" t="s">
        <v>222</v>
      </c>
      <c r="C577" s="25">
        <v>20041574</v>
      </c>
      <c r="D577" s="7" t="s">
        <v>4269</v>
      </c>
      <c r="E577" s="26">
        <v>1</v>
      </c>
      <c r="F577" s="7" t="s">
        <v>225</v>
      </c>
      <c r="G577" s="7" t="s">
        <v>219</v>
      </c>
      <c r="H577" s="19" t="str">
        <f t="shared" si="9"/>
        <v/>
      </c>
      <c r="I577" s="19" t="s">
        <v>221</v>
      </c>
      <c r="J577" s="7" t="s">
        <v>313</v>
      </c>
      <c r="K577" s="1"/>
      <c r="L577" s="7" t="s">
        <v>195</v>
      </c>
    </row>
    <row r="578" spans="1:12" x14ac:dyDescent="0.25">
      <c r="A578" s="1"/>
      <c r="B578" s="7" t="s">
        <v>222</v>
      </c>
      <c r="C578" s="25">
        <v>20041575</v>
      </c>
      <c r="D578" s="7" t="s">
        <v>4270</v>
      </c>
      <c r="E578" s="26">
        <v>1</v>
      </c>
      <c r="F578" s="7" t="s">
        <v>225</v>
      </c>
      <c r="G578" s="7" t="s">
        <v>219</v>
      </c>
      <c r="H578" s="19" t="str">
        <f t="shared" si="9"/>
        <v/>
      </c>
      <c r="I578" s="19" t="s">
        <v>221</v>
      </c>
      <c r="J578" s="7" t="s">
        <v>313</v>
      </c>
      <c r="K578" s="1"/>
      <c r="L578" s="7" t="s">
        <v>195</v>
      </c>
    </row>
    <row r="579" spans="1:12" x14ac:dyDescent="0.25">
      <c r="A579" s="1"/>
      <c r="B579" s="7" t="s">
        <v>222</v>
      </c>
      <c r="C579" s="25">
        <v>20041577</v>
      </c>
      <c r="D579" s="7" t="s">
        <v>4295</v>
      </c>
      <c r="E579" s="26">
        <v>1</v>
      </c>
      <c r="F579" s="7" t="s">
        <v>225</v>
      </c>
      <c r="G579" s="7" t="s">
        <v>219</v>
      </c>
      <c r="H579" s="19" t="str">
        <f t="shared" si="9"/>
        <v/>
      </c>
      <c r="I579" s="19" t="s">
        <v>221</v>
      </c>
      <c r="J579" s="7" t="s">
        <v>347</v>
      </c>
      <c r="K579" s="1"/>
      <c r="L579" s="7" t="s">
        <v>195</v>
      </c>
    </row>
    <row r="580" spans="1:12" x14ac:dyDescent="0.25">
      <c r="A580" s="1"/>
      <c r="B580" s="7" t="s">
        <v>222</v>
      </c>
      <c r="C580" s="25">
        <v>20041589</v>
      </c>
      <c r="D580" s="7" t="s">
        <v>4306</v>
      </c>
      <c r="E580" s="26">
        <v>1</v>
      </c>
      <c r="F580" s="7" t="s">
        <v>225</v>
      </c>
      <c r="G580" s="7" t="s">
        <v>219</v>
      </c>
      <c r="H580" s="19" t="str">
        <f t="shared" si="9"/>
        <v/>
      </c>
      <c r="I580" s="19" t="s">
        <v>221</v>
      </c>
      <c r="J580" s="7" t="s">
        <v>315</v>
      </c>
      <c r="K580" s="1"/>
      <c r="L580" s="7" t="s">
        <v>195</v>
      </c>
    </row>
    <row r="581" spans="1:12" x14ac:dyDescent="0.25">
      <c r="A581" s="1"/>
      <c r="B581" s="7" t="s">
        <v>222</v>
      </c>
      <c r="C581" s="25">
        <v>20041590</v>
      </c>
      <c r="D581" s="7" t="s">
        <v>4307</v>
      </c>
      <c r="E581" s="26">
        <v>1</v>
      </c>
      <c r="F581" s="7" t="s">
        <v>225</v>
      </c>
      <c r="G581" s="7" t="s">
        <v>219</v>
      </c>
      <c r="H581" s="19" t="str">
        <f t="shared" si="9"/>
        <v/>
      </c>
      <c r="I581" s="19" t="s">
        <v>221</v>
      </c>
      <c r="J581" s="7" t="s">
        <v>315</v>
      </c>
      <c r="K581" s="1"/>
      <c r="L581" s="7" t="s">
        <v>195</v>
      </c>
    </row>
    <row r="582" spans="1:12" x14ac:dyDescent="0.25">
      <c r="A582" s="1"/>
      <c r="B582" s="7" t="s">
        <v>222</v>
      </c>
      <c r="C582" s="25">
        <v>20041591</v>
      </c>
      <c r="D582" s="7" t="s">
        <v>4308</v>
      </c>
      <c r="E582" s="26">
        <v>1</v>
      </c>
      <c r="F582" s="7" t="s">
        <v>225</v>
      </c>
      <c r="G582" s="7" t="s">
        <v>219</v>
      </c>
      <c r="H582" s="19" t="str">
        <f t="shared" si="9"/>
        <v/>
      </c>
      <c r="I582" s="19" t="s">
        <v>221</v>
      </c>
      <c r="J582" s="7" t="s">
        <v>315</v>
      </c>
      <c r="K582" s="1"/>
      <c r="L582" s="7" t="s">
        <v>195</v>
      </c>
    </row>
    <row r="583" spans="1:12" x14ac:dyDescent="0.25">
      <c r="A583" s="1"/>
      <c r="B583" s="7" t="s">
        <v>222</v>
      </c>
      <c r="C583" s="25">
        <v>20041592</v>
      </c>
      <c r="D583" s="7" t="s">
        <v>4309</v>
      </c>
      <c r="E583" s="26">
        <v>1</v>
      </c>
      <c r="F583" s="7" t="s">
        <v>225</v>
      </c>
      <c r="G583" s="7" t="s">
        <v>219</v>
      </c>
      <c r="H583" s="19" t="str">
        <f t="shared" si="9"/>
        <v/>
      </c>
      <c r="I583" s="19" t="s">
        <v>221</v>
      </c>
      <c r="J583" s="7" t="s">
        <v>315</v>
      </c>
      <c r="K583" s="1"/>
      <c r="L583" s="7" t="s">
        <v>195</v>
      </c>
    </row>
    <row r="584" spans="1:12" x14ac:dyDescent="0.25">
      <c r="A584" s="1"/>
      <c r="B584" s="7" t="s">
        <v>222</v>
      </c>
      <c r="C584" s="25">
        <v>20041593</v>
      </c>
      <c r="D584" s="7" t="s">
        <v>4310</v>
      </c>
      <c r="E584" s="26">
        <v>1</v>
      </c>
      <c r="F584" s="7" t="s">
        <v>225</v>
      </c>
      <c r="G584" s="7" t="s">
        <v>219</v>
      </c>
      <c r="H584" s="19" t="str">
        <f t="shared" si="9"/>
        <v/>
      </c>
      <c r="I584" s="19" t="s">
        <v>221</v>
      </c>
      <c r="J584" s="7" t="s">
        <v>315</v>
      </c>
      <c r="K584" s="1"/>
      <c r="L584" s="7" t="s">
        <v>195</v>
      </c>
    </row>
    <row r="585" spans="1:12" x14ac:dyDescent="0.25">
      <c r="A585" s="1"/>
      <c r="B585" s="7" t="s">
        <v>222</v>
      </c>
      <c r="C585" s="25">
        <v>20041608</v>
      </c>
      <c r="D585" s="7" t="s">
        <v>4276</v>
      </c>
      <c r="E585" s="26">
        <v>1</v>
      </c>
      <c r="F585" s="7" t="s">
        <v>225</v>
      </c>
      <c r="G585" s="7" t="s">
        <v>219</v>
      </c>
      <c r="H585" s="19" t="str">
        <f t="shared" si="9"/>
        <v/>
      </c>
      <c r="I585" s="19" t="s">
        <v>221</v>
      </c>
      <c r="J585" s="7" t="s">
        <v>313</v>
      </c>
      <c r="K585" s="1"/>
      <c r="L585" s="7" t="s">
        <v>195</v>
      </c>
    </row>
    <row r="586" spans="1:12" x14ac:dyDescent="0.25">
      <c r="A586" s="1"/>
      <c r="B586" s="7" t="s">
        <v>222</v>
      </c>
      <c r="C586" s="25">
        <v>20041610</v>
      </c>
      <c r="D586" s="7" t="s">
        <v>4278</v>
      </c>
      <c r="E586" s="26">
        <v>1</v>
      </c>
      <c r="F586" s="7" t="s">
        <v>225</v>
      </c>
      <c r="G586" s="7" t="s">
        <v>219</v>
      </c>
      <c r="H586" s="19" t="str">
        <f t="shared" si="9"/>
        <v/>
      </c>
      <c r="I586" s="19" t="s">
        <v>221</v>
      </c>
      <c r="J586" s="7" t="s">
        <v>313</v>
      </c>
      <c r="K586" s="1"/>
      <c r="L586" s="7" t="s">
        <v>195</v>
      </c>
    </row>
    <row r="587" spans="1:12" x14ac:dyDescent="0.25">
      <c r="A587" s="1"/>
      <c r="B587" s="7" t="s">
        <v>222</v>
      </c>
      <c r="C587" s="25">
        <v>20041611</v>
      </c>
      <c r="D587" s="7" t="s">
        <v>4296</v>
      </c>
      <c r="E587" s="26">
        <v>1</v>
      </c>
      <c r="F587" s="7" t="s">
        <v>225</v>
      </c>
      <c r="G587" s="7" t="s">
        <v>219</v>
      </c>
      <c r="H587" s="19" t="str">
        <f t="shared" si="9"/>
        <v/>
      </c>
      <c r="I587" s="19" t="s">
        <v>221</v>
      </c>
      <c r="J587" s="7" t="s">
        <v>347</v>
      </c>
      <c r="K587" s="1"/>
      <c r="L587" s="7" t="s">
        <v>195</v>
      </c>
    </row>
    <row r="588" spans="1:12" x14ac:dyDescent="0.25">
      <c r="A588" s="1"/>
      <c r="B588" s="7" t="s">
        <v>222</v>
      </c>
      <c r="C588" s="25">
        <v>20041613</v>
      </c>
      <c r="D588" s="7" t="s">
        <v>4298</v>
      </c>
      <c r="E588" s="26">
        <v>1</v>
      </c>
      <c r="F588" s="7" t="s">
        <v>225</v>
      </c>
      <c r="G588" s="7" t="s">
        <v>219</v>
      </c>
      <c r="H588" s="19" t="str">
        <f t="shared" si="9"/>
        <v/>
      </c>
      <c r="I588" s="19" t="s">
        <v>221</v>
      </c>
      <c r="J588" s="7" t="s">
        <v>347</v>
      </c>
      <c r="K588" s="1"/>
      <c r="L588" s="7" t="s">
        <v>195</v>
      </c>
    </row>
    <row r="589" spans="1:12" x14ac:dyDescent="0.25">
      <c r="A589" s="1"/>
      <c r="B589" s="7" t="s">
        <v>222</v>
      </c>
      <c r="C589" s="25">
        <v>20041614</v>
      </c>
      <c r="D589" s="7" t="s">
        <v>4299</v>
      </c>
      <c r="E589" s="26">
        <v>1</v>
      </c>
      <c r="F589" s="7" t="s">
        <v>225</v>
      </c>
      <c r="G589" s="7" t="s">
        <v>219</v>
      </c>
      <c r="H589" s="19" t="str">
        <f t="shared" si="9"/>
        <v/>
      </c>
      <c r="I589" s="19" t="s">
        <v>221</v>
      </c>
      <c r="J589" s="7" t="s">
        <v>347</v>
      </c>
      <c r="K589" s="1"/>
      <c r="L589" s="7" t="s">
        <v>195</v>
      </c>
    </row>
    <row r="590" spans="1:12" x14ac:dyDescent="0.25">
      <c r="A590" s="1"/>
      <c r="B590" s="7" t="s">
        <v>222</v>
      </c>
      <c r="C590" s="25">
        <v>20041616</v>
      </c>
      <c r="D590" s="7" t="s">
        <v>4301</v>
      </c>
      <c r="E590" s="26">
        <v>1</v>
      </c>
      <c r="F590" s="7" t="s">
        <v>225</v>
      </c>
      <c r="G590" s="7" t="s">
        <v>219</v>
      </c>
      <c r="H590" s="19" t="str">
        <f t="shared" si="9"/>
        <v/>
      </c>
      <c r="I590" s="19" t="s">
        <v>221</v>
      </c>
      <c r="J590" s="7" t="s">
        <v>347</v>
      </c>
      <c r="K590" s="1"/>
      <c r="L590" s="7" t="s">
        <v>195</v>
      </c>
    </row>
    <row r="591" spans="1:12" x14ac:dyDescent="0.25">
      <c r="A591" s="1"/>
      <c r="B591" s="7" t="s">
        <v>222</v>
      </c>
      <c r="C591" s="25">
        <v>20041618</v>
      </c>
      <c r="D591" s="7" t="s">
        <v>4293</v>
      </c>
      <c r="E591" s="26">
        <v>1</v>
      </c>
      <c r="F591" s="7" t="s">
        <v>225</v>
      </c>
      <c r="G591" s="7" t="s">
        <v>219</v>
      </c>
      <c r="H591" s="19" t="str">
        <f t="shared" ref="H591:H654" si="10">IF(A591="", "", A591*E591)</f>
        <v/>
      </c>
      <c r="I591" s="19" t="s">
        <v>221</v>
      </c>
      <c r="J591" s="7" t="s">
        <v>313</v>
      </c>
      <c r="K591" s="1"/>
      <c r="L591" s="7" t="s">
        <v>195</v>
      </c>
    </row>
    <row r="592" spans="1:12" x14ac:dyDescent="0.25">
      <c r="A592" s="1"/>
      <c r="B592" s="7" t="s">
        <v>222</v>
      </c>
      <c r="C592" s="25">
        <v>20041619</v>
      </c>
      <c r="D592" s="7" t="s">
        <v>4294</v>
      </c>
      <c r="E592" s="26">
        <v>1</v>
      </c>
      <c r="F592" s="7" t="s">
        <v>225</v>
      </c>
      <c r="G592" s="7" t="s">
        <v>219</v>
      </c>
      <c r="H592" s="19" t="str">
        <f t="shared" si="10"/>
        <v/>
      </c>
      <c r="I592" s="19" t="s">
        <v>221</v>
      </c>
      <c r="J592" s="7" t="s">
        <v>313</v>
      </c>
      <c r="K592" s="1"/>
      <c r="L592" s="7" t="s">
        <v>195</v>
      </c>
    </row>
    <row r="593" spans="1:12" x14ac:dyDescent="0.25">
      <c r="A593" s="1"/>
      <c r="B593" s="7" t="s">
        <v>222</v>
      </c>
      <c r="C593" s="25">
        <v>20041620</v>
      </c>
      <c r="D593" s="7" t="s">
        <v>4302</v>
      </c>
      <c r="E593" s="26">
        <v>1</v>
      </c>
      <c r="F593" s="7" t="s">
        <v>225</v>
      </c>
      <c r="G593" s="7" t="s">
        <v>219</v>
      </c>
      <c r="H593" s="19" t="str">
        <f t="shared" si="10"/>
        <v/>
      </c>
      <c r="I593" s="19" t="s">
        <v>221</v>
      </c>
      <c r="J593" s="7" t="s">
        <v>721</v>
      </c>
      <c r="K593" s="1"/>
      <c r="L593" s="7" t="s">
        <v>195</v>
      </c>
    </row>
    <row r="594" spans="1:12" x14ac:dyDescent="0.25">
      <c r="A594" s="1"/>
      <c r="B594" s="7" t="s">
        <v>229</v>
      </c>
      <c r="C594" s="25">
        <v>20041627</v>
      </c>
      <c r="D594" s="7" t="s">
        <v>10925</v>
      </c>
      <c r="E594" s="26">
        <v>1</v>
      </c>
      <c r="F594" s="7" t="s">
        <v>352</v>
      </c>
      <c r="G594" s="7" t="s">
        <v>10926</v>
      </c>
      <c r="H594" s="19" t="str">
        <f t="shared" si="10"/>
        <v/>
      </c>
      <c r="I594" s="19" t="s">
        <v>306</v>
      </c>
      <c r="J594" s="7" t="s">
        <v>309</v>
      </c>
      <c r="K594" s="1"/>
      <c r="L594" s="7" t="s">
        <v>195</v>
      </c>
    </row>
    <row r="595" spans="1:12" x14ac:dyDescent="0.25">
      <c r="A595" s="1"/>
      <c r="B595" s="7" t="s">
        <v>227</v>
      </c>
      <c r="C595" s="25">
        <v>20041634</v>
      </c>
      <c r="D595" s="7" t="s">
        <v>4335</v>
      </c>
      <c r="E595" s="26">
        <v>1</v>
      </c>
      <c r="F595" s="7" t="s">
        <v>225</v>
      </c>
      <c r="G595" s="7" t="s">
        <v>219</v>
      </c>
      <c r="H595" s="19" t="str">
        <f t="shared" si="10"/>
        <v/>
      </c>
      <c r="I595" s="19" t="s">
        <v>37</v>
      </c>
      <c r="J595" s="7" t="s">
        <v>402</v>
      </c>
      <c r="K595" s="1"/>
      <c r="L595" s="7" t="s">
        <v>232</v>
      </c>
    </row>
    <row r="596" spans="1:12" x14ac:dyDescent="0.25">
      <c r="A596" s="1"/>
      <c r="B596" s="7" t="s">
        <v>222</v>
      </c>
      <c r="C596" s="25">
        <v>20041651</v>
      </c>
      <c r="D596" s="7" t="s">
        <v>4324</v>
      </c>
      <c r="E596" s="26">
        <v>1</v>
      </c>
      <c r="F596" s="7" t="s">
        <v>225</v>
      </c>
      <c r="G596" s="7" t="s">
        <v>219</v>
      </c>
      <c r="H596" s="19" t="str">
        <f t="shared" si="10"/>
        <v/>
      </c>
      <c r="I596" s="19" t="s">
        <v>221</v>
      </c>
      <c r="J596" s="7" t="s">
        <v>315</v>
      </c>
      <c r="K596" s="1"/>
      <c r="L596" s="7" t="s">
        <v>195</v>
      </c>
    </row>
    <row r="597" spans="1:12" x14ac:dyDescent="0.25">
      <c r="A597" s="1"/>
      <c r="B597" s="7" t="s">
        <v>222</v>
      </c>
      <c r="C597" s="25">
        <v>20041652</v>
      </c>
      <c r="D597" s="7" t="s">
        <v>4325</v>
      </c>
      <c r="E597" s="26">
        <v>1</v>
      </c>
      <c r="F597" s="7" t="s">
        <v>225</v>
      </c>
      <c r="G597" s="7" t="s">
        <v>219</v>
      </c>
      <c r="H597" s="19" t="str">
        <f t="shared" si="10"/>
        <v/>
      </c>
      <c r="I597" s="19" t="s">
        <v>221</v>
      </c>
      <c r="J597" s="7" t="s">
        <v>315</v>
      </c>
      <c r="K597" s="1"/>
      <c r="L597" s="7" t="s">
        <v>195</v>
      </c>
    </row>
    <row r="598" spans="1:12" x14ac:dyDescent="0.25">
      <c r="A598" s="1"/>
      <c r="B598" s="7" t="s">
        <v>222</v>
      </c>
      <c r="C598" s="25">
        <v>20041660</v>
      </c>
      <c r="D598" s="7" t="s">
        <v>10960</v>
      </c>
      <c r="E598" s="26">
        <v>1</v>
      </c>
      <c r="F598" s="7" t="s">
        <v>225</v>
      </c>
      <c r="G598" s="7" t="s">
        <v>219</v>
      </c>
      <c r="H598" s="19" t="str">
        <f t="shared" si="10"/>
        <v/>
      </c>
      <c r="I598" s="19" t="s">
        <v>221</v>
      </c>
      <c r="J598" s="7" t="s">
        <v>327</v>
      </c>
      <c r="K598" s="1"/>
      <c r="L598" s="7" t="s">
        <v>195</v>
      </c>
    </row>
    <row r="599" spans="1:12" x14ac:dyDescent="0.25">
      <c r="A599" s="1"/>
      <c r="B599" s="7" t="s">
        <v>222</v>
      </c>
      <c r="C599" s="25">
        <v>20041664</v>
      </c>
      <c r="D599" s="7" t="s">
        <v>4338</v>
      </c>
      <c r="E599" s="26">
        <v>1</v>
      </c>
      <c r="F599" s="7" t="s">
        <v>225</v>
      </c>
      <c r="G599" s="7" t="s">
        <v>219</v>
      </c>
      <c r="H599" s="19" t="str">
        <f t="shared" si="10"/>
        <v/>
      </c>
      <c r="I599" s="19" t="s">
        <v>221</v>
      </c>
      <c r="J599" s="7" t="s">
        <v>327</v>
      </c>
      <c r="K599" s="1"/>
      <c r="L599" s="7" t="s">
        <v>195</v>
      </c>
    </row>
    <row r="600" spans="1:12" x14ac:dyDescent="0.25">
      <c r="A600" s="1"/>
      <c r="B600" s="7" t="s">
        <v>222</v>
      </c>
      <c r="C600" s="25">
        <v>20041667</v>
      </c>
      <c r="D600" s="7" t="s">
        <v>4343</v>
      </c>
      <c r="E600" s="26">
        <v>1</v>
      </c>
      <c r="F600" s="7" t="s">
        <v>225</v>
      </c>
      <c r="G600" s="7" t="s">
        <v>219</v>
      </c>
      <c r="H600" s="19" t="str">
        <f t="shared" si="10"/>
        <v/>
      </c>
      <c r="I600" s="19" t="s">
        <v>221</v>
      </c>
      <c r="J600" s="7" t="s">
        <v>327</v>
      </c>
      <c r="K600" s="1"/>
      <c r="L600" s="7" t="s">
        <v>195</v>
      </c>
    </row>
    <row r="601" spans="1:12" x14ac:dyDescent="0.25">
      <c r="A601" s="1"/>
      <c r="B601" s="7" t="s">
        <v>222</v>
      </c>
      <c r="C601" s="25">
        <v>20041678</v>
      </c>
      <c r="D601" s="7" t="s">
        <v>4340</v>
      </c>
      <c r="E601" s="26">
        <v>1</v>
      </c>
      <c r="F601" s="7" t="s">
        <v>225</v>
      </c>
      <c r="G601" s="7" t="s">
        <v>219</v>
      </c>
      <c r="H601" s="19" t="str">
        <f t="shared" si="10"/>
        <v/>
      </c>
      <c r="I601" s="19" t="s">
        <v>221</v>
      </c>
      <c r="J601" s="7" t="s">
        <v>309</v>
      </c>
      <c r="K601" s="1"/>
      <c r="L601" s="7" t="s">
        <v>195</v>
      </c>
    </row>
    <row r="602" spans="1:12" x14ac:dyDescent="0.25">
      <c r="A602" s="1"/>
      <c r="B602" s="7" t="s">
        <v>222</v>
      </c>
      <c r="C602" s="25">
        <v>20041682</v>
      </c>
      <c r="D602" s="7" t="s">
        <v>4346</v>
      </c>
      <c r="E602" s="26">
        <v>1</v>
      </c>
      <c r="F602" s="7" t="s">
        <v>225</v>
      </c>
      <c r="G602" s="7" t="s">
        <v>219</v>
      </c>
      <c r="H602" s="19" t="str">
        <f t="shared" si="10"/>
        <v/>
      </c>
      <c r="I602" s="19" t="s">
        <v>221</v>
      </c>
      <c r="J602" s="7" t="s">
        <v>309</v>
      </c>
      <c r="K602" s="1"/>
      <c r="L602" s="7" t="s">
        <v>195</v>
      </c>
    </row>
    <row r="603" spans="1:12" x14ac:dyDescent="0.25">
      <c r="A603" s="1"/>
      <c r="B603" s="7" t="s">
        <v>222</v>
      </c>
      <c r="C603" s="25">
        <v>20041688</v>
      </c>
      <c r="D603" s="7" t="s">
        <v>4344</v>
      </c>
      <c r="E603" s="26">
        <v>1</v>
      </c>
      <c r="F603" s="7" t="s">
        <v>225</v>
      </c>
      <c r="G603" s="7" t="s">
        <v>219</v>
      </c>
      <c r="H603" s="19" t="str">
        <f t="shared" si="10"/>
        <v/>
      </c>
      <c r="I603" s="19" t="s">
        <v>221</v>
      </c>
      <c r="J603" s="7" t="s">
        <v>327</v>
      </c>
      <c r="K603" s="1"/>
      <c r="L603" s="7" t="s">
        <v>195</v>
      </c>
    </row>
    <row r="604" spans="1:12" x14ac:dyDescent="0.25">
      <c r="A604" s="1"/>
      <c r="B604" s="7" t="s">
        <v>222</v>
      </c>
      <c r="C604" s="25">
        <v>20041842</v>
      </c>
      <c r="D604" s="7" t="s">
        <v>4372</v>
      </c>
      <c r="E604" s="26">
        <v>1</v>
      </c>
      <c r="F604" s="7" t="s">
        <v>225</v>
      </c>
      <c r="G604" s="7" t="s">
        <v>219</v>
      </c>
      <c r="H604" s="19" t="str">
        <f t="shared" si="10"/>
        <v/>
      </c>
      <c r="I604" s="19" t="s">
        <v>221</v>
      </c>
      <c r="J604" s="7" t="s">
        <v>397</v>
      </c>
      <c r="K604" s="1"/>
      <c r="L604" s="7" t="s">
        <v>195</v>
      </c>
    </row>
    <row r="605" spans="1:12" x14ac:dyDescent="0.25">
      <c r="A605" s="1"/>
      <c r="B605" s="7" t="s">
        <v>222</v>
      </c>
      <c r="C605" s="25">
        <v>20041843</v>
      </c>
      <c r="D605" s="7" t="s">
        <v>4373</v>
      </c>
      <c r="E605" s="26">
        <v>1</v>
      </c>
      <c r="F605" s="7" t="s">
        <v>225</v>
      </c>
      <c r="G605" s="7" t="s">
        <v>219</v>
      </c>
      <c r="H605" s="19" t="str">
        <f t="shared" si="10"/>
        <v/>
      </c>
      <c r="I605" s="19" t="s">
        <v>221</v>
      </c>
      <c r="J605" s="7" t="s">
        <v>397</v>
      </c>
      <c r="K605" s="1"/>
      <c r="L605" s="7" t="s">
        <v>195</v>
      </c>
    </row>
    <row r="606" spans="1:12" x14ac:dyDescent="0.25">
      <c r="A606" s="1"/>
      <c r="B606" s="7" t="s">
        <v>222</v>
      </c>
      <c r="C606" s="25">
        <v>20041844</v>
      </c>
      <c r="D606" s="7" t="s">
        <v>4374</v>
      </c>
      <c r="E606" s="26">
        <v>1</v>
      </c>
      <c r="F606" s="7" t="s">
        <v>225</v>
      </c>
      <c r="G606" s="7" t="s">
        <v>219</v>
      </c>
      <c r="H606" s="19" t="str">
        <f t="shared" si="10"/>
        <v/>
      </c>
      <c r="I606" s="19" t="s">
        <v>221</v>
      </c>
      <c r="J606" s="7" t="s">
        <v>397</v>
      </c>
      <c r="K606" s="1"/>
      <c r="L606" s="7" t="s">
        <v>195</v>
      </c>
    </row>
    <row r="607" spans="1:12" x14ac:dyDescent="0.25">
      <c r="A607" s="1"/>
      <c r="B607" s="7" t="s">
        <v>222</v>
      </c>
      <c r="C607" s="25">
        <v>20041845</v>
      </c>
      <c r="D607" s="7" t="s">
        <v>4375</v>
      </c>
      <c r="E607" s="26">
        <v>1</v>
      </c>
      <c r="F607" s="7" t="s">
        <v>352</v>
      </c>
      <c r="G607" s="7" t="s">
        <v>4376</v>
      </c>
      <c r="H607" s="19" t="str">
        <f t="shared" si="10"/>
        <v/>
      </c>
      <c r="I607" s="19" t="s">
        <v>221</v>
      </c>
      <c r="J607" s="7" t="s">
        <v>397</v>
      </c>
      <c r="K607" s="1"/>
      <c r="L607" s="7" t="s">
        <v>195</v>
      </c>
    </row>
    <row r="608" spans="1:12" x14ac:dyDescent="0.25">
      <c r="A608" s="1"/>
      <c r="B608" s="7" t="s">
        <v>222</v>
      </c>
      <c r="C608" s="25">
        <v>20041846</v>
      </c>
      <c r="D608" s="7" t="s">
        <v>4377</v>
      </c>
      <c r="E608" s="26">
        <v>1</v>
      </c>
      <c r="F608" s="7" t="s">
        <v>352</v>
      </c>
      <c r="G608" s="7" t="s">
        <v>4376</v>
      </c>
      <c r="H608" s="19" t="str">
        <f t="shared" si="10"/>
        <v/>
      </c>
      <c r="I608" s="19" t="s">
        <v>221</v>
      </c>
      <c r="J608" s="7" t="s">
        <v>397</v>
      </c>
      <c r="K608" s="1"/>
      <c r="L608" s="7" t="s">
        <v>195</v>
      </c>
    </row>
    <row r="609" spans="1:12" x14ac:dyDescent="0.25">
      <c r="A609" s="1"/>
      <c r="B609" s="7" t="s">
        <v>230</v>
      </c>
      <c r="C609" s="25">
        <v>20041858</v>
      </c>
      <c r="D609" s="7" t="s">
        <v>4361</v>
      </c>
      <c r="E609" s="26">
        <v>1</v>
      </c>
      <c r="F609" s="7" t="s">
        <v>225</v>
      </c>
      <c r="G609" s="7" t="s">
        <v>219</v>
      </c>
      <c r="H609" s="19" t="str">
        <f t="shared" si="10"/>
        <v/>
      </c>
      <c r="I609" s="19" t="s">
        <v>910</v>
      </c>
      <c r="J609" s="7" t="s">
        <v>309</v>
      </c>
      <c r="K609" s="1"/>
      <c r="L609" s="7" t="s">
        <v>195</v>
      </c>
    </row>
    <row r="610" spans="1:12" x14ac:dyDescent="0.25">
      <c r="A610" s="1"/>
      <c r="B610" s="7" t="s">
        <v>230</v>
      </c>
      <c r="C610" s="25">
        <v>20041869</v>
      </c>
      <c r="D610" s="7" t="s">
        <v>4368</v>
      </c>
      <c r="E610" s="26">
        <v>1</v>
      </c>
      <c r="F610" s="7" t="s">
        <v>225</v>
      </c>
      <c r="G610" s="7" t="s">
        <v>219</v>
      </c>
      <c r="H610" s="19" t="str">
        <f t="shared" si="10"/>
        <v/>
      </c>
      <c r="I610" s="19" t="s">
        <v>910</v>
      </c>
      <c r="J610" s="7" t="s">
        <v>347</v>
      </c>
      <c r="K610" s="1"/>
      <c r="L610" s="7" t="s">
        <v>195</v>
      </c>
    </row>
    <row r="611" spans="1:12" x14ac:dyDescent="0.25">
      <c r="A611" s="1"/>
      <c r="B611" s="7" t="s">
        <v>227</v>
      </c>
      <c r="C611" s="25">
        <v>20041898</v>
      </c>
      <c r="D611" s="7" t="s">
        <v>4378</v>
      </c>
      <c r="E611" s="26">
        <v>1</v>
      </c>
      <c r="F611" s="7" t="s">
        <v>225</v>
      </c>
      <c r="G611" s="7" t="s">
        <v>219</v>
      </c>
      <c r="H611" s="19" t="str">
        <f t="shared" si="10"/>
        <v/>
      </c>
      <c r="I611" s="19" t="s">
        <v>37</v>
      </c>
      <c r="J611" s="7" t="s">
        <v>402</v>
      </c>
      <c r="K611" s="1"/>
      <c r="L611" s="7" t="s">
        <v>195</v>
      </c>
    </row>
    <row r="612" spans="1:12" x14ac:dyDescent="0.25">
      <c r="A612" s="1"/>
      <c r="B612" s="7" t="s">
        <v>230</v>
      </c>
      <c r="C612" s="25">
        <v>20041929</v>
      </c>
      <c r="D612" s="7" t="s">
        <v>4384</v>
      </c>
      <c r="E612" s="26">
        <v>1</v>
      </c>
      <c r="F612" s="7" t="s">
        <v>225</v>
      </c>
      <c r="G612" s="7" t="s">
        <v>219</v>
      </c>
      <c r="H612" s="19" t="str">
        <f t="shared" si="10"/>
        <v/>
      </c>
      <c r="I612" s="19" t="s">
        <v>910</v>
      </c>
      <c r="J612" s="7" t="s">
        <v>309</v>
      </c>
      <c r="K612" s="1"/>
      <c r="L612" s="7" t="s">
        <v>195</v>
      </c>
    </row>
    <row r="613" spans="1:12" x14ac:dyDescent="0.25">
      <c r="A613" s="1"/>
      <c r="B613" s="7" t="s">
        <v>230</v>
      </c>
      <c r="C613" s="25">
        <v>20041930</v>
      </c>
      <c r="D613" s="7" t="s">
        <v>4385</v>
      </c>
      <c r="E613" s="26">
        <v>1</v>
      </c>
      <c r="F613" s="7" t="s">
        <v>225</v>
      </c>
      <c r="G613" s="7" t="s">
        <v>219</v>
      </c>
      <c r="H613" s="19" t="str">
        <f t="shared" si="10"/>
        <v/>
      </c>
      <c r="I613" s="19" t="s">
        <v>910</v>
      </c>
      <c r="J613" s="7" t="s">
        <v>309</v>
      </c>
      <c r="K613" s="1"/>
      <c r="L613" s="7" t="s">
        <v>195</v>
      </c>
    </row>
    <row r="614" spans="1:12" x14ac:dyDescent="0.25">
      <c r="A614" s="1"/>
      <c r="B614" s="7" t="s">
        <v>230</v>
      </c>
      <c r="C614" s="25">
        <v>20041931</v>
      </c>
      <c r="D614" s="7" t="s">
        <v>4386</v>
      </c>
      <c r="E614" s="26">
        <v>1</v>
      </c>
      <c r="F614" s="7" t="s">
        <v>225</v>
      </c>
      <c r="G614" s="7" t="s">
        <v>219</v>
      </c>
      <c r="H614" s="19" t="str">
        <f t="shared" si="10"/>
        <v/>
      </c>
      <c r="I614" s="19" t="s">
        <v>910</v>
      </c>
      <c r="J614" s="7" t="s">
        <v>309</v>
      </c>
      <c r="K614" s="1"/>
      <c r="L614" s="7" t="s">
        <v>195</v>
      </c>
    </row>
    <row r="615" spans="1:12" x14ac:dyDescent="0.25">
      <c r="A615" s="1"/>
      <c r="B615" s="7" t="s">
        <v>222</v>
      </c>
      <c r="C615" s="25">
        <v>20041933</v>
      </c>
      <c r="D615" s="7" t="s">
        <v>4396</v>
      </c>
      <c r="E615" s="26">
        <v>1</v>
      </c>
      <c r="F615" s="7" t="s">
        <v>225</v>
      </c>
      <c r="G615" s="7" t="s">
        <v>219</v>
      </c>
      <c r="H615" s="19" t="str">
        <f t="shared" si="10"/>
        <v/>
      </c>
      <c r="I615" s="19" t="s">
        <v>221</v>
      </c>
      <c r="J615" s="7" t="s">
        <v>315</v>
      </c>
      <c r="K615" s="1"/>
      <c r="L615" s="7" t="s">
        <v>195</v>
      </c>
    </row>
    <row r="616" spans="1:12" x14ac:dyDescent="0.25">
      <c r="A616" s="1"/>
      <c r="B616" s="7" t="s">
        <v>222</v>
      </c>
      <c r="C616" s="25">
        <v>20041934</v>
      </c>
      <c r="D616" s="7" t="s">
        <v>4397</v>
      </c>
      <c r="E616" s="26">
        <v>1</v>
      </c>
      <c r="F616" s="7" t="s">
        <v>225</v>
      </c>
      <c r="G616" s="7" t="s">
        <v>219</v>
      </c>
      <c r="H616" s="19" t="str">
        <f t="shared" si="10"/>
        <v/>
      </c>
      <c r="I616" s="19" t="s">
        <v>221</v>
      </c>
      <c r="J616" s="7" t="s">
        <v>315</v>
      </c>
      <c r="K616" s="1"/>
      <c r="L616" s="7" t="s">
        <v>195</v>
      </c>
    </row>
    <row r="617" spans="1:12" x14ac:dyDescent="0.25">
      <c r="A617" s="1"/>
      <c r="B617" s="7" t="s">
        <v>222</v>
      </c>
      <c r="C617" s="25">
        <v>20042040</v>
      </c>
      <c r="D617" s="7" t="s">
        <v>4468</v>
      </c>
      <c r="E617" s="26">
        <v>1</v>
      </c>
      <c r="F617" s="7" t="s">
        <v>225</v>
      </c>
      <c r="G617" s="7" t="s">
        <v>219</v>
      </c>
      <c r="H617" s="19" t="str">
        <f t="shared" si="10"/>
        <v/>
      </c>
      <c r="I617" s="19" t="s">
        <v>221</v>
      </c>
      <c r="J617" s="7" t="s">
        <v>309</v>
      </c>
      <c r="K617" s="1"/>
      <c r="L617" s="7" t="s">
        <v>195</v>
      </c>
    </row>
    <row r="618" spans="1:12" x14ac:dyDescent="0.25">
      <c r="A618" s="1"/>
      <c r="B618" s="7" t="s">
        <v>222</v>
      </c>
      <c r="C618" s="25">
        <v>20042042</v>
      </c>
      <c r="D618" s="7" t="s">
        <v>4470</v>
      </c>
      <c r="E618" s="26">
        <v>1</v>
      </c>
      <c r="F618" s="7" t="s">
        <v>225</v>
      </c>
      <c r="G618" s="7" t="s">
        <v>219</v>
      </c>
      <c r="H618" s="19" t="str">
        <f t="shared" si="10"/>
        <v/>
      </c>
      <c r="I618" s="19" t="s">
        <v>221</v>
      </c>
      <c r="J618" s="7" t="s">
        <v>309</v>
      </c>
      <c r="K618" s="1"/>
      <c r="L618" s="7" t="s">
        <v>195</v>
      </c>
    </row>
    <row r="619" spans="1:12" x14ac:dyDescent="0.25">
      <c r="A619" s="1"/>
      <c r="B619" s="7" t="s">
        <v>222</v>
      </c>
      <c r="C619" s="25">
        <v>20042043</v>
      </c>
      <c r="D619" s="7" t="s">
        <v>4471</v>
      </c>
      <c r="E619" s="26">
        <v>1</v>
      </c>
      <c r="F619" s="7" t="s">
        <v>225</v>
      </c>
      <c r="G619" s="7" t="s">
        <v>219</v>
      </c>
      <c r="H619" s="19" t="str">
        <f t="shared" si="10"/>
        <v/>
      </c>
      <c r="I619" s="19" t="s">
        <v>221</v>
      </c>
      <c r="J619" s="7" t="s">
        <v>309</v>
      </c>
      <c r="K619" s="1"/>
      <c r="L619" s="7" t="s">
        <v>195</v>
      </c>
    </row>
    <row r="620" spans="1:12" x14ac:dyDescent="0.25">
      <c r="A620" s="1"/>
      <c r="B620" s="7" t="s">
        <v>222</v>
      </c>
      <c r="C620" s="25">
        <v>20042090</v>
      </c>
      <c r="D620" s="7" t="s">
        <v>4472</v>
      </c>
      <c r="E620" s="26">
        <v>1</v>
      </c>
      <c r="F620" s="7" t="s">
        <v>225</v>
      </c>
      <c r="G620" s="7" t="s">
        <v>219</v>
      </c>
      <c r="H620" s="19" t="str">
        <f t="shared" si="10"/>
        <v/>
      </c>
      <c r="I620" s="19" t="s">
        <v>221</v>
      </c>
      <c r="J620" s="7" t="s">
        <v>309</v>
      </c>
      <c r="K620" s="1"/>
      <c r="L620" s="7" t="s">
        <v>195</v>
      </c>
    </row>
    <row r="621" spans="1:12" x14ac:dyDescent="0.25">
      <c r="A621" s="1"/>
      <c r="B621" s="7" t="s">
        <v>222</v>
      </c>
      <c r="C621" s="25">
        <v>20042091</v>
      </c>
      <c r="D621" s="7" t="s">
        <v>4473</v>
      </c>
      <c r="E621" s="26">
        <v>1</v>
      </c>
      <c r="F621" s="7" t="s">
        <v>225</v>
      </c>
      <c r="G621" s="7" t="s">
        <v>219</v>
      </c>
      <c r="H621" s="19" t="str">
        <f t="shared" si="10"/>
        <v/>
      </c>
      <c r="I621" s="19" t="s">
        <v>221</v>
      </c>
      <c r="J621" s="7" t="s">
        <v>309</v>
      </c>
      <c r="K621" s="1"/>
      <c r="L621" s="7" t="s">
        <v>195</v>
      </c>
    </row>
    <row r="622" spans="1:12" x14ac:dyDescent="0.25">
      <c r="A622" s="1"/>
      <c r="B622" s="7" t="s">
        <v>222</v>
      </c>
      <c r="C622" s="25">
        <v>20042092</v>
      </c>
      <c r="D622" s="7" t="s">
        <v>4474</v>
      </c>
      <c r="E622" s="26">
        <v>1</v>
      </c>
      <c r="F622" s="7" t="s">
        <v>225</v>
      </c>
      <c r="G622" s="7" t="s">
        <v>219</v>
      </c>
      <c r="H622" s="19" t="str">
        <f t="shared" si="10"/>
        <v/>
      </c>
      <c r="I622" s="19" t="s">
        <v>221</v>
      </c>
      <c r="J622" s="7" t="s">
        <v>309</v>
      </c>
      <c r="K622" s="1"/>
      <c r="L622" s="7" t="s">
        <v>195</v>
      </c>
    </row>
    <row r="623" spans="1:12" x14ac:dyDescent="0.25">
      <c r="A623" s="1"/>
      <c r="B623" s="7" t="s">
        <v>222</v>
      </c>
      <c r="C623" s="25">
        <v>20042093</v>
      </c>
      <c r="D623" s="7" t="s">
        <v>4475</v>
      </c>
      <c r="E623" s="26">
        <v>1</v>
      </c>
      <c r="F623" s="7" t="s">
        <v>225</v>
      </c>
      <c r="G623" s="7" t="s">
        <v>219</v>
      </c>
      <c r="H623" s="19" t="str">
        <f t="shared" si="10"/>
        <v/>
      </c>
      <c r="I623" s="19" t="s">
        <v>221</v>
      </c>
      <c r="J623" s="7" t="s">
        <v>309</v>
      </c>
      <c r="K623" s="1"/>
      <c r="L623" s="7" t="s">
        <v>195</v>
      </c>
    </row>
    <row r="624" spans="1:12" x14ac:dyDescent="0.25">
      <c r="A624" s="1"/>
      <c r="B624" s="7" t="s">
        <v>230</v>
      </c>
      <c r="C624" s="25">
        <v>20042170</v>
      </c>
      <c r="D624" s="7" t="s">
        <v>4482</v>
      </c>
      <c r="E624" s="26">
        <v>1</v>
      </c>
      <c r="F624" s="7" t="s">
        <v>225</v>
      </c>
      <c r="G624" s="7" t="s">
        <v>219</v>
      </c>
      <c r="H624" s="19" t="str">
        <f t="shared" si="10"/>
        <v/>
      </c>
      <c r="I624" s="19" t="s">
        <v>910</v>
      </c>
      <c r="J624" s="7" t="s">
        <v>397</v>
      </c>
      <c r="K624" s="1"/>
      <c r="L624" s="7" t="s">
        <v>195</v>
      </c>
    </row>
    <row r="625" spans="1:12" x14ac:dyDescent="0.25">
      <c r="A625" s="1"/>
      <c r="B625" s="7" t="s">
        <v>230</v>
      </c>
      <c r="C625" s="25">
        <v>20042171</v>
      </c>
      <c r="D625" s="7" t="s">
        <v>4483</v>
      </c>
      <c r="E625" s="26">
        <v>1</v>
      </c>
      <c r="F625" s="7" t="s">
        <v>225</v>
      </c>
      <c r="G625" s="7" t="s">
        <v>219</v>
      </c>
      <c r="H625" s="19" t="str">
        <f t="shared" si="10"/>
        <v/>
      </c>
      <c r="I625" s="19" t="s">
        <v>910</v>
      </c>
      <c r="J625" s="7" t="s">
        <v>397</v>
      </c>
      <c r="K625" s="1"/>
      <c r="L625" s="7" t="s">
        <v>195</v>
      </c>
    </row>
    <row r="626" spans="1:12" x14ac:dyDescent="0.25">
      <c r="A626" s="1"/>
      <c r="B626" s="7" t="s">
        <v>230</v>
      </c>
      <c r="C626" s="25">
        <v>20042172</v>
      </c>
      <c r="D626" s="7" t="s">
        <v>4484</v>
      </c>
      <c r="E626" s="26">
        <v>1</v>
      </c>
      <c r="F626" s="7" t="s">
        <v>225</v>
      </c>
      <c r="G626" s="7" t="s">
        <v>219</v>
      </c>
      <c r="H626" s="19" t="str">
        <f t="shared" si="10"/>
        <v/>
      </c>
      <c r="I626" s="19" t="s">
        <v>910</v>
      </c>
      <c r="J626" s="7" t="s">
        <v>397</v>
      </c>
      <c r="K626" s="1"/>
      <c r="L626" s="7" t="s">
        <v>195</v>
      </c>
    </row>
    <row r="627" spans="1:12" x14ac:dyDescent="0.25">
      <c r="A627" s="1"/>
      <c r="B627" s="7" t="s">
        <v>230</v>
      </c>
      <c r="C627" s="25">
        <v>20042173</v>
      </c>
      <c r="D627" s="7" t="s">
        <v>4485</v>
      </c>
      <c r="E627" s="26">
        <v>1</v>
      </c>
      <c r="F627" s="7" t="s">
        <v>225</v>
      </c>
      <c r="G627" s="7" t="s">
        <v>219</v>
      </c>
      <c r="H627" s="19" t="str">
        <f t="shared" si="10"/>
        <v/>
      </c>
      <c r="I627" s="19" t="s">
        <v>910</v>
      </c>
      <c r="J627" s="7" t="s">
        <v>397</v>
      </c>
      <c r="K627" s="1"/>
      <c r="L627" s="7" t="s">
        <v>195</v>
      </c>
    </row>
    <row r="628" spans="1:12" x14ac:dyDescent="0.25">
      <c r="A628" s="1"/>
      <c r="B628" s="7" t="s">
        <v>222</v>
      </c>
      <c r="C628" s="25">
        <v>20042277</v>
      </c>
      <c r="D628" s="7" t="s">
        <v>4502</v>
      </c>
      <c r="E628" s="26">
        <v>1</v>
      </c>
      <c r="F628" s="7" t="s">
        <v>225</v>
      </c>
      <c r="G628" s="7" t="s">
        <v>219</v>
      </c>
      <c r="H628" s="19" t="str">
        <f t="shared" si="10"/>
        <v/>
      </c>
      <c r="I628" s="19" t="s">
        <v>221</v>
      </c>
      <c r="J628" s="7" t="s">
        <v>397</v>
      </c>
      <c r="K628" s="1"/>
      <c r="L628" s="7" t="s">
        <v>195</v>
      </c>
    </row>
    <row r="629" spans="1:12" x14ac:dyDescent="0.25">
      <c r="A629" s="1"/>
      <c r="B629" s="7" t="s">
        <v>230</v>
      </c>
      <c r="C629" s="25">
        <v>20042290</v>
      </c>
      <c r="D629" s="7" t="s">
        <v>4509</v>
      </c>
      <c r="E629" s="26">
        <v>1</v>
      </c>
      <c r="F629" s="7" t="s">
        <v>225</v>
      </c>
      <c r="G629" s="7" t="s">
        <v>219</v>
      </c>
      <c r="H629" s="19" t="str">
        <f t="shared" si="10"/>
        <v/>
      </c>
      <c r="I629" s="19" t="s">
        <v>910</v>
      </c>
      <c r="J629" s="7" t="s">
        <v>397</v>
      </c>
      <c r="K629" s="1"/>
      <c r="L629" s="7" t="s">
        <v>195</v>
      </c>
    </row>
    <row r="630" spans="1:12" x14ac:dyDescent="0.25">
      <c r="A630" s="1"/>
      <c r="B630" s="7" t="s">
        <v>222</v>
      </c>
      <c r="C630" s="25">
        <v>20042466</v>
      </c>
      <c r="D630" s="7" t="s">
        <v>4531</v>
      </c>
      <c r="E630" s="26">
        <v>1</v>
      </c>
      <c r="F630" s="7" t="s">
        <v>225</v>
      </c>
      <c r="G630" s="7" t="s">
        <v>219</v>
      </c>
      <c r="H630" s="19" t="str">
        <f t="shared" si="10"/>
        <v/>
      </c>
      <c r="I630" s="19" t="s">
        <v>221</v>
      </c>
      <c r="J630" s="7" t="s">
        <v>327</v>
      </c>
      <c r="K630" s="1"/>
      <c r="L630" s="7" t="s">
        <v>195</v>
      </c>
    </row>
    <row r="631" spans="1:12" x14ac:dyDescent="0.25">
      <c r="A631" s="1"/>
      <c r="B631" s="7" t="s">
        <v>229</v>
      </c>
      <c r="C631" s="25">
        <v>20042467</v>
      </c>
      <c r="D631" s="7" t="s">
        <v>4532</v>
      </c>
      <c r="E631" s="26">
        <v>1</v>
      </c>
      <c r="F631" s="7" t="s">
        <v>225</v>
      </c>
      <c r="G631" s="7" t="s">
        <v>219</v>
      </c>
      <c r="H631" s="19" t="str">
        <f t="shared" si="10"/>
        <v/>
      </c>
      <c r="I631" s="19" t="s">
        <v>306</v>
      </c>
      <c r="J631" s="7" t="s">
        <v>246</v>
      </c>
      <c r="K631" s="1"/>
      <c r="L631" s="7" t="s">
        <v>195</v>
      </c>
    </row>
    <row r="632" spans="1:12" x14ac:dyDescent="0.25">
      <c r="A632" s="1"/>
      <c r="B632" s="7" t="s">
        <v>222</v>
      </c>
      <c r="C632" s="25">
        <v>20042523</v>
      </c>
      <c r="D632" s="7" t="s">
        <v>4538</v>
      </c>
      <c r="E632" s="26">
        <v>1</v>
      </c>
      <c r="F632" s="7" t="s">
        <v>225</v>
      </c>
      <c r="G632" s="7" t="s">
        <v>219</v>
      </c>
      <c r="H632" s="19" t="str">
        <f t="shared" si="10"/>
        <v/>
      </c>
      <c r="I632" s="19" t="s">
        <v>221</v>
      </c>
      <c r="J632" s="7" t="s">
        <v>347</v>
      </c>
      <c r="K632" s="1"/>
      <c r="L632" s="7" t="s">
        <v>195</v>
      </c>
    </row>
    <row r="633" spans="1:12" x14ac:dyDescent="0.25">
      <c r="A633" s="1"/>
      <c r="B633" s="7" t="s">
        <v>222</v>
      </c>
      <c r="C633" s="25">
        <v>20042547</v>
      </c>
      <c r="D633" s="7" t="s">
        <v>4584</v>
      </c>
      <c r="E633" s="26">
        <v>1</v>
      </c>
      <c r="F633" s="7" t="s">
        <v>225</v>
      </c>
      <c r="G633" s="7" t="s">
        <v>219</v>
      </c>
      <c r="H633" s="19" t="str">
        <f t="shared" si="10"/>
        <v/>
      </c>
      <c r="I633" s="19" t="s">
        <v>221</v>
      </c>
      <c r="J633" s="7" t="s">
        <v>345</v>
      </c>
      <c r="K633" s="1"/>
      <c r="L633" s="7" t="s">
        <v>195</v>
      </c>
    </row>
    <row r="634" spans="1:12" x14ac:dyDescent="0.25">
      <c r="A634" s="1"/>
      <c r="B634" s="7" t="s">
        <v>230</v>
      </c>
      <c r="C634" s="25">
        <v>20042568</v>
      </c>
      <c r="D634" s="7" t="s">
        <v>4572</v>
      </c>
      <c r="E634" s="26">
        <v>1</v>
      </c>
      <c r="F634" s="7" t="s">
        <v>225</v>
      </c>
      <c r="G634" s="7" t="s">
        <v>219</v>
      </c>
      <c r="H634" s="19" t="str">
        <f t="shared" si="10"/>
        <v/>
      </c>
      <c r="I634" s="19" t="s">
        <v>910</v>
      </c>
      <c r="J634" s="7" t="s">
        <v>309</v>
      </c>
      <c r="K634" s="1"/>
      <c r="L634" s="7" t="s">
        <v>195</v>
      </c>
    </row>
    <row r="635" spans="1:12" x14ac:dyDescent="0.25">
      <c r="A635" s="1"/>
      <c r="B635" s="7" t="s">
        <v>222</v>
      </c>
      <c r="C635" s="25">
        <v>20042569</v>
      </c>
      <c r="D635" s="7" t="s">
        <v>4589</v>
      </c>
      <c r="E635" s="26">
        <v>1</v>
      </c>
      <c r="F635" s="7" t="s">
        <v>225</v>
      </c>
      <c r="G635" s="7" t="s">
        <v>219</v>
      </c>
      <c r="H635" s="19" t="str">
        <f t="shared" si="10"/>
        <v/>
      </c>
      <c r="I635" s="19" t="s">
        <v>221</v>
      </c>
      <c r="J635" s="7" t="s">
        <v>311</v>
      </c>
      <c r="K635" s="1"/>
      <c r="L635" s="7" t="s">
        <v>195</v>
      </c>
    </row>
    <row r="636" spans="1:12" x14ac:dyDescent="0.25">
      <c r="A636" s="1"/>
      <c r="B636" s="7" t="s">
        <v>230</v>
      </c>
      <c r="C636" s="25">
        <v>20042619</v>
      </c>
      <c r="D636" s="7" t="s">
        <v>4592</v>
      </c>
      <c r="E636" s="26">
        <v>1</v>
      </c>
      <c r="F636" s="7" t="s">
        <v>225</v>
      </c>
      <c r="G636" s="7" t="s">
        <v>219</v>
      </c>
      <c r="H636" s="19" t="str">
        <f t="shared" si="10"/>
        <v/>
      </c>
      <c r="I636" s="19" t="s">
        <v>910</v>
      </c>
      <c r="J636" s="7" t="s">
        <v>309</v>
      </c>
      <c r="K636" s="1"/>
      <c r="L636" s="7" t="s">
        <v>195</v>
      </c>
    </row>
    <row r="637" spans="1:12" x14ac:dyDescent="0.25">
      <c r="A637" s="1"/>
      <c r="B637" s="7" t="s">
        <v>230</v>
      </c>
      <c r="C637" s="25">
        <v>20042654</v>
      </c>
      <c r="D637" s="7" t="s">
        <v>4599</v>
      </c>
      <c r="E637" s="26">
        <v>1</v>
      </c>
      <c r="F637" s="7" t="s">
        <v>225</v>
      </c>
      <c r="G637" s="7" t="s">
        <v>219</v>
      </c>
      <c r="H637" s="19" t="str">
        <f t="shared" si="10"/>
        <v/>
      </c>
      <c r="I637" s="19" t="s">
        <v>910</v>
      </c>
      <c r="J637" s="7" t="s">
        <v>309</v>
      </c>
      <c r="K637" s="1"/>
      <c r="L637" s="7" t="s">
        <v>195</v>
      </c>
    </row>
    <row r="638" spans="1:12" x14ac:dyDescent="0.25">
      <c r="A638" s="1"/>
      <c r="B638" s="7" t="s">
        <v>222</v>
      </c>
      <c r="C638" s="25">
        <v>20042675</v>
      </c>
      <c r="D638" s="7" t="s">
        <v>4640</v>
      </c>
      <c r="E638" s="26">
        <v>1</v>
      </c>
      <c r="F638" s="7" t="s">
        <v>225</v>
      </c>
      <c r="G638" s="7" t="s">
        <v>219</v>
      </c>
      <c r="H638" s="19" t="str">
        <f t="shared" si="10"/>
        <v/>
      </c>
      <c r="I638" s="19" t="s">
        <v>221</v>
      </c>
      <c r="J638" s="7" t="s">
        <v>440</v>
      </c>
      <c r="K638" s="1"/>
      <c r="L638" s="7" t="s">
        <v>195</v>
      </c>
    </row>
    <row r="639" spans="1:12" x14ac:dyDescent="0.25">
      <c r="A639" s="1"/>
      <c r="B639" s="7" t="s">
        <v>222</v>
      </c>
      <c r="C639" s="25">
        <v>20042684</v>
      </c>
      <c r="D639" s="7" t="s">
        <v>4606</v>
      </c>
      <c r="E639" s="26">
        <v>1</v>
      </c>
      <c r="F639" s="7" t="s">
        <v>225</v>
      </c>
      <c r="G639" s="7" t="s">
        <v>219</v>
      </c>
      <c r="H639" s="19" t="str">
        <f t="shared" si="10"/>
        <v/>
      </c>
      <c r="I639" s="19" t="s">
        <v>221</v>
      </c>
      <c r="J639" s="7" t="s">
        <v>1184</v>
      </c>
      <c r="K639" s="1"/>
      <c r="L639" s="7" t="s">
        <v>195</v>
      </c>
    </row>
    <row r="640" spans="1:12" x14ac:dyDescent="0.25">
      <c r="A640" s="1"/>
      <c r="B640" s="7" t="s">
        <v>222</v>
      </c>
      <c r="C640" s="25">
        <v>20042685</v>
      </c>
      <c r="D640" s="7" t="s">
        <v>4607</v>
      </c>
      <c r="E640" s="26">
        <v>1</v>
      </c>
      <c r="F640" s="7" t="s">
        <v>225</v>
      </c>
      <c r="G640" s="7" t="s">
        <v>219</v>
      </c>
      <c r="H640" s="19" t="str">
        <f t="shared" si="10"/>
        <v/>
      </c>
      <c r="I640" s="19" t="s">
        <v>221</v>
      </c>
      <c r="J640" s="7" t="s">
        <v>1184</v>
      </c>
      <c r="K640" s="1"/>
      <c r="L640" s="7" t="s">
        <v>195</v>
      </c>
    </row>
    <row r="641" spans="1:12" x14ac:dyDescent="0.25">
      <c r="A641" s="1"/>
      <c r="B641" s="7" t="s">
        <v>230</v>
      </c>
      <c r="C641" s="25">
        <v>20042700</v>
      </c>
      <c r="D641" s="7" t="s">
        <v>4610</v>
      </c>
      <c r="E641" s="26">
        <v>1</v>
      </c>
      <c r="F641" s="7" t="s">
        <v>225</v>
      </c>
      <c r="G641" s="7" t="s">
        <v>219</v>
      </c>
      <c r="H641" s="19" t="str">
        <f t="shared" si="10"/>
        <v/>
      </c>
      <c r="I641" s="19" t="s">
        <v>910</v>
      </c>
      <c r="J641" s="7" t="s">
        <v>440</v>
      </c>
      <c r="K641" s="1"/>
      <c r="L641" s="7" t="s">
        <v>195</v>
      </c>
    </row>
    <row r="642" spans="1:12" x14ac:dyDescent="0.25">
      <c r="A642" s="1"/>
      <c r="B642" s="7" t="s">
        <v>230</v>
      </c>
      <c r="C642" s="25">
        <v>20042706</v>
      </c>
      <c r="D642" s="7" t="s">
        <v>4641</v>
      </c>
      <c r="E642" s="26">
        <v>1</v>
      </c>
      <c r="F642" s="7" t="s">
        <v>225</v>
      </c>
      <c r="G642" s="7" t="s">
        <v>219</v>
      </c>
      <c r="H642" s="19" t="str">
        <f t="shared" si="10"/>
        <v/>
      </c>
      <c r="I642" s="19" t="s">
        <v>910</v>
      </c>
      <c r="J642" s="7" t="s">
        <v>440</v>
      </c>
      <c r="K642" s="1"/>
      <c r="L642" s="7" t="s">
        <v>195</v>
      </c>
    </row>
    <row r="643" spans="1:12" x14ac:dyDescent="0.25">
      <c r="A643" s="1"/>
      <c r="B643" s="7" t="s">
        <v>230</v>
      </c>
      <c r="C643" s="25">
        <v>20042707</v>
      </c>
      <c r="D643" s="7" t="s">
        <v>4642</v>
      </c>
      <c r="E643" s="26">
        <v>1</v>
      </c>
      <c r="F643" s="7" t="s">
        <v>225</v>
      </c>
      <c r="G643" s="7" t="s">
        <v>219</v>
      </c>
      <c r="H643" s="19" t="str">
        <f t="shared" si="10"/>
        <v/>
      </c>
      <c r="I643" s="19" t="s">
        <v>910</v>
      </c>
      <c r="J643" s="7" t="s">
        <v>440</v>
      </c>
      <c r="K643" s="1"/>
      <c r="L643" s="7" t="s">
        <v>195</v>
      </c>
    </row>
    <row r="644" spans="1:12" x14ac:dyDescent="0.25">
      <c r="A644" s="1"/>
      <c r="B644" s="7" t="s">
        <v>230</v>
      </c>
      <c r="C644" s="25">
        <v>20042708</v>
      </c>
      <c r="D644" s="7" t="s">
        <v>4611</v>
      </c>
      <c r="E644" s="26">
        <v>1</v>
      </c>
      <c r="F644" s="7" t="s">
        <v>225</v>
      </c>
      <c r="G644" s="7" t="s">
        <v>219</v>
      </c>
      <c r="H644" s="19" t="str">
        <f t="shared" si="10"/>
        <v/>
      </c>
      <c r="I644" s="19" t="s">
        <v>910</v>
      </c>
      <c r="J644" s="7" t="s">
        <v>397</v>
      </c>
      <c r="K644" s="1"/>
      <c r="L644" s="7" t="s">
        <v>195</v>
      </c>
    </row>
    <row r="645" spans="1:12" x14ac:dyDescent="0.25">
      <c r="A645" s="1"/>
      <c r="B645" s="7" t="s">
        <v>230</v>
      </c>
      <c r="C645" s="25">
        <v>20042710</v>
      </c>
      <c r="D645" s="7" t="s">
        <v>4612</v>
      </c>
      <c r="E645" s="26">
        <v>1</v>
      </c>
      <c r="F645" s="7" t="s">
        <v>225</v>
      </c>
      <c r="G645" s="7" t="s">
        <v>219</v>
      </c>
      <c r="H645" s="19" t="str">
        <f t="shared" si="10"/>
        <v/>
      </c>
      <c r="I645" s="19" t="s">
        <v>910</v>
      </c>
      <c r="J645" s="7" t="s">
        <v>397</v>
      </c>
      <c r="K645" s="1"/>
      <c r="L645" s="7" t="s">
        <v>195</v>
      </c>
    </row>
    <row r="646" spans="1:12" x14ac:dyDescent="0.25">
      <c r="A646" s="1"/>
      <c r="B646" s="7" t="s">
        <v>230</v>
      </c>
      <c r="C646" s="25">
        <v>20042711</v>
      </c>
      <c r="D646" s="7" t="s">
        <v>4613</v>
      </c>
      <c r="E646" s="26">
        <v>1</v>
      </c>
      <c r="F646" s="7" t="s">
        <v>225</v>
      </c>
      <c r="G646" s="7" t="s">
        <v>219</v>
      </c>
      <c r="H646" s="19" t="str">
        <f t="shared" si="10"/>
        <v/>
      </c>
      <c r="I646" s="19" t="s">
        <v>910</v>
      </c>
      <c r="J646" s="7" t="s">
        <v>397</v>
      </c>
      <c r="K646" s="1"/>
      <c r="L646" s="7" t="s">
        <v>195</v>
      </c>
    </row>
    <row r="647" spans="1:12" x14ac:dyDescent="0.25">
      <c r="A647" s="1"/>
      <c r="B647" s="7" t="s">
        <v>230</v>
      </c>
      <c r="C647" s="25">
        <v>20042712</v>
      </c>
      <c r="D647" s="7" t="s">
        <v>4614</v>
      </c>
      <c r="E647" s="26">
        <v>1</v>
      </c>
      <c r="F647" s="7" t="s">
        <v>225</v>
      </c>
      <c r="G647" s="7" t="s">
        <v>219</v>
      </c>
      <c r="H647" s="19" t="str">
        <f t="shared" si="10"/>
        <v/>
      </c>
      <c r="I647" s="19" t="s">
        <v>910</v>
      </c>
      <c r="J647" s="7" t="s">
        <v>397</v>
      </c>
      <c r="K647" s="1"/>
      <c r="L647" s="7" t="s">
        <v>195</v>
      </c>
    </row>
    <row r="648" spans="1:12" x14ac:dyDescent="0.25">
      <c r="A648" s="1"/>
      <c r="B648" s="7" t="s">
        <v>230</v>
      </c>
      <c r="C648" s="25">
        <v>20042713</v>
      </c>
      <c r="D648" s="7" t="s">
        <v>4615</v>
      </c>
      <c r="E648" s="26">
        <v>1</v>
      </c>
      <c r="F648" s="7" t="s">
        <v>225</v>
      </c>
      <c r="G648" s="7" t="s">
        <v>219</v>
      </c>
      <c r="H648" s="19" t="str">
        <f t="shared" si="10"/>
        <v/>
      </c>
      <c r="I648" s="19" t="s">
        <v>910</v>
      </c>
      <c r="J648" s="7" t="s">
        <v>397</v>
      </c>
      <c r="K648" s="1"/>
      <c r="L648" s="7" t="s">
        <v>195</v>
      </c>
    </row>
    <row r="649" spans="1:12" x14ac:dyDescent="0.25">
      <c r="A649" s="1"/>
      <c r="B649" s="7" t="s">
        <v>230</v>
      </c>
      <c r="C649" s="25">
        <v>20042714</v>
      </c>
      <c r="D649" s="7" t="s">
        <v>4616</v>
      </c>
      <c r="E649" s="26">
        <v>1</v>
      </c>
      <c r="F649" s="7" t="s">
        <v>225</v>
      </c>
      <c r="G649" s="7" t="s">
        <v>219</v>
      </c>
      <c r="H649" s="19" t="str">
        <f t="shared" si="10"/>
        <v/>
      </c>
      <c r="I649" s="19" t="s">
        <v>910</v>
      </c>
      <c r="J649" s="7" t="s">
        <v>397</v>
      </c>
      <c r="K649" s="1"/>
      <c r="L649" s="7" t="s">
        <v>195</v>
      </c>
    </row>
    <row r="650" spans="1:12" x14ac:dyDescent="0.25">
      <c r="A650" s="1"/>
      <c r="B650" s="7" t="s">
        <v>230</v>
      </c>
      <c r="C650" s="25">
        <v>20042715</v>
      </c>
      <c r="D650" s="7" t="s">
        <v>4617</v>
      </c>
      <c r="E650" s="26">
        <v>1</v>
      </c>
      <c r="F650" s="7" t="s">
        <v>225</v>
      </c>
      <c r="G650" s="7" t="s">
        <v>219</v>
      </c>
      <c r="H650" s="19" t="str">
        <f t="shared" si="10"/>
        <v/>
      </c>
      <c r="I650" s="19" t="s">
        <v>910</v>
      </c>
      <c r="J650" s="7" t="s">
        <v>397</v>
      </c>
      <c r="K650" s="1"/>
      <c r="L650" s="7" t="s">
        <v>195</v>
      </c>
    </row>
    <row r="651" spans="1:12" x14ac:dyDescent="0.25">
      <c r="A651" s="1"/>
      <c r="B651" s="7" t="s">
        <v>230</v>
      </c>
      <c r="C651" s="25">
        <v>20042716</v>
      </c>
      <c r="D651" s="7" t="s">
        <v>4618</v>
      </c>
      <c r="E651" s="26">
        <v>1</v>
      </c>
      <c r="F651" s="7" t="s">
        <v>225</v>
      </c>
      <c r="G651" s="7" t="s">
        <v>219</v>
      </c>
      <c r="H651" s="19" t="str">
        <f t="shared" si="10"/>
        <v/>
      </c>
      <c r="I651" s="19" t="s">
        <v>910</v>
      </c>
      <c r="J651" s="7" t="s">
        <v>397</v>
      </c>
      <c r="K651" s="1"/>
      <c r="L651" s="7" t="s">
        <v>195</v>
      </c>
    </row>
    <row r="652" spans="1:12" x14ac:dyDescent="0.25">
      <c r="A652" s="1"/>
      <c r="B652" s="7" t="s">
        <v>230</v>
      </c>
      <c r="C652" s="25">
        <v>20042739</v>
      </c>
      <c r="D652" s="7" t="s">
        <v>4643</v>
      </c>
      <c r="E652" s="26">
        <v>1</v>
      </c>
      <c r="F652" s="7" t="s">
        <v>225</v>
      </c>
      <c r="G652" s="7" t="s">
        <v>219</v>
      </c>
      <c r="H652" s="19" t="str">
        <f t="shared" si="10"/>
        <v/>
      </c>
      <c r="I652" s="19" t="s">
        <v>910</v>
      </c>
      <c r="J652" s="7" t="s">
        <v>347</v>
      </c>
      <c r="K652" s="1"/>
      <c r="L652" s="7" t="s">
        <v>195</v>
      </c>
    </row>
    <row r="653" spans="1:12" x14ac:dyDescent="0.25">
      <c r="A653" s="1"/>
      <c r="B653" s="7" t="s">
        <v>222</v>
      </c>
      <c r="C653" s="25">
        <v>20042791</v>
      </c>
      <c r="D653" s="7" t="s">
        <v>4659</v>
      </c>
      <c r="E653" s="26">
        <v>1</v>
      </c>
      <c r="F653" s="7" t="s">
        <v>225</v>
      </c>
      <c r="G653" s="7" t="s">
        <v>219</v>
      </c>
      <c r="H653" s="19" t="str">
        <f t="shared" si="10"/>
        <v/>
      </c>
      <c r="I653" s="19" t="s">
        <v>221</v>
      </c>
      <c r="J653" s="7" t="s">
        <v>313</v>
      </c>
      <c r="K653" s="1"/>
      <c r="L653" s="7" t="s">
        <v>195</v>
      </c>
    </row>
    <row r="654" spans="1:12" x14ac:dyDescent="0.25">
      <c r="A654" s="1"/>
      <c r="B654" s="7" t="s">
        <v>222</v>
      </c>
      <c r="C654" s="25">
        <v>20042796</v>
      </c>
      <c r="D654" s="7" t="s">
        <v>4662</v>
      </c>
      <c r="E654" s="26">
        <v>1</v>
      </c>
      <c r="F654" s="7" t="s">
        <v>225</v>
      </c>
      <c r="G654" s="7" t="s">
        <v>219</v>
      </c>
      <c r="H654" s="19" t="str">
        <f t="shared" si="10"/>
        <v/>
      </c>
      <c r="I654" s="19" t="s">
        <v>221</v>
      </c>
      <c r="J654" s="7" t="s">
        <v>347</v>
      </c>
      <c r="K654" s="1"/>
      <c r="L654" s="7" t="s">
        <v>195</v>
      </c>
    </row>
    <row r="655" spans="1:12" x14ac:dyDescent="0.25">
      <c r="A655" s="1"/>
      <c r="B655" s="7" t="s">
        <v>222</v>
      </c>
      <c r="C655" s="25">
        <v>20042797</v>
      </c>
      <c r="D655" s="7" t="s">
        <v>4663</v>
      </c>
      <c r="E655" s="26">
        <v>1</v>
      </c>
      <c r="F655" s="7" t="s">
        <v>225</v>
      </c>
      <c r="G655" s="7" t="s">
        <v>219</v>
      </c>
      <c r="H655" s="19" t="str">
        <f t="shared" ref="H655:H718" si="11">IF(A655="", "", A655*E655)</f>
        <v/>
      </c>
      <c r="I655" s="19" t="s">
        <v>221</v>
      </c>
      <c r="J655" s="7" t="s">
        <v>347</v>
      </c>
      <c r="K655" s="1"/>
      <c r="L655" s="7" t="s">
        <v>195</v>
      </c>
    </row>
    <row r="656" spans="1:12" x14ac:dyDescent="0.25">
      <c r="A656" s="1"/>
      <c r="B656" s="7" t="s">
        <v>222</v>
      </c>
      <c r="C656" s="25">
        <v>20042844</v>
      </c>
      <c r="D656" s="7" t="s">
        <v>4680</v>
      </c>
      <c r="E656" s="26">
        <v>1</v>
      </c>
      <c r="F656" s="7" t="s">
        <v>225</v>
      </c>
      <c r="G656" s="7" t="s">
        <v>219</v>
      </c>
      <c r="H656" s="19" t="str">
        <f t="shared" si="11"/>
        <v/>
      </c>
      <c r="I656" s="19" t="s">
        <v>221</v>
      </c>
      <c r="J656" s="7" t="s">
        <v>315</v>
      </c>
      <c r="K656" s="1"/>
      <c r="L656" s="7" t="s">
        <v>195</v>
      </c>
    </row>
    <row r="657" spans="1:12" x14ac:dyDescent="0.25">
      <c r="A657" s="1"/>
      <c r="B657" s="7" t="s">
        <v>222</v>
      </c>
      <c r="C657" s="25">
        <v>20042850</v>
      </c>
      <c r="D657" s="7" t="s">
        <v>4682</v>
      </c>
      <c r="E657" s="26">
        <v>1</v>
      </c>
      <c r="F657" s="7" t="s">
        <v>225</v>
      </c>
      <c r="G657" s="7" t="s">
        <v>219</v>
      </c>
      <c r="H657" s="19" t="str">
        <f t="shared" si="11"/>
        <v/>
      </c>
      <c r="I657" s="19" t="s">
        <v>221</v>
      </c>
      <c r="J657" s="7" t="s">
        <v>327</v>
      </c>
      <c r="K657" s="1"/>
      <c r="L657" s="7" t="s">
        <v>195</v>
      </c>
    </row>
    <row r="658" spans="1:12" x14ac:dyDescent="0.25">
      <c r="A658" s="1"/>
      <c r="B658" s="7" t="s">
        <v>222</v>
      </c>
      <c r="C658" s="25">
        <v>20042936</v>
      </c>
      <c r="D658" s="7" t="s">
        <v>4716</v>
      </c>
      <c r="E658" s="26">
        <v>1</v>
      </c>
      <c r="F658" s="7" t="s">
        <v>225</v>
      </c>
      <c r="G658" s="7" t="s">
        <v>219</v>
      </c>
      <c r="H658" s="19" t="str">
        <f t="shared" si="11"/>
        <v/>
      </c>
      <c r="I658" s="19" t="s">
        <v>221</v>
      </c>
      <c r="J658" s="7" t="s">
        <v>721</v>
      </c>
      <c r="K658" s="1"/>
      <c r="L658" s="7" t="s">
        <v>195</v>
      </c>
    </row>
    <row r="659" spans="1:12" x14ac:dyDescent="0.25">
      <c r="A659" s="1"/>
      <c r="B659" s="7" t="s">
        <v>222</v>
      </c>
      <c r="C659" s="25">
        <v>20042982</v>
      </c>
      <c r="D659" s="7" t="s">
        <v>4737</v>
      </c>
      <c r="E659" s="26">
        <v>1</v>
      </c>
      <c r="F659" s="7" t="s">
        <v>225</v>
      </c>
      <c r="G659" s="7" t="s">
        <v>219</v>
      </c>
      <c r="H659" s="19" t="str">
        <f t="shared" si="11"/>
        <v/>
      </c>
      <c r="I659" s="19" t="s">
        <v>221</v>
      </c>
      <c r="J659" s="7" t="s">
        <v>397</v>
      </c>
      <c r="K659" s="1"/>
      <c r="L659" s="7" t="s">
        <v>195</v>
      </c>
    </row>
    <row r="660" spans="1:12" x14ac:dyDescent="0.25">
      <c r="A660" s="1"/>
      <c r="B660" s="7" t="s">
        <v>222</v>
      </c>
      <c r="C660" s="25">
        <v>20043029</v>
      </c>
      <c r="D660" s="7" t="s">
        <v>4752</v>
      </c>
      <c r="E660" s="26">
        <v>1</v>
      </c>
      <c r="F660" s="7" t="s">
        <v>225</v>
      </c>
      <c r="G660" s="7" t="s">
        <v>219</v>
      </c>
      <c r="H660" s="19" t="str">
        <f t="shared" si="11"/>
        <v/>
      </c>
      <c r="I660" s="19" t="s">
        <v>221</v>
      </c>
      <c r="J660" s="7" t="s">
        <v>313</v>
      </c>
      <c r="K660" s="1"/>
      <c r="L660" s="7" t="s">
        <v>195</v>
      </c>
    </row>
    <row r="661" spans="1:12" x14ac:dyDescent="0.25">
      <c r="A661" s="1"/>
      <c r="B661" s="7" t="s">
        <v>222</v>
      </c>
      <c r="C661" s="25">
        <v>20043030</v>
      </c>
      <c r="D661" s="7" t="s">
        <v>4754</v>
      </c>
      <c r="E661" s="26">
        <v>1</v>
      </c>
      <c r="F661" s="7" t="s">
        <v>225</v>
      </c>
      <c r="G661" s="7" t="s">
        <v>219</v>
      </c>
      <c r="H661" s="19" t="str">
        <f t="shared" si="11"/>
        <v/>
      </c>
      <c r="I661" s="19" t="s">
        <v>221</v>
      </c>
      <c r="J661" s="7" t="s">
        <v>313</v>
      </c>
      <c r="K661" s="1"/>
      <c r="L661" s="7" t="s">
        <v>195</v>
      </c>
    </row>
    <row r="662" spans="1:12" x14ac:dyDescent="0.25">
      <c r="A662" s="1"/>
      <c r="B662" s="7" t="s">
        <v>222</v>
      </c>
      <c r="C662" s="25">
        <v>20043031</v>
      </c>
      <c r="D662" s="7" t="s">
        <v>4755</v>
      </c>
      <c r="E662" s="26">
        <v>1</v>
      </c>
      <c r="F662" s="7" t="s">
        <v>225</v>
      </c>
      <c r="G662" s="7" t="s">
        <v>219</v>
      </c>
      <c r="H662" s="19" t="str">
        <f t="shared" si="11"/>
        <v/>
      </c>
      <c r="I662" s="19" t="s">
        <v>221</v>
      </c>
      <c r="J662" s="7" t="s">
        <v>313</v>
      </c>
      <c r="K662" s="1"/>
      <c r="L662" s="7" t="s">
        <v>195</v>
      </c>
    </row>
    <row r="663" spans="1:12" x14ac:dyDescent="0.25">
      <c r="A663" s="1"/>
      <c r="B663" s="7" t="s">
        <v>227</v>
      </c>
      <c r="C663" s="25">
        <v>20043043</v>
      </c>
      <c r="D663" s="7" t="s">
        <v>4759</v>
      </c>
      <c r="E663" s="26">
        <v>1</v>
      </c>
      <c r="F663" s="7" t="s">
        <v>225</v>
      </c>
      <c r="G663" s="7" t="s">
        <v>219</v>
      </c>
      <c r="H663" s="19" t="str">
        <f t="shared" si="11"/>
        <v/>
      </c>
      <c r="I663" s="19" t="s">
        <v>37</v>
      </c>
      <c r="J663" s="7" t="s">
        <v>309</v>
      </c>
      <c r="K663" s="1"/>
      <c r="L663" s="7" t="s">
        <v>195</v>
      </c>
    </row>
    <row r="664" spans="1:12" x14ac:dyDescent="0.25">
      <c r="A664" s="1"/>
      <c r="B664" s="7" t="s">
        <v>4785</v>
      </c>
      <c r="C664" s="25">
        <v>20043079</v>
      </c>
      <c r="D664" s="7" t="s">
        <v>4784</v>
      </c>
      <c r="E664" s="26">
        <v>1</v>
      </c>
      <c r="F664" s="7" t="s">
        <v>225</v>
      </c>
      <c r="G664" s="7" t="s">
        <v>219</v>
      </c>
      <c r="H664" s="19" t="str">
        <f t="shared" si="11"/>
        <v/>
      </c>
      <c r="I664" s="19" t="s">
        <v>321</v>
      </c>
      <c r="J664" s="7" t="s">
        <v>246</v>
      </c>
      <c r="K664" s="1"/>
      <c r="L664" s="7" t="s">
        <v>195</v>
      </c>
    </row>
    <row r="665" spans="1:12" x14ac:dyDescent="0.25">
      <c r="A665" s="1"/>
      <c r="B665" s="7" t="s">
        <v>222</v>
      </c>
      <c r="C665" s="25">
        <v>20043237</v>
      </c>
      <c r="D665" s="7" t="s">
        <v>4808</v>
      </c>
      <c r="E665" s="26">
        <v>1</v>
      </c>
      <c r="F665" s="7" t="s">
        <v>225</v>
      </c>
      <c r="G665" s="7" t="s">
        <v>219</v>
      </c>
      <c r="H665" s="19" t="str">
        <f t="shared" si="11"/>
        <v/>
      </c>
      <c r="I665" s="19" t="s">
        <v>221</v>
      </c>
      <c r="J665" s="7" t="s">
        <v>311</v>
      </c>
      <c r="K665" s="1"/>
      <c r="L665" s="7" t="s">
        <v>195</v>
      </c>
    </row>
    <row r="666" spans="1:12" x14ac:dyDescent="0.25">
      <c r="A666" s="1"/>
      <c r="B666" s="7" t="s">
        <v>222</v>
      </c>
      <c r="C666" s="25">
        <v>20043308</v>
      </c>
      <c r="D666" s="7" t="s">
        <v>4835</v>
      </c>
      <c r="E666" s="26">
        <v>1</v>
      </c>
      <c r="F666" s="7" t="s">
        <v>225</v>
      </c>
      <c r="G666" s="7" t="s">
        <v>219</v>
      </c>
      <c r="H666" s="19" t="str">
        <f t="shared" si="11"/>
        <v/>
      </c>
      <c r="I666" s="19" t="s">
        <v>221</v>
      </c>
      <c r="J666" s="7" t="s">
        <v>246</v>
      </c>
      <c r="K666" s="1"/>
      <c r="L666" s="7" t="s">
        <v>195</v>
      </c>
    </row>
    <row r="667" spans="1:12" x14ac:dyDescent="0.25">
      <c r="A667" s="1"/>
      <c r="B667" s="7" t="s">
        <v>222</v>
      </c>
      <c r="C667" s="25">
        <v>20043318</v>
      </c>
      <c r="D667" s="7" t="s">
        <v>4837</v>
      </c>
      <c r="E667" s="26">
        <v>1</v>
      </c>
      <c r="F667" s="7" t="s">
        <v>225</v>
      </c>
      <c r="G667" s="7" t="s">
        <v>219</v>
      </c>
      <c r="H667" s="19" t="str">
        <f t="shared" si="11"/>
        <v/>
      </c>
      <c r="I667" s="19" t="s">
        <v>221</v>
      </c>
      <c r="J667" s="7" t="s">
        <v>327</v>
      </c>
      <c r="K667" s="1"/>
      <c r="L667" s="7" t="s">
        <v>195</v>
      </c>
    </row>
    <row r="668" spans="1:12" x14ac:dyDescent="0.25">
      <c r="A668" s="1"/>
      <c r="B668" s="7" t="s">
        <v>222</v>
      </c>
      <c r="C668" s="25">
        <v>20043323</v>
      </c>
      <c r="D668" s="7" t="s">
        <v>4849</v>
      </c>
      <c r="E668" s="26">
        <v>0.1</v>
      </c>
      <c r="F668" s="7" t="s">
        <v>225</v>
      </c>
      <c r="G668" s="7" t="s">
        <v>219</v>
      </c>
      <c r="H668" s="19" t="str">
        <f t="shared" si="11"/>
        <v/>
      </c>
      <c r="I668" s="19" t="s">
        <v>1115</v>
      </c>
      <c r="J668" s="7" t="s">
        <v>337</v>
      </c>
      <c r="K668" s="1"/>
      <c r="L668" s="7" t="s">
        <v>195</v>
      </c>
    </row>
    <row r="669" spans="1:12" x14ac:dyDescent="0.25">
      <c r="A669" s="1"/>
      <c r="B669" s="7" t="s">
        <v>222</v>
      </c>
      <c r="C669" s="25">
        <v>20043381</v>
      </c>
      <c r="D669" s="7" t="s">
        <v>4873</v>
      </c>
      <c r="E669" s="26">
        <v>1</v>
      </c>
      <c r="F669" s="7" t="s">
        <v>225</v>
      </c>
      <c r="G669" s="7" t="s">
        <v>219</v>
      </c>
      <c r="H669" s="19" t="str">
        <f t="shared" si="11"/>
        <v/>
      </c>
      <c r="I669" s="19" t="s">
        <v>221</v>
      </c>
      <c r="J669" s="7" t="s">
        <v>315</v>
      </c>
      <c r="K669" s="1"/>
      <c r="L669" s="7" t="s">
        <v>195</v>
      </c>
    </row>
    <row r="670" spans="1:12" x14ac:dyDescent="0.25">
      <c r="A670" s="1"/>
      <c r="B670" s="7" t="s">
        <v>222</v>
      </c>
      <c r="C670" s="25">
        <v>20043382</v>
      </c>
      <c r="D670" s="7" t="s">
        <v>4874</v>
      </c>
      <c r="E670" s="26">
        <v>1</v>
      </c>
      <c r="F670" s="7" t="s">
        <v>225</v>
      </c>
      <c r="G670" s="7" t="s">
        <v>219</v>
      </c>
      <c r="H670" s="19" t="str">
        <f t="shared" si="11"/>
        <v/>
      </c>
      <c r="I670" s="19" t="s">
        <v>221</v>
      </c>
      <c r="J670" s="7" t="s">
        <v>315</v>
      </c>
      <c r="K670" s="1"/>
      <c r="L670" s="7" t="s">
        <v>195</v>
      </c>
    </row>
    <row r="671" spans="1:12" x14ac:dyDescent="0.25">
      <c r="A671" s="1"/>
      <c r="B671" s="7" t="s">
        <v>222</v>
      </c>
      <c r="C671" s="25">
        <v>20043383</v>
      </c>
      <c r="D671" s="7" t="s">
        <v>4875</v>
      </c>
      <c r="E671" s="26">
        <v>1</v>
      </c>
      <c r="F671" s="7" t="s">
        <v>225</v>
      </c>
      <c r="G671" s="7" t="s">
        <v>219</v>
      </c>
      <c r="H671" s="19" t="str">
        <f t="shared" si="11"/>
        <v/>
      </c>
      <c r="I671" s="19" t="s">
        <v>221</v>
      </c>
      <c r="J671" s="7" t="s">
        <v>315</v>
      </c>
      <c r="K671" s="1"/>
      <c r="L671" s="7" t="s">
        <v>195</v>
      </c>
    </row>
    <row r="672" spans="1:12" x14ac:dyDescent="0.25">
      <c r="A672" s="1"/>
      <c r="B672" s="7" t="s">
        <v>230</v>
      </c>
      <c r="C672" s="25">
        <v>20043384</v>
      </c>
      <c r="D672" s="7" t="s">
        <v>4876</v>
      </c>
      <c r="E672" s="26">
        <v>1</v>
      </c>
      <c r="F672" s="7" t="s">
        <v>225</v>
      </c>
      <c r="G672" s="7" t="s">
        <v>219</v>
      </c>
      <c r="H672" s="19" t="str">
        <f t="shared" si="11"/>
        <v/>
      </c>
      <c r="I672" s="19" t="s">
        <v>910</v>
      </c>
      <c r="J672" s="7" t="s">
        <v>311</v>
      </c>
      <c r="K672" s="1"/>
      <c r="L672" s="7" t="s">
        <v>195</v>
      </c>
    </row>
    <row r="673" spans="1:12" x14ac:dyDescent="0.25">
      <c r="A673" s="1"/>
      <c r="B673" s="7" t="s">
        <v>222</v>
      </c>
      <c r="C673" s="25">
        <v>20043480</v>
      </c>
      <c r="D673" s="7" t="s">
        <v>4911</v>
      </c>
      <c r="E673" s="26">
        <v>1</v>
      </c>
      <c r="F673" s="7" t="s">
        <v>225</v>
      </c>
      <c r="G673" s="7" t="s">
        <v>219</v>
      </c>
      <c r="H673" s="19" t="str">
        <f t="shared" si="11"/>
        <v/>
      </c>
      <c r="I673" s="19" t="s">
        <v>221</v>
      </c>
      <c r="J673" s="7" t="s">
        <v>309</v>
      </c>
      <c r="K673" s="1"/>
      <c r="L673" s="7" t="s">
        <v>195</v>
      </c>
    </row>
    <row r="674" spans="1:12" x14ac:dyDescent="0.25">
      <c r="A674" s="1"/>
      <c r="B674" s="7" t="s">
        <v>222</v>
      </c>
      <c r="C674" s="25">
        <v>20043486</v>
      </c>
      <c r="D674" s="7" t="s">
        <v>4921</v>
      </c>
      <c r="E674" s="26">
        <v>1</v>
      </c>
      <c r="F674" s="7" t="s">
        <v>225</v>
      </c>
      <c r="G674" s="7" t="s">
        <v>219</v>
      </c>
      <c r="H674" s="19" t="str">
        <f t="shared" si="11"/>
        <v/>
      </c>
      <c r="I674" s="19" t="s">
        <v>221</v>
      </c>
      <c r="J674" s="7" t="s">
        <v>397</v>
      </c>
      <c r="K674" s="1"/>
      <c r="L674" s="7" t="s">
        <v>195</v>
      </c>
    </row>
    <row r="675" spans="1:12" x14ac:dyDescent="0.25">
      <c r="A675" s="1"/>
      <c r="B675" s="7" t="s">
        <v>222</v>
      </c>
      <c r="C675" s="25">
        <v>20043487</v>
      </c>
      <c r="D675" s="7" t="s">
        <v>4922</v>
      </c>
      <c r="E675" s="26">
        <v>1</v>
      </c>
      <c r="F675" s="7" t="s">
        <v>225</v>
      </c>
      <c r="G675" s="7" t="s">
        <v>219</v>
      </c>
      <c r="H675" s="19" t="str">
        <f t="shared" si="11"/>
        <v/>
      </c>
      <c r="I675" s="19" t="s">
        <v>221</v>
      </c>
      <c r="J675" s="7" t="s">
        <v>313</v>
      </c>
      <c r="K675" s="1"/>
      <c r="L675" s="7" t="s">
        <v>195</v>
      </c>
    </row>
    <row r="676" spans="1:12" x14ac:dyDescent="0.25">
      <c r="A676" s="1"/>
      <c r="B676" s="7" t="s">
        <v>222</v>
      </c>
      <c r="C676" s="25">
        <v>20043491</v>
      </c>
      <c r="D676" s="7" t="s">
        <v>4916</v>
      </c>
      <c r="E676" s="26">
        <v>1</v>
      </c>
      <c r="F676" s="7" t="s">
        <v>225</v>
      </c>
      <c r="G676" s="7" t="s">
        <v>219</v>
      </c>
      <c r="H676" s="19" t="str">
        <f t="shared" si="11"/>
        <v/>
      </c>
      <c r="I676" s="19" t="s">
        <v>221</v>
      </c>
      <c r="J676" s="7" t="s">
        <v>397</v>
      </c>
      <c r="K676" s="1"/>
      <c r="L676" s="7" t="s">
        <v>195</v>
      </c>
    </row>
    <row r="677" spans="1:12" x14ac:dyDescent="0.25">
      <c r="A677" s="1"/>
      <c r="B677" s="7" t="s">
        <v>222</v>
      </c>
      <c r="C677" s="25">
        <v>20043492</v>
      </c>
      <c r="D677" s="7" t="s">
        <v>4917</v>
      </c>
      <c r="E677" s="26">
        <v>1</v>
      </c>
      <c r="F677" s="7" t="s">
        <v>225</v>
      </c>
      <c r="G677" s="7" t="s">
        <v>219</v>
      </c>
      <c r="H677" s="19" t="str">
        <f t="shared" si="11"/>
        <v/>
      </c>
      <c r="I677" s="19" t="s">
        <v>221</v>
      </c>
      <c r="J677" s="7" t="s">
        <v>397</v>
      </c>
      <c r="K677" s="1"/>
      <c r="L677" s="7" t="s">
        <v>195</v>
      </c>
    </row>
    <row r="678" spans="1:12" x14ac:dyDescent="0.25">
      <c r="A678" s="1"/>
      <c r="B678" s="7" t="s">
        <v>222</v>
      </c>
      <c r="C678" s="25">
        <v>20043493</v>
      </c>
      <c r="D678" s="7" t="s">
        <v>4918</v>
      </c>
      <c r="E678" s="26">
        <v>1</v>
      </c>
      <c r="F678" s="7" t="s">
        <v>225</v>
      </c>
      <c r="G678" s="7" t="s">
        <v>219</v>
      </c>
      <c r="H678" s="19" t="str">
        <f t="shared" si="11"/>
        <v/>
      </c>
      <c r="I678" s="19" t="s">
        <v>221</v>
      </c>
      <c r="J678" s="7" t="s">
        <v>397</v>
      </c>
      <c r="K678" s="1"/>
      <c r="L678" s="7" t="s">
        <v>195</v>
      </c>
    </row>
    <row r="679" spans="1:12" x14ac:dyDescent="0.25">
      <c r="A679" s="1"/>
      <c r="B679" s="7" t="s">
        <v>222</v>
      </c>
      <c r="C679" s="25">
        <v>20043537</v>
      </c>
      <c r="D679" s="7" t="s">
        <v>4933</v>
      </c>
      <c r="E679" s="26">
        <v>1</v>
      </c>
      <c r="F679" s="7" t="s">
        <v>225</v>
      </c>
      <c r="G679" s="7" t="s">
        <v>219</v>
      </c>
      <c r="H679" s="19" t="str">
        <f t="shared" si="11"/>
        <v/>
      </c>
      <c r="I679" s="19" t="s">
        <v>221</v>
      </c>
      <c r="J679" s="7" t="s">
        <v>721</v>
      </c>
      <c r="K679" s="1"/>
      <c r="L679" s="7" t="s">
        <v>195</v>
      </c>
    </row>
    <row r="680" spans="1:12" x14ac:dyDescent="0.25">
      <c r="A680" s="1"/>
      <c r="B680" s="7" t="s">
        <v>222</v>
      </c>
      <c r="C680" s="25">
        <v>20043560</v>
      </c>
      <c r="D680" s="7" t="s">
        <v>4934</v>
      </c>
      <c r="E680" s="26">
        <v>1</v>
      </c>
      <c r="F680" s="7" t="s">
        <v>225</v>
      </c>
      <c r="G680" s="7" t="s">
        <v>219</v>
      </c>
      <c r="H680" s="19" t="str">
        <f t="shared" si="11"/>
        <v/>
      </c>
      <c r="I680" s="19" t="s">
        <v>221</v>
      </c>
      <c r="J680" s="7" t="s">
        <v>345</v>
      </c>
      <c r="K680" s="1"/>
      <c r="L680" s="7" t="s">
        <v>195</v>
      </c>
    </row>
    <row r="681" spans="1:12" x14ac:dyDescent="0.25">
      <c r="A681" s="1"/>
      <c r="B681" s="7" t="s">
        <v>222</v>
      </c>
      <c r="C681" s="25">
        <v>20043568</v>
      </c>
      <c r="D681" s="7" t="s">
        <v>4938</v>
      </c>
      <c r="E681" s="26">
        <v>1</v>
      </c>
      <c r="F681" s="7" t="s">
        <v>225</v>
      </c>
      <c r="G681" s="7" t="s">
        <v>219</v>
      </c>
      <c r="H681" s="19" t="str">
        <f t="shared" si="11"/>
        <v/>
      </c>
      <c r="I681" s="19" t="s">
        <v>221</v>
      </c>
      <c r="J681" s="7" t="s">
        <v>311</v>
      </c>
      <c r="K681" s="1"/>
      <c r="L681" s="7" t="s">
        <v>195</v>
      </c>
    </row>
    <row r="682" spans="1:12" x14ac:dyDescent="0.25">
      <c r="A682" s="1"/>
      <c r="B682" s="7" t="s">
        <v>222</v>
      </c>
      <c r="C682" s="25">
        <v>20043579</v>
      </c>
      <c r="D682" s="7" t="s">
        <v>4950</v>
      </c>
      <c r="E682" s="26">
        <v>1</v>
      </c>
      <c r="F682" s="7" t="s">
        <v>225</v>
      </c>
      <c r="G682" s="7" t="s">
        <v>219</v>
      </c>
      <c r="H682" s="19" t="str">
        <f t="shared" si="11"/>
        <v/>
      </c>
      <c r="I682" s="19" t="s">
        <v>221</v>
      </c>
      <c r="J682" s="7" t="s">
        <v>311</v>
      </c>
      <c r="K682" s="1"/>
      <c r="L682" s="7" t="s">
        <v>195</v>
      </c>
    </row>
    <row r="683" spans="1:12" x14ac:dyDescent="0.25">
      <c r="A683" s="1"/>
      <c r="B683" s="7" t="s">
        <v>222</v>
      </c>
      <c r="C683" s="25">
        <v>20043582</v>
      </c>
      <c r="D683" s="7" t="s">
        <v>4953</v>
      </c>
      <c r="E683" s="26">
        <v>1</v>
      </c>
      <c r="F683" s="7" t="s">
        <v>225</v>
      </c>
      <c r="G683" s="7" t="s">
        <v>219</v>
      </c>
      <c r="H683" s="19" t="str">
        <f t="shared" si="11"/>
        <v/>
      </c>
      <c r="I683" s="19" t="s">
        <v>221</v>
      </c>
      <c r="J683" s="7" t="s">
        <v>315</v>
      </c>
      <c r="K683" s="1"/>
      <c r="L683" s="7" t="s">
        <v>195</v>
      </c>
    </row>
    <row r="684" spans="1:12" x14ac:dyDescent="0.25">
      <c r="A684" s="1"/>
      <c r="B684" s="7" t="s">
        <v>222</v>
      </c>
      <c r="C684" s="25">
        <v>20043583</v>
      </c>
      <c r="D684" s="7" t="s">
        <v>4954</v>
      </c>
      <c r="E684" s="26">
        <v>1</v>
      </c>
      <c r="F684" s="7" t="s">
        <v>225</v>
      </c>
      <c r="G684" s="7" t="s">
        <v>219</v>
      </c>
      <c r="H684" s="19" t="str">
        <f t="shared" si="11"/>
        <v/>
      </c>
      <c r="I684" s="19" t="s">
        <v>221</v>
      </c>
      <c r="J684" s="7" t="s">
        <v>315</v>
      </c>
      <c r="K684" s="1"/>
      <c r="L684" s="7" t="s">
        <v>195</v>
      </c>
    </row>
    <row r="685" spans="1:12" x14ac:dyDescent="0.25">
      <c r="A685" s="1"/>
      <c r="B685" s="7" t="s">
        <v>222</v>
      </c>
      <c r="C685" s="25">
        <v>20043595</v>
      </c>
      <c r="D685" s="7" t="s">
        <v>4951</v>
      </c>
      <c r="E685" s="26">
        <v>1</v>
      </c>
      <c r="F685" s="7" t="s">
        <v>225</v>
      </c>
      <c r="G685" s="7" t="s">
        <v>219</v>
      </c>
      <c r="H685" s="19" t="str">
        <f t="shared" si="11"/>
        <v/>
      </c>
      <c r="I685" s="19" t="s">
        <v>221</v>
      </c>
      <c r="J685" s="7" t="s">
        <v>311</v>
      </c>
      <c r="K685" s="1"/>
      <c r="L685" s="7" t="s">
        <v>195</v>
      </c>
    </row>
    <row r="686" spans="1:12" x14ac:dyDescent="0.25">
      <c r="A686" s="1"/>
      <c r="B686" s="7" t="s">
        <v>223</v>
      </c>
      <c r="C686" s="25">
        <v>20043598</v>
      </c>
      <c r="D686" s="7" t="s">
        <v>4955</v>
      </c>
      <c r="E686" s="26">
        <v>1</v>
      </c>
      <c r="F686" s="7" t="s">
        <v>225</v>
      </c>
      <c r="G686" s="7" t="s">
        <v>219</v>
      </c>
      <c r="H686" s="19" t="str">
        <f t="shared" si="11"/>
        <v/>
      </c>
      <c r="I686" s="19" t="s">
        <v>399</v>
      </c>
      <c r="J686" s="7" t="s">
        <v>311</v>
      </c>
      <c r="K686" s="1"/>
      <c r="L686" s="7" t="s">
        <v>195</v>
      </c>
    </row>
    <row r="687" spans="1:12" x14ac:dyDescent="0.25">
      <c r="A687" s="1"/>
      <c r="B687" s="7" t="s">
        <v>223</v>
      </c>
      <c r="C687" s="25">
        <v>20043599</v>
      </c>
      <c r="D687" s="7" t="s">
        <v>4956</v>
      </c>
      <c r="E687" s="26">
        <v>1</v>
      </c>
      <c r="F687" s="7" t="s">
        <v>225</v>
      </c>
      <c r="G687" s="7" t="s">
        <v>219</v>
      </c>
      <c r="H687" s="19" t="str">
        <f t="shared" si="11"/>
        <v/>
      </c>
      <c r="I687" s="19" t="s">
        <v>399</v>
      </c>
      <c r="J687" s="7" t="s">
        <v>311</v>
      </c>
      <c r="K687" s="1"/>
      <c r="L687" s="7" t="s">
        <v>195</v>
      </c>
    </row>
    <row r="688" spans="1:12" x14ac:dyDescent="0.25">
      <c r="A688" s="1"/>
      <c r="B688" s="7" t="s">
        <v>222</v>
      </c>
      <c r="C688" s="25">
        <v>20043621</v>
      </c>
      <c r="D688" s="7" t="s">
        <v>4969</v>
      </c>
      <c r="E688" s="26">
        <v>1</v>
      </c>
      <c r="F688" s="7" t="s">
        <v>352</v>
      </c>
      <c r="G688" s="7" t="s">
        <v>4970</v>
      </c>
      <c r="H688" s="19" t="str">
        <f t="shared" si="11"/>
        <v/>
      </c>
      <c r="I688" s="19" t="s">
        <v>221</v>
      </c>
      <c r="J688" s="7" t="s">
        <v>327</v>
      </c>
      <c r="K688" s="1"/>
      <c r="L688" s="7" t="s">
        <v>195</v>
      </c>
    </row>
    <row r="689" spans="1:12" x14ac:dyDescent="0.25">
      <c r="A689" s="1"/>
      <c r="B689" s="7" t="s">
        <v>223</v>
      </c>
      <c r="C689" s="25">
        <v>20043629</v>
      </c>
      <c r="D689" s="7" t="s">
        <v>4968</v>
      </c>
      <c r="E689" s="26">
        <v>1</v>
      </c>
      <c r="F689" s="7" t="s">
        <v>225</v>
      </c>
      <c r="G689" s="7" t="s">
        <v>219</v>
      </c>
      <c r="H689" s="19" t="str">
        <f t="shared" si="11"/>
        <v/>
      </c>
      <c r="I689" s="19" t="s">
        <v>399</v>
      </c>
      <c r="J689" s="7" t="s">
        <v>311</v>
      </c>
      <c r="K689" s="1"/>
      <c r="L689" s="7" t="s">
        <v>195</v>
      </c>
    </row>
    <row r="690" spans="1:12" x14ac:dyDescent="0.25">
      <c r="A690" s="1"/>
      <c r="B690" s="7" t="s">
        <v>233</v>
      </c>
      <c r="C690" s="25">
        <v>20043630</v>
      </c>
      <c r="D690" s="7" t="s">
        <v>4971</v>
      </c>
      <c r="E690" s="26">
        <v>1</v>
      </c>
      <c r="F690" s="7" t="s">
        <v>225</v>
      </c>
      <c r="G690" s="7" t="s">
        <v>219</v>
      </c>
      <c r="H690" s="19" t="str">
        <f t="shared" si="11"/>
        <v/>
      </c>
      <c r="I690" s="19" t="s">
        <v>328</v>
      </c>
      <c r="J690" s="7" t="s">
        <v>313</v>
      </c>
      <c r="K690" s="1"/>
      <c r="L690" s="7" t="s">
        <v>195</v>
      </c>
    </row>
    <row r="691" spans="1:12" x14ac:dyDescent="0.25">
      <c r="A691" s="1"/>
      <c r="B691" s="7" t="s">
        <v>223</v>
      </c>
      <c r="C691" s="25">
        <v>20043668</v>
      </c>
      <c r="D691" s="7" t="s">
        <v>4996</v>
      </c>
      <c r="E691" s="26">
        <v>1</v>
      </c>
      <c r="F691" s="7" t="s">
        <v>225</v>
      </c>
      <c r="G691" s="7" t="s">
        <v>219</v>
      </c>
      <c r="H691" s="19" t="str">
        <f t="shared" si="11"/>
        <v/>
      </c>
      <c r="I691" s="19" t="s">
        <v>399</v>
      </c>
      <c r="J691" s="7" t="s">
        <v>313</v>
      </c>
      <c r="K691" s="1"/>
      <c r="L691" s="7" t="s">
        <v>195</v>
      </c>
    </row>
    <row r="692" spans="1:12" x14ac:dyDescent="0.25">
      <c r="A692" s="1"/>
      <c r="B692" s="7" t="s">
        <v>223</v>
      </c>
      <c r="C692" s="25">
        <v>20043672</v>
      </c>
      <c r="D692" s="7" t="s">
        <v>4997</v>
      </c>
      <c r="E692" s="26">
        <v>1</v>
      </c>
      <c r="F692" s="7" t="s">
        <v>225</v>
      </c>
      <c r="G692" s="7" t="s">
        <v>219</v>
      </c>
      <c r="H692" s="19" t="str">
        <f t="shared" si="11"/>
        <v/>
      </c>
      <c r="I692" s="19" t="s">
        <v>399</v>
      </c>
      <c r="J692" s="7" t="s">
        <v>313</v>
      </c>
      <c r="K692" s="1"/>
      <c r="L692" s="7" t="s">
        <v>195</v>
      </c>
    </row>
    <row r="693" spans="1:12" x14ac:dyDescent="0.25">
      <c r="A693" s="1"/>
      <c r="B693" s="7" t="s">
        <v>223</v>
      </c>
      <c r="C693" s="25">
        <v>20043673</v>
      </c>
      <c r="D693" s="7" t="s">
        <v>4998</v>
      </c>
      <c r="E693" s="26">
        <v>1</v>
      </c>
      <c r="F693" s="7" t="s">
        <v>225</v>
      </c>
      <c r="G693" s="7" t="s">
        <v>219</v>
      </c>
      <c r="H693" s="19" t="str">
        <f t="shared" si="11"/>
        <v/>
      </c>
      <c r="I693" s="19" t="s">
        <v>399</v>
      </c>
      <c r="J693" s="7" t="s">
        <v>313</v>
      </c>
      <c r="K693" s="1"/>
      <c r="L693" s="7" t="s">
        <v>195</v>
      </c>
    </row>
    <row r="694" spans="1:12" x14ac:dyDescent="0.25">
      <c r="A694" s="1"/>
      <c r="B694" s="7" t="s">
        <v>223</v>
      </c>
      <c r="C694" s="25">
        <v>20043675</v>
      </c>
      <c r="D694" s="7" t="s">
        <v>5000</v>
      </c>
      <c r="E694" s="26">
        <v>1</v>
      </c>
      <c r="F694" s="7" t="s">
        <v>225</v>
      </c>
      <c r="G694" s="7" t="s">
        <v>219</v>
      </c>
      <c r="H694" s="19" t="str">
        <f t="shared" si="11"/>
        <v/>
      </c>
      <c r="I694" s="19" t="s">
        <v>399</v>
      </c>
      <c r="J694" s="7" t="s">
        <v>313</v>
      </c>
      <c r="K694" s="1"/>
      <c r="L694" s="7" t="s">
        <v>195</v>
      </c>
    </row>
    <row r="695" spans="1:12" x14ac:dyDescent="0.25">
      <c r="A695" s="1"/>
      <c r="B695" s="7" t="s">
        <v>229</v>
      </c>
      <c r="C695" s="25">
        <v>20043676</v>
      </c>
      <c r="D695" s="7" t="s">
        <v>5006</v>
      </c>
      <c r="E695" s="26">
        <v>1</v>
      </c>
      <c r="F695" s="7" t="s">
        <v>225</v>
      </c>
      <c r="G695" s="7" t="s">
        <v>219</v>
      </c>
      <c r="H695" s="19" t="str">
        <f t="shared" si="11"/>
        <v/>
      </c>
      <c r="I695" s="19" t="s">
        <v>306</v>
      </c>
      <c r="J695" s="7" t="s">
        <v>402</v>
      </c>
      <c r="K695" s="1"/>
      <c r="L695" s="7" t="s">
        <v>195</v>
      </c>
    </row>
    <row r="696" spans="1:12" x14ac:dyDescent="0.25">
      <c r="A696" s="1"/>
      <c r="B696" s="7" t="s">
        <v>227</v>
      </c>
      <c r="C696" s="25">
        <v>20043678</v>
      </c>
      <c r="D696" s="7" t="s">
        <v>5001</v>
      </c>
      <c r="E696" s="26">
        <v>1</v>
      </c>
      <c r="F696" s="7" t="s">
        <v>225</v>
      </c>
      <c r="G696" s="7" t="s">
        <v>219</v>
      </c>
      <c r="H696" s="19" t="str">
        <f t="shared" si="11"/>
        <v/>
      </c>
      <c r="I696" s="19" t="s">
        <v>37</v>
      </c>
      <c r="J696" s="7" t="s">
        <v>345</v>
      </c>
      <c r="K696" s="1"/>
      <c r="L696" s="7" t="s">
        <v>195</v>
      </c>
    </row>
    <row r="697" spans="1:12" x14ac:dyDescent="0.25">
      <c r="A697" s="1"/>
      <c r="B697" s="7" t="s">
        <v>227</v>
      </c>
      <c r="C697" s="25">
        <v>20043679</v>
      </c>
      <c r="D697" s="7" t="s">
        <v>5002</v>
      </c>
      <c r="E697" s="26">
        <v>1</v>
      </c>
      <c r="F697" s="7" t="s">
        <v>225</v>
      </c>
      <c r="G697" s="7" t="s">
        <v>219</v>
      </c>
      <c r="H697" s="19" t="str">
        <f t="shared" si="11"/>
        <v/>
      </c>
      <c r="I697" s="19" t="s">
        <v>37</v>
      </c>
      <c r="J697" s="7" t="s">
        <v>345</v>
      </c>
      <c r="K697" s="1"/>
      <c r="L697" s="7" t="s">
        <v>195</v>
      </c>
    </row>
    <row r="698" spans="1:12" x14ac:dyDescent="0.25">
      <c r="A698" s="1"/>
      <c r="B698" s="7" t="s">
        <v>222</v>
      </c>
      <c r="C698" s="25">
        <v>20043680</v>
      </c>
      <c r="D698" s="7" t="s">
        <v>5004</v>
      </c>
      <c r="E698" s="26">
        <v>1</v>
      </c>
      <c r="F698" s="7" t="s">
        <v>225</v>
      </c>
      <c r="G698" s="7" t="s">
        <v>219</v>
      </c>
      <c r="H698" s="19" t="str">
        <f t="shared" si="11"/>
        <v/>
      </c>
      <c r="I698" s="19" t="s">
        <v>221</v>
      </c>
      <c r="J698" s="7" t="s">
        <v>313</v>
      </c>
      <c r="K698" s="1"/>
      <c r="L698" s="7" t="s">
        <v>195</v>
      </c>
    </row>
    <row r="699" spans="1:12" x14ac:dyDescent="0.25">
      <c r="A699" s="1"/>
      <c r="B699" s="7" t="s">
        <v>222</v>
      </c>
      <c r="C699" s="25">
        <v>20043681</v>
      </c>
      <c r="D699" s="7" t="s">
        <v>5005</v>
      </c>
      <c r="E699" s="26">
        <v>1</v>
      </c>
      <c r="F699" s="7" t="s">
        <v>225</v>
      </c>
      <c r="G699" s="7" t="s">
        <v>219</v>
      </c>
      <c r="H699" s="19" t="str">
        <f t="shared" si="11"/>
        <v/>
      </c>
      <c r="I699" s="19" t="s">
        <v>221</v>
      </c>
      <c r="J699" s="7" t="s">
        <v>313</v>
      </c>
      <c r="K699" s="1"/>
      <c r="L699" s="7" t="s">
        <v>195</v>
      </c>
    </row>
    <row r="700" spans="1:12" x14ac:dyDescent="0.25">
      <c r="A700" s="1"/>
      <c r="B700" s="7" t="s">
        <v>222</v>
      </c>
      <c r="C700" s="25">
        <v>20043703</v>
      </c>
      <c r="D700" s="7" t="s">
        <v>5022</v>
      </c>
      <c r="E700" s="26">
        <v>1</v>
      </c>
      <c r="F700" s="7" t="s">
        <v>225</v>
      </c>
      <c r="G700" s="7" t="s">
        <v>219</v>
      </c>
      <c r="H700" s="19" t="str">
        <f t="shared" si="11"/>
        <v/>
      </c>
      <c r="I700" s="19" t="s">
        <v>221</v>
      </c>
      <c r="J700" s="7" t="s">
        <v>246</v>
      </c>
      <c r="K700" s="1"/>
      <c r="L700" s="7" t="s">
        <v>195</v>
      </c>
    </row>
    <row r="701" spans="1:12" x14ac:dyDescent="0.25">
      <c r="A701" s="1"/>
      <c r="B701" s="7" t="s">
        <v>222</v>
      </c>
      <c r="C701" s="25">
        <v>20043709</v>
      </c>
      <c r="D701" s="7" t="s">
        <v>5019</v>
      </c>
      <c r="E701" s="26">
        <v>1</v>
      </c>
      <c r="F701" s="7" t="s">
        <v>225</v>
      </c>
      <c r="G701" s="7" t="s">
        <v>219</v>
      </c>
      <c r="H701" s="19" t="str">
        <f t="shared" si="11"/>
        <v/>
      </c>
      <c r="I701" s="19" t="s">
        <v>221</v>
      </c>
      <c r="J701" s="7" t="s">
        <v>315</v>
      </c>
      <c r="K701" s="1"/>
      <c r="L701" s="7" t="s">
        <v>195</v>
      </c>
    </row>
    <row r="702" spans="1:12" x14ac:dyDescent="0.25">
      <c r="A702" s="1"/>
      <c r="B702" s="7" t="s">
        <v>229</v>
      </c>
      <c r="C702" s="25">
        <v>20043714</v>
      </c>
      <c r="D702" s="7" t="s">
        <v>5033</v>
      </c>
      <c r="E702" s="26">
        <v>1</v>
      </c>
      <c r="F702" s="7" t="s">
        <v>225</v>
      </c>
      <c r="G702" s="7" t="s">
        <v>219</v>
      </c>
      <c r="H702" s="19" t="str">
        <f t="shared" si="11"/>
        <v/>
      </c>
      <c r="I702" s="19" t="s">
        <v>306</v>
      </c>
      <c r="J702" s="7" t="s">
        <v>402</v>
      </c>
      <c r="K702" s="1"/>
      <c r="L702" s="7" t="s">
        <v>195</v>
      </c>
    </row>
    <row r="703" spans="1:12" x14ac:dyDescent="0.25">
      <c r="A703" s="1"/>
      <c r="B703" s="7" t="s">
        <v>228</v>
      </c>
      <c r="C703" s="25">
        <v>20043721</v>
      </c>
      <c r="D703" s="7" t="s">
        <v>5036</v>
      </c>
      <c r="E703" s="26">
        <v>1</v>
      </c>
      <c r="F703" s="7" t="s">
        <v>225</v>
      </c>
      <c r="G703" s="7" t="s">
        <v>219</v>
      </c>
      <c r="H703" s="19" t="str">
        <f t="shared" si="11"/>
        <v/>
      </c>
      <c r="I703" s="19" t="s">
        <v>1115</v>
      </c>
      <c r="J703" s="7" t="s">
        <v>337</v>
      </c>
      <c r="K703" s="1"/>
      <c r="L703" s="7" t="s">
        <v>195</v>
      </c>
    </row>
    <row r="704" spans="1:12" x14ac:dyDescent="0.25">
      <c r="A704" s="1"/>
      <c r="B704" s="7" t="s">
        <v>228</v>
      </c>
      <c r="C704" s="25">
        <v>20043722</v>
      </c>
      <c r="D704" s="7" t="s">
        <v>5037</v>
      </c>
      <c r="E704" s="26">
        <v>1</v>
      </c>
      <c r="F704" s="7" t="s">
        <v>225</v>
      </c>
      <c r="G704" s="7" t="s">
        <v>219</v>
      </c>
      <c r="H704" s="19" t="str">
        <f t="shared" si="11"/>
        <v/>
      </c>
      <c r="I704" s="19" t="s">
        <v>1115</v>
      </c>
      <c r="J704" s="7" t="s">
        <v>337</v>
      </c>
      <c r="K704" s="1"/>
      <c r="L704" s="7" t="s">
        <v>195</v>
      </c>
    </row>
    <row r="705" spans="1:12" x14ac:dyDescent="0.25">
      <c r="A705" s="1"/>
      <c r="B705" s="7" t="s">
        <v>228</v>
      </c>
      <c r="C705" s="25">
        <v>20043723</v>
      </c>
      <c r="D705" s="7" t="s">
        <v>5038</v>
      </c>
      <c r="E705" s="26">
        <v>1</v>
      </c>
      <c r="F705" s="7" t="s">
        <v>225</v>
      </c>
      <c r="G705" s="7" t="s">
        <v>219</v>
      </c>
      <c r="H705" s="19" t="str">
        <f t="shared" si="11"/>
        <v/>
      </c>
      <c r="I705" s="19" t="s">
        <v>1115</v>
      </c>
      <c r="J705" s="7" t="s">
        <v>337</v>
      </c>
      <c r="K705" s="1"/>
      <c r="L705" s="7" t="s">
        <v>195</v>
      </c>
    </row>
    <row r="706" spans="1:12" x14ac:dyDescent="0.25">
      <c r="A706" s="1"/>
      <c r="B706" s="7" t="s">
        <v>228</v>
      </c>
      <c r="C706" s="25">
        <v>20043724</v>
      </c>
      <c r="D706" s="7" t="s">
        <v>5039</v>
      </c>
      <c r="E706" s="26">
        <v>1</v>
      </c>
      <c r="F706" s="7" t="s">
        <v>225</v>
      </c>
      <c r="G706" s="7" t="s">
        <v>219</v>
      </c>
      <c r="H706" s="19" t="str">
        <f t="shared" si="11"/>
        <v/>
      </c>
      <c r="I706" s="19" t="s">
        <v>1115</v>
      </c>
      <c r="J706" s="7" t="s">
        <v>337</v>
      </c>
      <c r="K706" s="1"/>
      <c r="L706" s="7" t="s">
        <v>195</v>
      </c>
    </row>
    <row r="707" spans="1:12" x14ac:dyDescent="0.25">
      <c r="A707" s="1"/>
      <c r="B707" s="7" t="s">
        <v>222</v>
      </c>
      <c r="C707" s="25">
        <v>20043737</v>
      </c>
      <c r="D707" s="7" t="s">
        <v>5035</v>
      </c>
      <c r="E707" s="26">
        <v>1</v>
      </c>
      <c r="F707" s="7" t="s">
        <v>225</v>
      </c>
      <c r="G707" s="7" t="s">
        <v>219</v>
      </c>
      <c r="H707" s="19" t="str">
        <f t="shared" si="11"/>
        <v/>
      </c>
      <c r="I707" s="19" t="s">
        <v>221</v>
      </c>
      <c r="J707" s="7" t="s">
        <v>246</v>
      </c>
      <c r="K707" s="1"/>
      <c r="L707" s="7" t="s">
        <v>195</v>
      </c>
    </row>
    <row r="708" spans="1:12" x14ac:dyDescent="0.25">
      <c r="A708" s="1"/>
      <c r="B708" s="7" t="s">
        <v>230</v>
      </c>
      <c r="C708" s="25">
        <v>20043756</v>
      </c>
      <c r="D708" s="7" t="s">
        <v>5060</v>
      </c>
      <c r="E708" s="26">
        <v>1</v>
      </c>
      <c r="F708" s="7" t="s">
        <v>225</v>
      </c>
      <c r="G708" s="7" t="s">
        <v>219</v>
      </c>
      <c r="H708" s="19" t="str">
        <f t="shared" si="11"/>
        <v/>
      </c>
      <c r="I708" s="19" t="s">
        <v>910</v>
      </c>
      <c r="J708" s="7" t="s">
        <v>397</v>
      </c>
      <c r="K708" s="1"/>
      <c r="L708" s="7" t="s">
        <v>195</v>
      </c>
    </row>
    <row r="709" spans="1:12" x14ac:dyDescent="0.25">
      <c r="A709" s="1"/>
      <c r="B709" s="7" t="s">
        <v>222</v>
      </c>
      <c r="C709" s="25">
        <v>20043763</v>
      </c>
      <c r="D709" s="7" t="s">
        <v>5054</v>
      </c>
      <c r="E709" s="26">
        <v>1</v>
      </c>
      <c r="F709" s="7" t="s">
        <v>225</v>
      </c>
      <c r="G709" s="7" t="s">
        <v>219</v>
      </c>
      <c r="H709" s="19" t="str">
        <f t="shared" si="11"/>
        <v/>
      </c>
      <c r="I709" s="19" t="s">
        <v>221</v>
      </c>
      <c r="J709" s="7" t="s">
        <v>313</v>
      </c>
      <c r="K709" s="1"/>
      <c r="L709" s="7" t="s">
        <v>195</v>
      </c>
    </row>
    <row r="710" spans="1:12" x14ac:dyDescent="0.25">
      <c r="A710" s="1"/>
      <c r="B710" s="7" t="s">
        <v>222</v>
      </c>
      <c r="C710" s="25">
        <v>20043765</v>
      </c>
      <c r="D710" s="7" t="s">
        <v>5055</v>
      </c>
      <c r="E710" s="26">
        <v>1</v>
      </c>
      <c r="F710" s="7" t="s">
        <v>225</v>
      </c>
      <c r="G710" s="7" t="s">
        <v>219</v>
      </c>
      <c r="H710" s="19" t="str">
        <f t="shared" si="11"/>
        <v/>
      </c>
      <c r="I710" s="19" t="s">
        <v>221</v>
      </c>
      <c r="J710" s="7" t="s">
        <v>313</v>
      </c>
      <c r="K710" s="1"/>
      <c r="L710" s="7" t="s">
        <v>195</v>
      </c>
    </row>
    <row r="711" spans="1:12" x14ac:dyDescent="0.25">
      <c r="A711" s="1"/>
      <c r="B711" s="7" t="s">
        <v>222</v>
      </c>
      <c r="C711" s="25">
        <v>20043767</v>
      </c>
      <c r="D711" s="7" t="s">
        <v>5056</v>
      </c>
      <c r="E711" s="26">
        <v>1</v>
      </c>
      <c r="F711" s="7" t="s">
        <v>225</v>
      </c>
      <c r="G711" s="7" t="s">
        <v>219</v>
      </c>
      <c r="H711" s="19" t="str">
        <f t="shared" si="11"/>
        <v/>
      </c>
      <c r="I711" s="19" t="s">
        <v>221</v>
      </c>
      <c r="J711" s="7" t="s">
        <v>313</v>
      </c>
      <c r="K711" s="1"/>
      <c r="L711" s="7" t="s">
        <v>195</v>
      </c>
    </row>
    <row r="712" spans="1:12" x14ac:dyDescent="0.25">
      <c r="A712" s="1"/>
      <c r="B712" s="7" t="s">
        <v>222</v>
      </c>
      <c r="C712" s="25">
        <v>20043768</v>
      </c>
      <c r="D712" s="7" t="s">
        <v>5057</v>
      </c>
      <c r="E712" s="26">
        <v>1</v>
      </c>
      <c r="F712" s="7" t="s">
        <v>225</v>
      </c>
      <c r="G712" s="7" t="s">
        <v>219</v>
      </c>
      <c r="H712" s="19" t="str">
        <f t="shared" si="11"/>
        <v/>
      </c>
      <c r="I712" s="19" t="s">
        <v>221</v>
      </c>
      <c r="J712" s="7" t="s">
        <v>313</v>
      </c>
      <c r="K712" s="1"/>
      <c r="L712" s="7" t="s">
        <v>195</v>
      </c>
    </row>
    <row r="713" spans="1:12" x14ac:dyDescent="0.25">
      <c r="A713" s="1"/>
      <c r="B713" s="7" t="s">
        <v>222</v>
      </c>
      <c r="C713" s="25">
        <v>20043781</v>
      </c>
      <c r="D713" s="7" t="s">
        <v>5066</v>
      </c>
      <c r="E713" s="26">
        <v>1</v>
      </c>
      <c r="F713" s="7" t="s">
        <v>225</v>
      </c>
      <c r="G713" s="7" t="s">
        <v>219</v>
      </c>
      <c r="H713" s="19" t="str">
        <f t="shared" si="11"/>
        <v/>
      </c>
      <c r="I713" s="19" t="s">
        <v>221</v>
      </c>
      <c r="J713" s="7" t="s">
        <v>311</v>
      </c>
      <c r="K713" s="1"/>
      <c r="L713" s="7" t="s">
        <v>195</v>
      </c>
    </row>
    <row r="714" spans="1:12" x14ac:dyDescent="0.25">
      <c r="A714" s="1"/>
      <c r="B714" s="7" t="s">
        <v>222</v>
      </c>
      <c r="C714" s="25">
        <v>20043820</v>
      </c>
      <c r="D714" s="7" t="s">
        <v>5085</v>
      </c>
      <c r="E714" s="26">
        <v>1</v>
      </c>
      <c r="F714" s="7" t="s">
        <v>225</v>
      </c>
      <c r="G714" s="7" t="s">
        <v>219</v>
      </c>
      <c r="H714" s="19" t="str">
        <f t="shared" si="11"/>
        <v/>
      </c>
      <c r="I714" s="19" t="s">
        <v>221</v>
      </c>
      <c r="J714" s="7" t="s">
        <v>4855</v>
      </c>
      <c r="K714" s="1"/>
      <c r="L714" s="7" t="s">
        <v>195</v>
      </c>
    </row>
    <row r="715" spans="1:12" x14ac:dyDescent="0.25">
      <c r="A715" s="1"/>
      <c r="B715" s="7" t="s">
        <v>222</v>
      </c>
      <c r="C715" s="25">
        <v>20043821</v>
      </c>
      <c r="D715" s="7" t="s">
        <v>5086</v>
      </c>
      <c r="E715" s="26">
        <v>1</v>
      </c>
      <c r="F715" s="7" t="s">
        <v>225</v>
      </c>
      <c r="G715" s="7" t="s">
        <v>219</v>
      </c>
      <c r="H715" s="19" t="str">
        <f t="shared" si="11"/>
        <v/>
      </c>
      <c r="I715" s="19" t="s">
        <v>221</v>
      </c>
      <c r="J715" s="7" t="s">
        <v>4855</v>
      </c>
      <c r="K715" s="1"/>
      <c r="L715" s="7" t="s">
        <v>195</v>
      </c>
    </row>
    <row r="716" spans="1:12" x14ac:dyDescent="0.25">
      <c r="A716" s="1"/>
      <c r="B716" s="7" t="s">
        <v>222</v>
      </c>
      <c r="C716" s="25">
        <v>20043822</v>
      </c>
      <c r="D716" s="7" t="s">
        <v>5088</v>
      </c>
      <c r="E716" s="26">
        <v>1</v>
      </c>
      <c r="F716" s="7" t="s">
        <v>225</v>
      </c>
      <c r="G716" s="7" t="s">
        <v>219</v>
      </c>
      <c r="H716" s="19" t="str">
        <f t="shared" si="11"/>
        <v/>
      </c>
      <c r="I716" s="19" t="s">
        <v>221</v>
      </c>
      <c r="J716" s="7" t="s">
        <v>345</v>
      </c>
      <c r="K716" s="1"/>
      <c r="L716" s="7" t="s">
        <v>195</v>
      </c>
    </row>
    <row r="717" spans="1:12" x14ac:dyDescent="0.25">
      <c r="A717" s="1"/>
      <c r="B717" s="7" t="s">
        <v>222</v>
      </c>
      <c r="C717" s="25">
        <v>20043823</v>
      </c>
      <c r="D717" s="7" t="s">
        <v>5089</v>
      </c>
      <c r="E717" s="26">
        <v>1</v>
      </c>
      <c r="F717" s="7" t="s">
        <v>225</v>
      </c>
      <c r="G717" s="7" t="s">
        <v>219</v>
      </c>
      <c r="H717" s="19" t="str">
        <f t="shared" si="11"/>
        <v/>
      </c>
      <c r="I717" s="19" t="s">
        <v>221</v>
      </c>
      <c r="J717" s="7" t="s">
        <v>954</v>
      </c>
      <c r="K717" s="1"/>
      <c r="L717" s="7" t="s">
        <v>195</v>
      </c>
    </row>
    <row r="718" spans="1:12" x14ac:dyDescent="0.25">
      <c r="A718" s="1"/>
      <c r="B718" s="7" t="s">
        <v>222</v>
      </c>
      <c r="C718" s="25">
        <v>20043824</v>
      </c>
      <c r="D718" s="7" t="s">
        <v>5090</v>
      </c>
      <c r="E718" s="26">
        <v>1</v>
      </c>
      <c r="F718" s="7" t="s">
        <v>225</v>
      </c>
      <c r="G718" s="7" t="s">
        <v>219</v>
      </c>
      <c r="H718" s="19" t="str">
        <f t="shared" si="11"/>
        <v/>
      </c>
      <c r="I718" s="19" t="s">
        <v>221</v>
      </c>
      <c r="J718" s="7" t="s">
        <v>954</v>
      </c>
      <c r="K718" s="1"/>
      <c r="L718" s="7" t="s">
        <v>195</v>
      </c>
    </row>
    <row r="719" spans="1:12" x14ac:dyDescent="0.25">
      <c r="A719" s="1"/>
      <c r="B719" s="7" t="s">
        <v>222</v>
      </c>
      <c r="C719" s="25">
        <v>20043825</v>
      </c>
      <c r="D719" s="7" t="s">
        <v>5091</v>
      </c>
      <c r="E719" s="26">
        <v>1</v>
      </c>
      <c r="F719" s="7" t="s">
        <v>225</v>
      </c>
      <c r="G719" s="7" t="s">
        <v>219</v>
      </c>
      <c r="H719" s="19" t="str">
        <f t="shared" ref="H719:H782" si="12">IF(A719="", "", A719*E719)</f>
        <v/>
      </c>
      <c r="I719" s="19" t="s">
        <v>221</v>
      </c>
      <c r="J719" s="7" t="s">
        <v>954</v>
      </c>
      <c r="K719" s="1"/>
      <c r="L719" s="7" t="s">
        <v>195</v>
      </c>
    </row>
    <row r="720" spans="1:12" x14ac:dyDescent="0.25">
      <c r="A720" s="1"/>
      <c r="B720" s="7" t="s">
        <v>222</v>
      </c>
      <c r="C720" s="25">
        <v>20043826</v>
      </c>
      <c r="D720" s="7" t="s">
        <v>5092</v>
      </c>
      <c r="E720" s="26">
        <v>1</v>
      </c>
      <c r="F720" s="7" t="s">
        <v>225</v>
      </c>
      <c r="G720" s="7" t="s">
        <v>219</v>
      </c>
      <c r="H720" s="19" t="str">
        <f t="shared" si="12"/>
        <v/>
      </c>
      <c r="I720" s="19" t="s">
        <v>221</v>
      </c>
      <c r="J720" s="7" t="s">
        <v>954</v>
      </c>
      <c r="K720" s="1"/>
      <c r="L720" s="7" t="s">
        <v>195</v>
      </c>
    </row>
    <row r="721" spans="1:12" x14ac:dyDescent="0.25">
      <c r="A721" s="1"/>
      <c r="B721" s="7" t="s">
        <v>222</v>
      </c>
      <c r="C721" s="25">
        <v>20043868</v>
      </c>
      <c r="D721" s="7" t="s">
        <v>5115</v>
      </c>
      <c r="E721" s="26">
        <v>1</v>
      </c>
      <c r="F721" s="7" t="s">
        <v>225</v>
      </c>
      <c r="G721" s="7" t="s">
        <v>219</v>
      </c>
      <c r="H721" s="19" t="str">
        <f t="shared" si="12"/>
        <v/>
      </c>
      <c r="I721" s="19" t="s">
        <v>221</v>
      </c>
      <c r="J721" s="7" t="s">
        <v>315</v>
      </c>
      <c r="K721" s="1"/>
      <c r="L721" s="7" t="s">
        <v>195</v>
      </c>
    </row>
    <row r="722" spans="1:12" x14ac:dyDescent="0.25">
      <c r="A722" s="1"/>
      <c r="B722" s="7" t="s">
        <v>222</v>
      </c>
      <c r="C722" s="25">
        <v>20043870</v>
      </c>
      <c r="D722" s="7" t="s">
        <v>5116</v>
      </c>
      <c r="E722" s="26">
        <v>1</v>
      </c>
      <c r="F722" s="7" t="s">
        <v>225</v>
      </c>
      <c r="G722" s="7" t="s">
        <v>219</v>
      </c>
      <c r="H722" s="19" t="str">
        <f t="shared" si="12"/>
        <v/>
      </c>
      <c r="I722" s="19" t="s">
        <v>221</v>
      </c>
      <c r="J722" s="7" t="s">
        <v>315</v>
      </c>
      <c r="K722" s="1"/>
      <c r="L722" s="7" t="s">
        <v>195</v>
      </c>
    </row>
    <row r="723" spans="1:12" x14ac:dyDescent="0.25">
      <c r="A723" s="1"/>
      <c r="B723" s="7" t="s">
        <v>222</v>
      </c>
      <c r="C723" s="25">
        <v>20043874</v>
      </c>
      <c r="D723" s="7" t="s">
        <v>5117</v>
      </c>
      <c r="E723" s="26">
        <v>1</v>
      </c>
      <c r="F723" s="7" t="s">
        <v>352</v>
      </c>
      <c r="G723" s="7" t="s">
        <v>5118</v>
      </c>
      <c r="H723" s="19" t="str">
        <f t="shared" si="12"/>
        <v/>
      </c>
      <c r="I723" s="19" t="s">
        <v>221</v>
      </c>
      <c r="J723" s="7" t="s">
        <v>345</v>
      </c>
      <c r="K723" s="1"/>
      <c r="L723" s="7" t="s">
        <v>195</v>
      </c>
    </row>
    <row r="724" spans="1:12" x14ac:dyDescent="0.25">
      <c r="A724" s="1"/>
      <c r="B724" s="7" t="s">
        <v>228</v>
      </c>
      <c r="C724" s="25">
        <v>20043877</v>
      </c>
      <c r="D724" s="7" t="s">
        <v>5124</v>
      </c>
      <c r="E724" s="26">
        <v>1</v>
      </c>
      <c r="F724" s="7" t="s">
        <v>225</v>
      </c>
      <c r="G724" s="7" t="s">
        <v>219</v>
      </c>
      <c r="H724" s="19" t="str">
        <f t="shared" si="12"/>
        <v/>
      </c>
      <c r="I724" s="19" t="s">
        <v>1115</v>
      </c>
      <c r="J724" s="7" t="s">
        <v>337</v>
      </c>
      <c r="K724" s="1"/>
      <c r="L724" s="7" t="s">
        <v>195</v>
      </c>
    </row>
    <row r="725" spans="1:12" x14ac:dyDescent="0.25">
      <c r="A725" s="1"/>
      <c r="B725" s="7" t="s">
        <v>222</v>
      </c>
      <c r="C725" s="25">
        <v>20043891</v>
      </c>
      <c r="D725" s="7" t="s">
        <v>5143</v>
      </c>
      <c r="E725" s="26">
        <v>1</v>
      </c>
      <c r="F725" s="7" t="s">
        <v>225</v>
      </c>
      <c r="G725" s="7" t="s">
        <v>219</v>
      </c>
      <c r="H725" s="19" t="str">
        <f t="shared" si="12"/>
        <v/>
      </c>
      <c r="I725" s="19" t="s">
        <v>221</v>
      </c>
      <c r="J725" s="7" t="s">
        <v>242</v>
      </c>
      <c r="K725" s="1"/>
      <c r="L725" s="7" t="s">
        <v>195</v>
      </c>
    </row>
    <row r="726" spans="1:12" x14ac:dyDescent="0.25">
      <c r="A726" s="1"/>
      <c r="B726" s="7" t="s">
        <v>222</v>
      </c>
      <c r="C726" s="25">
        <v>20043898</v>
      </c>
      <c r="D726" s="7" t="s">
        <v>5119</v>
      </c>
      <c r="E726" s="26">
        <v>1</v>
      </c>
      <c r="F726" s="7" t="s">
        <v>225</v>
      </c>
      <c r="G726" s="7" t="s">
        <v>219</v>
      </c>
      <c r="H726" s="19" t="str">
        <f t="shared" si="12"/>
        <v/>
      </c>
      <c r="I726" s="19" t="s">
        <v>221</v>
      </c>
      <c r="J726" s="7" t="s">
        <v>309</v>
      </c>
      <c r="K726" s="1"/>
      <c r="L726" s="7" t="s">
        <v>195</v>
      </c>
    </row>
    <row r="727" spans="1:12" x14ac:dyDescent="0.25">
      <c r="A727" s="1"/>
      <c r="B727" s="7" t="s">
        <v>222</v>
      </c>
      <c r="C727" s="25">
        <v>20043900</v>
      </c>
      <c r="D727" s="7" t="s">
        <v>5121</v>
      </c>
      <c r="E727" s="26">
        <v>1</v>
      </c>
      <c r="F727" s="7" t="s">
        <v>225</v>
      </c>
      <c r="G727" s="7" t="s">
        <v>219</v>
      </c>
      <c r="H727" s="19" t="str">
        <f t="shared" si="12"/>
        <v/>
      </c>
      <c r="I727" s="19" t="s">
        <v>221</v>
      </c>
      <c r="J727" s="7" t="s">
        <v>345</v>
      </c>
      <c r="K727" s="1"/>
      <c r="L727" s="7" t="s">
        <v>195</v>
      </c>
    </row>
    <row r="728" spans="1:12" x14ac:dyDescent="0.25">
      <c r="A728" s="1"/>
      <c r="B728" s="7" t="s">
        <v>222</v>
      </c>
      <c r="C728" s="25">
        <v>20043901</v>
      </c>
      <c r="D728" s="7" t="s">
        <v>5122</v>
      </c>
      <c r="E728" s="26">
        <v>1</v>
      </c>
      <c r="F728" s="7" t="s">
        <v>225</v>
      </c>
      <c r="G728" s="7" t="s">
        <v>219</v>
      </c>
      <c r="H728" s="19" t="str">
        <f t="shared" si="12"/>
        <v/>
      </c>
      <c r="I728" s="19" t="s">
        <v>221</v>
      </c>
      <c r="J728" s="7" t="s">
        <v>246</v>
      </c>
      <c r="K728" s="1"/>
      <c r="L728" s="7" t="s">
        <v>195</v>
      </c>
    </row>
    <row r="729" spans="1:12" x14ac:dyDescent="0.25">
      <c r="A729" s="1"/>
      <c r="B729" s="7" t="s">
        <v>228</v>
      </c>
      <c r="C729" s="25">
        <v>20043903</v>
      </c>
      <c r="D729" s="7" t="s">
        <v>5125</v>
      </c>
      <c r="E729" s="26">
        <v>1</v>
      </c>
      <c r="F729" s="7" t="s">
        <v>225</v>
      </c>
      <c r="G729" s="7" t="s">
        <v>219</v>
      </c>
      <c r="H729" s="19" t="str">
        <f t="shared" si="12"/>
        <v/>
      </c>
      <c r="I729" s="19" t="s">
        <v>1115</v>
      </c>
      <c r="J729" s="7" t="s">
        <v>337</v>
      </c>
      <c r="K729" s="1"/>
      <c r="L729" s="7" t="s">
        <v>195</v>
      </c>
    </row>
    <row r="730" spans="1:12" x14ac:dyDescent="0.25">
      <c r="A730" s="1"/>
      <c r="B730" s="7" t="s">
        <v>228</v>
      </c>
      <c r="C730" s="25">
        <v>20043904</v>
      </c>
      <c r="D730" s="7" t="s">
        <v>5126</v>
      </c>
      <c r="E730" s="26">
        <v>1</v>
      </c>
      <c r="F730" s="7" t="s">
        <v>225</v>
      </c>
      <c r="G730" s="7" t="s">
        <v>219</v>
      </c>
      <c r="H730" s="19" t="str">
        <f t="shared" si="12"/>
        <v/>
      </c>
      <c r="I730" s="19" t="s">
        <v>1115</v>
      </c>
      <c r="J730" s="7" t="s">
        <v>337</v>
      </c>
      <c r="K730" s="1"/>
      <c r="L730" s="7" t="s">
        <v>195</v>
      </c>
    </row>
    <row r="731" spans="1:12" x14ac:dyDescent="0.25">
      <c r="A731" s="1"/>
      <c r="B731" s="7" t="s">
        <v>222</v>
      </c>
      <c r="C731" s="25">
        <v>20043905</v>
      </c>
      <c r="D731" s="7" t="s">
        <v>5132</v>
      </c>
      <c r="E731" s="26">
        <v>1</v>
      </c>
      <c r="F731" s="7" t="s">
        <v>225</v>
      </c>
      <c r="G731" s="7" t="s">
        <v>219</v>
      </c>
      <c r="H731" s="19" t="str">
        <f t="shared" si="12"/>
        <v/>
      </c>
      <c r="I731" s="19" t="s">
        <v>221</v>
      </c>
      <c r="J731" s="7" t="s">
        <v>327</v>
      </c>
      <c r="K731" s="1"/>
      <c r="L731" s="7" t="s">
        <v>195</v>
      </c>
    </row>
    <row r="732" spans="1:12" x14ac:dyDescent="0.25">
      <c r="A732" s="1"/>
      <c r="B732" s="7" t="s">
        <v>228</v>
      </c>
      <c r="C732" s="25">
        <v>20043908</v>
      </c>
      <c r="D732" s="7" t="s">
        <v>5127</v>
      </c>
      <c r="E732" s="26">
        <v>1</v>
      </c>
      <c r="F732" s="7" t="s">
        <v>225</v>
      </c>
      <c r="G732" s="7" t="s">
        <v>219</v>
      </c>
      <c r="H732" s="19" t="str">
        <f t="shared" si="12"/>
        <v/>
      </c>
      <c r="I732" s="19" t="s">
        <v>1115</v>
      </c>
      <c r="J732" s="7" t="s">
        <v>337</v>
      </c>
      <c r="K732" s="1"/>
      <c r="L732" s="7" t="s">
        <v>195</v>
      </c>
    </row>
    <row r="733" spans="1:12" x14ac:dyDescent="0.25">
      <c r="A733" s="1"/>
      <c r="B733" s="7" t="s">
        <v>228</v>
      </c>
      <c r="C733" s="25">
        <v>20043909</v>
      </c>
      <c r="D733" s="7" t="s">
        <v>5128</v>
      </c>
      <c r="E733" s="26">
        <v>1</v>
      </c>
      <c r="F733" s="7" t="s">
        <v>225</v>
      </c>
      <c r="G733" s="7" t="s">
        <v>219</v>
      </c>
      <c r="H733" s="19" t="str">
        <f t="shared" si="12"/>
        <v/>
      </c>
      <c r="I733" s="19" t="s">
        <v>1115</v>
      </c>
      <c r="J733" s="7" t="s">
        <v>337</v>
      </c>
      <c r="K733" s="1"/>
      <c r="L733" s="7" t="s">
        <v>195</v>
      </c>
    </row>
    <row r="734" spans="1:12" x14ac:dyDescent="0.25">
      <c r="A734" s="1"/>
      <c r="B734" s="7" t="s">
        <v>228</v>
      </c>
      <c r="C734" s="25">
        <v>20043910</v>
      </c>
      <c r="D734" s="7" t="s">
        <v>5129</v>
      </c>
      <c r="E734" s="26">
        <v>1</v>
      </c>
      <c r="F734" s="7" t="s">
        <v>225</v>
      </c>
      <c r="G734" s="7" t="s">
        <v>219</v>
      </c>
      <c r="H734" s="19" t="str">
        <f t="shared" si="12"/>
        <v/>
      </c>
      <c r="I734" s="19" t="s">
        <v>1115</v>
      </c>
      <c r="J734" s="7" t="s">
        <v>337</v>
      </c>
      <c r="K734" s="1"/>
      <c r="L734" s="7" t="s">
        <v>195</v>
      </c>
    </row>
    <row r="735" spans="1:12" x14ac:dyDescent="0.25">
      <c r="A735" s="1"/>
      <c r="B735" s="7" t="s">
        <v>222</v>
      </c>
      <c r="C735" s="25">
        <v>20043912</v>
      </c>
      <c r="D735" s="7" t="s">
        <v>5131</v>
      </c>
      <c r="E735" s="26">
        <v>1</v>
      </c>
      <c r="F735" s="7" t="s">
        <v>225</v>
      </c>
      <c r="G735" s="7" t="s">
        <v>219</v>
      </c>
      <c r="H735" s="19" t="str">
        <f t="shared" si="12"/>
        <v/>
      </c>
      <c r="I735" s="19" t="s">
        <v>221</v>
      </c>
      <c r="J735" s="7" t="s">
        <v>1184</v>
      </c>
      <c r="K735" s="1"/>
      <c r="L735" s="7" t="s">
        <v>195</v>
      </c>
    </row>
    <row r="736" spans="1:12" x14ac:dyDescent="0.25">
      <c r="A736" s="1"/>
      <c r="B736" s="7" t="s">
        <v>222</v>
      </c>
      <c r="C736" s="25">
        <v>20043920</v>
      </c>
      <c r="D736" s="7" t="s">
        <v>5140</v>
      </c>
      <c r="E736" s="26">
        <v>1</v>
      </c>
      <c r="F736" s="7" t="s">
        <v>225</v>
      </c>
      <c r="G736" s="7" t="s">
        <v>219</v>
      </c>
      <c r="H736" s="19" t="str">
        <f t="shared" si="12"/>
        <v/>
      </c>
      <c r="I736" s="19" t="s">
        <v>221</v>
      </c>
      <c r="J736" s="7" t="s">
        <v>315</v>
      </c>
      <c r="K736" s="1"/>
      <c r="L736" s="7" t="s">
        <v>195</v>
      </c>
    </row>
    <row r="737" spans="1:12" x14ac:dyDescent="0.25">
      <c r="A737" s="1"/>
      <c r="B737" s="7" t="s">
        <v>230</v>
      </c>
      <c r="C737" s="25">
        <v>20043923</v>
      </c>
      <c r="D737" s="7" t="s">
        <v>5142</v>
      </c>
      <c r="E737" s="26">
        <v>1</v>
      </c>
      <c r="F737" s="7" t="s">
        <v>273</v>
      </c>
      <c r="G737" s="7" t="s">
        <v>219</v>
      </c>
      <c r="H737" s="19" t="str">
        <f t="shared" si="12"/>
        <v/>
      </c>
      <c r="I737" s="19" t="s">
        <v>910</v>
      </c>
      <c r="J737" s="7" t="s">
        <v>309</v>
      </c>
      <c r="K737" s="1"/>
      <c r="L737" s="7" t="s">
        <v>195</v>
      </c>
    </row>
    <row r="738" spans="1:12" x14ac:dyDescent="0.25">
      <c r="A738" s="1"/>
      <c r="B738" s="7" t="s">
        <v>222</v>
      </c>
      <c r="C738" s="25">
        <v>20043938</v>
      </c>
      <c r="D738" s="7" t="s">
        <v>5145</v>
      </c>
      <c r="E738" s="26">
        <v>1</v>
      </c>
      <c r="F738" s="7" t="s">
        <v>225</v>
      </c>
      <c r="G738" s="7" t="s">
        <v>219</v>
      </c>
      <c r="H738" s="19" t="str">
        <f t="shared" si="12"/>
        <v/>
      </c>
      <c r="I738" s="19" t="s">
        <v>221</v>
      </c>
      <c r="J738" s="7" t="s">
        <v>347</v>
      </c>
      <c r="K738" s="1"/>
      <c r="L738" s="7" t="s">
        <v>195</v>
      </c>
    </row>
    <row r="739" spans="1:12" x14ac:dyDescent="0.25">
      <c r="A739" s="1"/>
      <c r="B739" s="7" t="s">
        <v>222</v>
      </c>
      <c r="C739" s="25">
        <v>20043941</v>
      </c>
      <c r="D739" s="7" t="s">
        <v>5154</v>
      </c>
      <c r="E739" s="26">
        <v>1</v>
      </c>
      <c r="F739" s="7" t="s">
        <v>225</v>
      </c>
      <c r="G739" s="7" t="s">
        <v>219</v>
      </c>
      <c r="H739" s="19" t="str">
        <f t="shared" si="12"/>
        <v/>
      </c>
      <c r="I739" s="19" t="s">
        <v>221</v>
      </c>
      <c r="J739" s="7" t="s">
        <v>313</v>
      </c>
      <c r="K739" s="1"/>
      <c r="L739" s="7" t="s">
        <v>195</v>
      </c>
    </row>
    <row r="740" spans="1:12" x14ac:dyDescent="0.25">
      <c r="A740" s="1"/>
      <c r="B740" s="7" t="s">
        <v>222</v>
      </c>
      <c r="C740" s="25">
        <v>20044027</v>
      </c>
      <c r="D740" s="7" t="s">
        <v>5208</v>
      </c>
      <c r="E740" s="26">
        <v>1</v>
      </c>
      <c r="F740" s="7" t="s">
        <v>225</v>
      </c>
      <c r="G740" s="7" t="s">
        <v>219</v>
      </c>
      <c r="H740" s="19" t="str">
        <f t="shared" si="12"/>
        <v/>
      </c>
      <c r="I740" s="19" t="s">
        <v>221</v>
      </c>
      <c r="J740" s="7" t="s">
        <v>311</v>
      </c>
      <c r="K740" s="1"/>
      <c r="L740" s="7" t="s">
        <v>195</v>
      </c>
    </row>
    <row r="741" spans="1:12" x14ac:dyDescent="0.25">
      <c r="A741" s="1"/>
      <c r="B741" s="7" t="s">
        <v>222</v>
      </c>
      <c r="C741" s="25">
        <v>20044058</v>
      </c>
      <c r="D741" s="7" t="s">
        <v>5209</v>
      </c>
      <c r="E741" s="26">
        <v>1</v>
      </c>
      <c r="F741" s="7" t="s">
        <v>225</v>
      </c>
      <c r="G741" s="7" t="s">
        <v>219</v>
      </c>
      <c r="H741" s="19" t="str">
        <f t="shared" si="12"/>
        <v/>
      </c>
      <c r="I741" s="19" t="s">
        <v>221</v>
      </c>
      <c r="J741" s="7" t="s">
        <v>311</v>
      </c>
      <c r="K741" s="1"/>
      <c r="L741" s="7" t="s">
        <v>195</v>
      </c>
    </row>
    <row r="742" spans="1:12" x14ac:dyDescent="0.25">
      <c r="A742" s="1"/>
      <c r="B742" s="7" t="s">
        <v>222</v>
      </c>
      <c r="C742" s="25">
        <v>20044075</v>
      </c>
      <c r="D742" s="7" t="s">
        <v>5221</v>
      </c>
      <c r="E742" s="26">
        <v>1</v>
      </c>
      <c r="F742" s="7" t="s">
        <v>225</v>
      </c>
      <c r="G742" s="7" t="s">
        <v>219</v>
      </c>
      <c r="H742" s="19" t="str">
        <f t="shared" si="12"/>
        <v/>
      </c>
      <c r="I742" s="19" t="s">
        <v>221</v>
      </c>
      <c r="J742" s="7" t="s">
        <v>315</v>
      </c>
      <c r="K742" s="1"/>
      <c r="L742" s="7" t="s">
        <v>195</v>
      </c>
    </row>
    <row r="743" spans="1:12" x14ac:dyDescent="0.25">
      <c r="A743" s="1"/>
      <c r="B743" s="7" t="s">
        <v>222</v>
      </c>
      <c r="C743" s="25">
        <v>20044098</v>
      </c>
      <c r="D743" s="7" t="s">
        <v>5228</v>
      </c>
      <c r="E743" s="26">
        <v>1</v>
      </c>
      <c r="F743" s="7" t="s">
        <v>352</v>
      </c>
      <c r="G743" s="7" t="s">
        <v>5550</v>
      </c>
      <c r="H743" s="19" t="str">
        <f t="shared" si="12"/>
        <v/>
      </c>
      <c r="I743" s="19" t="s">
        <v>221</v>
      </c>
      <c r="J743" s="7" t="s">
        <v>4855</v>
      </c>
      <c r="K743" s="1"/>
      <c r="L743" s="7" t="s">
        <v>195</v>
      </c>
    </row>
    <row r="744" spans="1:12" x14ac:dyDescent="0.25">
      <c r="A744" s="1"/>
      <c r="B744" s="7" t="s">
        <v>222</v>
      </c>
      <c r="C744" s="25">
        <v>20044124</v>
      </c>
      <c r="D744" s="7" t="s">
        <v>5242</v>
      </c>
      <c r="E744" s="26">
        <v>1</v>
      </c>
      <c r="F744" s="7" t="s">
        <v>225</v>
      </c>
      <c r="G744" s="7" t="s">
        <v>219</v>
      </c>
      <c r="H744" s="19" t="str">
        <f t="shared" si="12"/>
        <v/>
      </c>
      <c r="I744" s="19" t="s">
        <v>221</v>
      </c>
      <c r="J744" s="7" t="s">
        <v>1184</v>
      </c>
      <c r="K744" s="1"/>
      <c r="L744" s="7" t="s">
        <v>195</v>
      </c>
    </row>
    <row r="745" spans="1:12" x14ac:dyDescent="0.25">
      <c r="A745" s="1"/>
      <c r="B745" s="7" t="s">
        <v>4785</v>
      </c>
      <c r="C745" s="25">
        <v>20044219</v>
      </c>
      <c r="D745" s="7" t="s">
        <v>5252</v>
      </c>
      <c r="E745" s="26">
        <v>1</v>
      </c>
      <c r="F745" s="7" t="s">
        <v>225</v>
      </c>
      <c r="G745" s="7" t="s">
        <v>219</v>
      </c>
      <c r="H745" s="19" t="str">
        <f t="shared" si="12"/>
        <v/>
      </c>
      <c r="I745" s="19" t="s">
        <v>321</v>
      </c>
      <c r="J745" s="7" t="s">
        <v>246</v>
      </c>
      <c r="K745" s="1"/>
      <c r="L745" s="7" t="s">
        <v>195</v>
      </c>
    </row>
    <row r="746" spans="1:12" x14ac:dyDescent="0.25">
      <c r="A746" s="1"/>
      <c r="B746" s="7" t="s">
        <v>228</v>
      </c>
      <c r="C746" s="25">
        <v>20044260</v>
      </c>
      <c r="D746" s="7" t="s">
        <v>5290</v>
      </c>
      <c r="E746" s="26">
        <v>1</v>
      </c>
      <c r="F746" s="7" t="s">
        <v>225</v>
      </c>
      <c r="G746" s="7" t="s">
        <v>219</v>
      </c>
      <c r="H746" s="19" t="str">
        <f t="shared" si="12"/>
        <v/>
      </c>
      <c r="I746" s="19" t="s">
        <v>1115</v>
      </c>
      <c r="J746" s="7" t="s">
        <v>440</v>
      </c>
      <c r="K746" s="1"/>
      <c r="L746" s="7" t="s">
        <v>195</v>
      </c>
    </row>
    <row r="747" spans="1:12" x14ac:dyDescent="0.25">
      <c r="A747" s="1"/>
      <c r="B747" s="7" t="s">
        <v>222</v>
      </c>
      <c r="C747" s="25">
        <v>20044276</v>
      </c>
      <c r="D747" s="7" t="s">
        <v>5305</v>
      </c>
      <c r="E747" s="26">
        <v>1</v>
      </c>
      <c r="F747" s="7" t="s">
        <v>225</v>
      </c>
      <c r="G747" s="7" t="s">
        <v>219</v>
      </c>
      <c r="H747" s="19" t="str">
        <f t="shared" si="12"/>
        <v/>
      </c>
      <c r="I747" s="19" t="s">
        <v>221</v>
      </c>
      <c r="J747" s="7" t="s">
        <v>246</v>
      </c>
      <c r="K747" s="1"/>
      <c r="L747" s="7" t="s">
        <v>195</v>
      </c>
    </row>
    <row r="748" spans="1:12" x14ac:dyDescent="0.25">
      <c r="A748" s="1"/>
      <c r="B748" s="7" t="s">
        <v>222</v>
      </c>
      <c r="C748" s="25">
        <v>20044290</v>
      </c>
      <c r="D748" s="7" t="s">
        <v>5308</v>
      </c>
      <c r="E748" s="26">
        <v>1</v>
      </c>
      <c r="F748" s="7" t="s">
        <v>225</v>
      </c>
      <c r="G748" s="7" t="s">
        <v>219</v>
      </c>
      <c r="H748" s="19" t="str">
        <f t="shared" si="12"/>
        <v/>
      </c>
      <c r="I748" s="19" t="s">
        <v>221</v>
      </c>
      <c r="J748" s="7" t="s">
        <v>313</v>
      </c>
      <c r="K748" s="1"/>
      <c r="L748" s="7" t="s">
        <v>195</v>
      </c>
    </row>
    <row r="749" spans="1:12" x14ac:dyDescent="0.25">
      <c r="A749" s="1"/>
      <c r="B749" s="7" t="s">
        <v>222</v>
      </c>
      <c r="C749" s="25">
        <v>20044291</v>
      </c>
      <c r="D749" s="7" t="s">
        <v>5309</v>
      </c>
      <c r="E749" s="26">
        <v>1</v>
      </c>
      <c r="F749" s="7" t="s">
        <v>225</v>
      </c>
      <c r="G749" s="7" t="s">
        <v>219</v>
      </c>
      <c r="H749" s="19" t="str">
        <f t="shared" si="12"/>
        <v/>
      </c>
      <c r="I749" s="19" t="s">
        <v>221</v>
      </c>
      <c r="J749" s="7" t="s">
        <v>313</v>
      </c>
      <c r="K749" s="1"/>
      <c r="L749" s="7" t="s">
        <v>195</v>
      </c>
    </row>
    <row r="750" spans="1:12" x14ac:dyDescent="0.25">
      <c r="A750" s="1"/>
      <c r="B750" s="7" t="s">
        <v>230</v>
      </c>
      <c r="C750" s="25">
        <v>20044293</v>
      </c>
      <c r="D750" s="7" t="s">
        <v>5311</v>
      </c>
      <c r="E750" s="26">
        <v>1</v>
      </c>
      <c r="F750" s="7" t="s">
        <v>225</v>
      </c>
      <c r="G750" s="7" t="s">
        <v>219</v>
      </c>
      <c r="H750" s="19" t="str">
        <f t="shared" si="12"/>
        <v/>
      </c>
      <c r="I750" s="19" t="s">
        <v>910</v>
      </c>
      <c r="J750" s="7" t="s">
        <v>309</v>
      </c>
      <c r="K750" s="1"/>
      <c r="L750" s="7" t="s">
        <v>195</v>
      </c>
    </row>
    <row r="751" spans="1:12" x14ac:dyDescent="0.25">
      <c r="A751" s="1"/>
      <c r="B751" s="7" t="s">
        <v>343</v>
      </c>
      <c r="C751" s="25">
        <v>20044300</v>
      </c>
      <c r="D751" s="7" t="s">
        <v>5317</v>
      </c>
      <c r="E751" s="26">
        <v>1</v>
      </c>
      <c r="F751" s="7" t="s">
        <v>225</v>
      </c>
      <c r="G751" s="7" t="s">
        <v>219</v>
      </c>
      <c r="H751" s="19" t="str">
        <f t="shared" si="12"/>
        <v/>
      </c>
      <c r="I751" s="19" t="s">
        <v>912</v>
      </c>
      <c r="J751" s="7" t="s">
        <v>311</v>
      </c>
      <c r="K751" s="1"/>
      <c r="L751" s="7" t="s">
        <v>195</v>
      </c>
    </row>
    <row r="752" spans="1:12" x14ac:dyDescent="0.25">
      <c r="A752" s="1"/>
      <c r="B752" s="7" t="s">
        <v>343</v>
      </c>
      <c r="C752" s="25">
        <v>20044304</v>
      </c>
      <c r="D752" s="7" t="s">
        <v>5321</v>
      </c>
      <c r="E752" s="26">
        <v>1</v>
      </c>
      <c r="F752" s="7" t="s">
        <v>225</v>
      </c>
      <c r="G752" s="7" t="s">
        <v>219</v>
      </c>
      <c r="H752" s="19" t="str">
        <f t="shared" si="12"/>
        <v/>
      </c>
      <c r="I752" s="19" t="s">
        <v>912</v>
      </c>
      <c r="J752" s="7" t="s">
        <v>347</v>
      </c>
      <c r="K752" s="1"/>
      <c r="L752" s="7" t="s">
        <v>195</v>
      </c>
    </row>
    <row r="753" spans="1:12" x14ac:dyDescent="0.25">
      <c r="A753" s="1"/>
      <c r="B753" s="7" t="s">
        <v>343</v>
      </c>
      <c r="C753" s="25">
        <v>20044306</v>
      </c>
      <c r="D753" s="7" t="s">
        <v>5323</v>
      </c>
      <c r="E753" s="26">
        <v>1</v>
      </c>
      <c r="F753" s="7" t="s">
        <v>225</v>
      </c>
      <c r="G753" s="7" t="s">
        <v>219</v>
      </c>
      <c r="H753" s="19" t="str">
        <f t="shared" si="12"/>
        <v/>
      </c>
      <c r="I753" s="19" t="s">
        <v>912</v>
      </c>
      <c r="J753" s="7" t="s">
        <v>347</v>
      </c>
      <c r="K753" s="1"/>
      <c r="L753" s="7" t="s">
        <v>195</v>
      </c>
    </row>
    <row r="754" spans="1:12" x14ac:dyDescent="0.25">
      <c r="A754" s="1"/>
      <c r="B754" s="7" t="s">
        <v>228</v>
      </c>
      <c r="C754" s="25">
        <v>20050303</v>
      </c>
      <c r="D754" s="7" t="s">
        <v>5333</v>
      </c>
      <c r="E754" s="26">
        <v>1</v>
      </c>
      <c r="F754" s="7" t="s">
        <v>225</v>
      </c>
      <c r="G754" s="7" t="s">
        <v>219</v>
      </c>
      <c r="H754" s="19" t="str">
        <f t="shared" si="12"/>
        <v/>
      </c>
      <c r="I754" s="19" t="s">
        <v>1115</v>
      </c>
      <c r="J754" s="7" t="s">
        <v>337</v>
      </c>
      <c r="K754" s="1"/>
      <c r="L754" s="7" t="s">
        <v>195</v>
      </c>
    </row>
    <row r="755" spans="1:12" x14ac:dyDescent="0.25">
      <c r="A755" s="1"/>
      <c r="B755" s="7" t="s">
        <v>233</v>
      </c>
      <c r="C755" s="25">
        <v>20050314</v>
      </c>
      <c r="D755" s="7" t="s">
        <v>5338</v>
      </c>
      <c r="E755" s="26">
        <v>1</v>
      </c>
      <c r="F755" s="7" t="s">
        <v>225</v>
      </c>
      <c r="G755" s="7" t="s">
        <v>219</v>
      </c>
      <c r="H755" s="19" t="str">
        <f t="shared" si="12"/>
        <v/>
      </c>
      <c r="I755" s="19" t="s">
        <v>328</v>
      </c>
      <c r="J755" s="7" t="s">
        <v>246</v>
      </c>
      <c r="K755" s="1"/>
      <c r="L755" s="7" t="s">
        <v>195</v>
      </c>
    </row>
    <row r="756" spans="1:12" x14ac:dyDescent="0.25">
      <c r="A756" s="1"/>
      <c r="B756" s="7" t="s">
        <v>222</v>
      </c>
      <c r="C756" s="25">
        <v>20050315</v>
      </c>
      <c r="D756" s="7" t="s">
        <v>5340</v>
      </c>
      <c r="E756" s="26">
        <v>1</v>
      </c>
      <c r="F756" s="7" t="s">
        <v>225</v>
      </c>
      <c r="G756" s="7" t="s">
        <v>219</v>
      </c>
      <c r="H756" s="19" t="str">
        <f t="shared" si="12"/>
        <v/>
      </c>
      <c r="I756" s="19" t="s">
        <v>221</v>
      </c>
      <c r="J756" s="7" t="s">
        <v>315</v>
      </c>
      <c r="K756" s="1"/>
      <c r="L756" s="7" t="s">
        <v>195</v>
      </c>
    </row>
    <row r="757" spans="1:12" x14ac:dyDescent="0.25">
      <c r="A757" s="1"/>
      <c r="B757" s="7" t="s">
        <v>222</v>
      </c>
      <c r="C757" s="25">
        <v>20050316</v>
      </c>
      <c r="D757" s="7" t="s">
        <v>5341</v>
      </c>
      <c r="E757" s="26">
        <v>1</v>
      </c>
      <c r="F757" s="7" t="s">
        <v>225</v>
      </c>
      <c r="G757" s="7" t="s">
        <v>219</v>
      </c>
      <c r="H757" s="19" t="str">
        <f t="shared" si="12"/>
        <v/>
      </c>
      <c r="I757" s="19" t="s">
        <v>221</v>
      </c>
      <c r="J757" s="7" t="s">
        <v>315</v>
      </c>
      <c r="K757" s="1"/>
      <c r="L757" s="7" t="s">
        <v>195</v>
      </c>
    </row>
    <row r="758" spans="1:12" x14ac:dyDescent="0.25">
      <c r="A758" s="1"/>
      <c r="B758" s="7" t="s">
        <v>222</v>
      </c>
      <c r="C758" s="25">
        <v>20050332</v>
      </c>
      <c r="D758" s="7" t="s">
        <v>5339</v>
      </c>
      <c r="E758" s="26">
        <v>1</v>
      </c>
      <c r="F758" s="7" t="s">
        <v>225</v>
      </c>
      <c r="G758" s="7" t="s">
        <v>219</v>
      </c>
      <c r="H758" s="19" t="str">
        <f t="shared" si="12"/>
        <v/>
      </c>
      <c r="I758" s="19" t="s">
        <v>221</v>
      </c>
      <c r="J758" s="7" t="s">
        <v>315</v>
      </c>
      <c r="K758" s="1"/>
      <c r="L758" s="7" t="s">
        <v>195</v>
      </c>
    </row>
    <row r="759" spans="1:12" x14ac:dyDescent="0.25">
      <c r="A759" s="1"/>
      <c r="B759" s="7" t="s">
        <v>222</v>
      </c>
      <c r="C759" s="25">
        <v>20050333</v>
      </c>
      <c r="D759" s="7" t="s">
        <v>5342</v>
      </c>
      <c r="E759" s="26">
        <v>1</v>
      </c>
      <c r="F759" s="7" t="s">
        <v>225</v>
      </c>
      <c r="G759" s="7" t="s">
        <v>219</v>
      </c>
      <c r="H759" s="19" t="str">
        <f t="shared" si="12"/>
        <v/>
      </c>
      <c r="I759" s="19" t="s">
        <v>221</v>
      </c>
      <c r="J759" s="7" t="s">
        <v>315</v>
      </c>
      <c r="K759" s="1"/>
      <c r="L759" s="7" t="s">
        <v>195</v>
      </c>
    </row>
    <row r="760" spans="1:12" x14ac:dyDescent="0.25">
      <c r="A760" s="1"/>
      <c r="B760" s="7" t="s">
        <v>222</v>
      </c>
      <c r="C760" s="25">
        <v>20050334</v>
      </c>
      <c r="D760" s="7" t="s">
        <v>5343</v>
      </c>
      <c r="E760" s="26">
        <v>1</v>
      </c>
      <c r="F760" s="7" t="s">
        <v>225</v>
      </c>
      <c r="G760" s="7" t="s">
        <v>219</v>
      </c>
      <c r="H760" s="19" t="str">
        <f t="shared" si="12"/>
        <v/>
      </c>
      <c r="I760" s="19" t="s">
        <v>221</v>
      </c>
      <c r="J760" s="7" t="s">
        <v>315</v>
      </c>
      <c r="K760" s="1"/>
      <c r="L760" s="7" t="s">
        <v>195</v>
      </c>
    </row>
    <row r="761" spans="1:12" x14ac:dyDescent="0.25">
      <c r="A761" s="1"/>
      <c r="B761" s="7" t="s">
        <v>222</v>
      </c>
      <c r="C761" s="25">
        <v>20050335</v>
      </c>
      <c r="D761" s="7" t="s">
        <v>5344</v>
      </c>
      <c r="E761" s="26">
        <v>1</v>
      </c>
      <c r="F761" s="7" t="s">
        <v>225</v>
      </c>
      <c r="G761" s="7" t="s">
        <v>219</v>
      </c>
      <c r="H761" s="19" t="str">
        <f t="shared" si="12"/>
        <v/>
      </c>
      <c r="I761" s="19" t="s">
        <v>221</v>
      </c>
      <c r="J761" s="7" t="s">
        <v>315</v>
      </c>
      <c r="K761" s="1"/>
      <c r="L761" s="7" t="s">
        <v>195</v>
      </c>
    </row>
    <row r="762" spans="1:12" x14ac:dyDescent="0.25">
      <c r="A762" s="1"/>
      <c r="B762" s="7" t="s">
        <v>222</v>
      </c>
      <c r="C762" s="25">
        <v>20050342</v>
      </c>
      <c r="D762" s="7" t="s">
        <v>5345</v>
      </c>
      <c r="E762" s="26">
        <v>1</v>
      </c>
      <c r="F762" s="7" t="s">
        <v>225</v>
      </c>
      <c r="G762" s="7" t="s">
        <v>219</v>
      </c>
      <c r="H762" s="19" t="str">
        <f t="shared" si="12"/>
        <v/>
      </c>
      <c r="I762" s="19" t="s">
        <v>221</v>
      </c>
      <c r="J762" s="7" t="s">
        <v>315</v>
      </c>
      <c r="K762" s="1"/>
      <c r="L762" s="7" t="s">
        <v>195</v>
      </c>
    </row>
    <row r="763" spans="1:12" x14ac:dyDescent="0.25">
      <c r="A763" s="1"/>
      <c r="B763" s="7" t="s">
        <v>222</v>
      </c>
      <c r="C763" s="25">
        <v>20050343</v>
      </c>
      <c r="D763" s="7" t="s">
        <v>5346</v>
      </c>
      <c r="E763" s="26">
        <v>1</v>
      </c>
      <c r="F763" s="7" t="s">
        <v>225</v>
      </c>
      <c r="G763" s="7" t="s">
        <v>219</v>
      </c>
      <c r="H763" s="19" t="str">
        <f t="shared" si="12"/>
        <v/>
      </c>
      <c r="I763" s="19" t="s">
        <v>221</v>
      </c>
      <c r="J763" s="7" t="s">
        <v>315</v>
      </c>
      <c r="K763" s="1"/>
      <c r="L763" s="7" t="s">
        <v>195</v>
      </c>
    </row>
    <row r="764" spans="1:12" x14ac:dyDescent="0.25">
      <c r="A764" s="1"/>
      <c r="B764" s="7" t="s">
        <v>222</v>
      </c>
      <c r="C764" s="25">
        <v>20050385</v>
      </c>
      <c r="D764" s="7" t="s">
        <v>5396</v>
      </c>
      <c r="E764" s="26">
        <v>1</v>
      </c>
      <c r="F764" s="7" t="s">
        <v>225</v>
      </c>
      <c r="G764" s="7" t="s">
        <v>219</v>
      </c>
      <c r="H764" s="19" t="str">
        <f t="shared" si="12"/>
        <v/>
      </c>
      <c r="I764" s="19" t="s">
        <v>221</v>
      </c>
      <c r="J764" s="7" t="s">
        <v>5397</v>
      </c>
      <c r="K764" s="1"/>
      <c r="L764" s="7" t="s">
        <v>195</v>
      </c>
    </row>
    <row r="765" spans="1:12" x14ac:dyDescent="0.25">
      <c r="A765" s="1"/>
      <c r="B765" s="7" t="s">
        <v>230</v>
      </c>
      <c r="C765" s="25">
        <v>20050392</v>
      </c>
      <c r="D765" s="7" t="s">
        <v>5384</v>
      </c>
      <c r="E765" s="26">
        <v>1</v>
      </c>
      <c r="F765" s="7" t="s">
        <v>225</v>
      </c>
      <c r="G765" s="7" t="s">
        <v>219</v>
      </c>
      <c r="H765" s="19" t="str">
        <f t="shared" si="12"/>
        <v/>
      </c>
      <c r="I765" s="19" t="s">
        <v>910</v>
      </c>
      <c r="J765" s="7" t="s">
        <v>242</v>
      </c>
      <c r="K765" s="1"/>
      <c r="L765" s="7" t="s">
        <v>195</v>
      </c>
    </row>
    <row r="766" spans="1:12" x14ac:dyDescent="0.25">
      <c r="A766" s="1"/>
      <c r="B766" s="7" t="s">
        <v>222</v>
      </c>
      <c r="C766" s="25">
        <v>20050409</v>
      </c>
      <c r="D766" s="7" t="s">
        <v>5395</v>
      </c>
      <c r="E766" s="26">
        <v>1</v>
      </c>
      <c r="F766" s="7" t="s">
        <v>225</v>
      </c>
      <c r="G766" s="7" t="s">
        <v>219</v>
      </c>
      <c r="H766" s="19" t="str">
        <f t="shared" si="12"/>
        <v/>
      </c>
      <c r="I766" s="19" t="s">
        <v>221</v>
      </c>
      <c r="J766" s="7" t="s">
        <v>311</v>
      </c>
      <c r="K766" s="1"/>
      <c r="L766" s="7" t="s">
        <v>195</v>
      </c>
    </row>
    <row r="767" spans="1:12" x14ac:dyDescent="0.25">
      <c r="A767" s="1"/>
      <c r="B767" s="7" t="s">
        <v>230</v>
      </c>
      <c r="C767" s="25">
        <v>20050423</v>
      </c>
      <c r="D767" s="7" t="s">
        <v>5399</v>
      </c>
      <c r="E767" s="26">
        <v>1</v>
      </c>
      <c r="F767" s="7" t="s">
        <v>225</v>
      </c>
      <c r="G767" s="7" t="s">
        <v>219</v>
      </c>
      <c r="H767" s="19" t="str">
        <f t="shared" si="12"/>
        <v/>
      </c>
      <c r="I767" s="19" t="s">
        <v>910</v>
      </c>
      <c r="J767" s="7" t="s">
        <v>309</v>
      </c>
      <c r="K767" s="1"/>
      <c r="L767" s="7" t="s">
        <v>195</v>
      </c>
    </row>
    <row r="768" spans="1:12" x14ac:dyDescent="0.25">
      <c r="A768" s="1"/>
      <c r="B768" s="7" t="s">
        <v>222</v>
      </c>
      <c r="C768" s="25">
        <v>20050432</v>
      </c>
      <c r="D768" s="7" t="s">
        <v>5401</v>
      </c>
      <c r="E768" s="26">
        <v>1</v>
      </c>
      <c r="F768" s="7" t="s">
        <v>225</v>
      </c>
      <c r="G768" s="7" t="s">
        <v>219</v>
      </c>
      <c r="H768" s="19" t="str">
        <f t="shared" si="12"/>
        <v/>
      </c>
      <c r="I768" s="19" t="s">
        <v>221</v>
      </c>
      <c r="J768" s="7" t="s">
        <v>5397</v>
      </c>
      <c r="K768" s="1"/>
      <c r="L768" s="7" t="s">
        <v>195</v>
      </c>
    </row>
    <row r="769" spans="1:12" x14ac:dyDescent="0.25">
      <c r="A769" s="1"/>
      <c r="B769" s="7" t="s">
        <v>222</v>
      </c>
      <c r="C769" s="25">
        <v>20050442</v>
      </c>
      <c r="D769" s="7" t="s">
        <v>5402</v>
      </c>
      <c r="E769" s="26">
        <v>1</v>
      </c>
      <c r="F769" s="7" t="s">
        <v>225</v>
      </c>
      <c r="G769" s="7" t="s">
        <v>219</v>
      </c>
      <c r="H769" s="19" t="str">
        <f t="shared" si="12"/>
        <v/>
      </c>
      <c r="I769" s="19" t="s">
        <v>221</v>
      </c>
      <c r="J769" s="7" t="s">
        <v>5397</v>
      </c>
      <c r="K769" s="1"/>
      <c r="L769" s="7" t="s">
        <v>195</v>
      </c>
    </row>
    <row r="770" spans="1:12" x14ac:dyDescent="0.25">
      <c r="A770" s="1"/>
      <c r="B770" s="7" t="s">
        <v>222</v>
      </c>
      <c r="C770" s="25">
        <v>20050462</v>
      </c>
      <c r="D770" s="7" t="s">
        <v>5404</v>
      </c>
      <c r="E770" s="26">
        <v>1</v>
      </c>
      <c r="F770" s="7" t="s">
        <v>225</v>
      </c>
      <c r="G770" s="7" t="s">
        <v>219</v>
      </c>
      <c r="H770" s="19" t="str">
        <f t="shared" si="12"/>
        <v/>
      </c>
      <c r="I770" s="19" t="s">
        <v>221</v>
      </c>
      <c r="J770" s="7" t="s">
        <v>5397</v>
      </c>
      <c r="K770" s="1"/>
      <c r="L770" s="7" t="s">
        <v>195</v>
      </c>
    </row>
    <row r="771" spans="1:12" x14ac:dyDescent="0.25">
      <c r="A771" s="1"/>
      <c r="B771" s="7" t="s">
        <v>222</v>
      </c>
      <c r="C771" s="25">
        <v>20050472</v>
      </c>
      <c r="D771" s="7" t="s">
        <v>5405</v>
      </c>
      <c r="E771" s="26">
        <v>1</v>
      </c>
      <c r="F771" s="7" t="s">
        <v>225</v>
      </c>
      <c r="G771" s="7" t="s">
        <v>219</v>
      </c>
      <c r="H771" s="19" t="str">
        <f t="shared" si="12"/>
        <v/>
      </c>
      <c r="I771" s="19" t="s">
        <v>221</v>
      </c>
      <c r="J771" s="7" t="s">
        <v>5397</v>
      </c>
      <c r="K771" s="1"/>
      <c r="L771" s="7" t="s">
        <v>195</v>
      </c>
    </row>
    <row r="772" spans="1:12" x14ac:dyDescent="0.25">
      <c r="A772" s="1"/>
      <c r="B772" s="7" t="s">
        <v>223</v>
      </c>
      <c r="C772" s="25">
        <v>20050482</v>
      </c>
      <c r="D772" s="7" t="s">
        <v>5406</v>
      </c>
      <c r="E772" s="26">
        <v>1</v>
      </c>
      <c r="F772" s="7" t="s">
        <v>225</v>
      </c>
      <c r="G772" s="7" t="s">
        <v>219</v>
      </c>
      <c r="H772" s="19" t="str">
        <f t="shared" si="12"/>
        <v/>
      </c>
      <c r="I772" s="19" t="s">
        <v>399</v>
      </c>
      <c r="J772" s="7" t="s">
        <v>311</v>
      </c>
      <c r="K772" s="1"/>
      <c r="L772" s="7" t="s">
        <v>195</v>
      </c>
    </row>
    <row r="773" spans="1:12" x14ac:dyDescent="0.25">
      <c r="A773" s="1"/>
      <c r="B773" s="7" t="s">
        <v>223</v>
      </c>
      <c r="C773" s="25">
        <v>20050483</v>
      </c>
      <c r="D773" s="7" t="s">
        <v>5407</v>
      </c>
      <c r="E773" s="26">
        <v>1</v>
      </c>
      <c r="F773" s="7" t="s">
        <v>225</v>
      </c>
      <c r="G773" s="7" t="s">
        <v>219</v>
      </c>
      <c r="H773" s="19" t="str">
        <f t="shared" si="12"/>
        <v/>
      </c>
      <c r="I773" s="19" t="s">
        <v>399</v>
      </c>
      <c r="J773" s="7" t="s">
        <v>311</v>
      </c>
      <c r="K773" s="1"/>
      <c r="L773" s="7" t="s">
        <v>195</v>
      </c>
    </row>
    <row r="774" spans="1:12" x14ac:dyDescent="0.25">
      <c r="A774" s="1"/>
      <c r="B774" s="7" t="s">
        <v>223</v>
      </c>
      <c r="C774" s="25">
        <v>20050484</v>
      </c>
      <c r="D774" s="7" t="s">
        <v>5408</v>
      </c>
      <c r="E774" s="26">
        <v>1</v>
      </c>
      <c r="F774" s="7" t="s">
        <v>225</v>
      </c>
      <c r="G774" s="7" t="s">
        <v>219</v>
      </c>
      <c r="H774" s="19" t="str">
        <f t="shared" si="12"/>
        <v/>
      </c>
      <c r="I774" s="19" t="s">
        <v>399</v>
      </c>
      <c r="J774" s="7" t="s">
        <v>311</v>
      </c>
      <c r="K774" s="1"/>
      <c r="L774" s="7" t="s">
        <v>195</v>
      </c>
    </row>
    <row r="775" spans="1:12" x14ac:dyDescent="0.25">
      <c r="A775" s="1"/>
      <c r="B775" s="7" t="s">
        <v>223</v>
      </c>
      <c r="C775" s="25">
        <v>20050485</v>
      </c>
      <c r="D775" s="7" t="s">
        <v>5409</v>
      </c>
      <c r="E775" s="26">
        <v>1</v>
      </c>
      <c r="F775" s="7" t="s">
        <v>225</v>
      </c>
      <c r="G775" s="7" t="s">
        <v>219</v>
      </c>
      <c r="H775" s="19" t="str">
        <f t="shared" si="12"/>
        <v/>
      </c>
      <c r="I775" s="19" t="s">
        <v>399</v>
      </c>
      <c r="J775" s="7" t="s">
        <v>311</v>
      </c>
      <c r="K775" s="1"/>
      <c r="L775" s="7" t="s">
        <v>195</v>
      </c>
    </row>
    <row r="776" spans="1:12" x14ac:dyDescent="0.25">
      <c r="A776" s="1"/>
      <c r="B776" s="7" t="s">
        <v>223</v>
      </c>
      <c r="C776" s="25">
        <v>20050486</v>
      </c>
      <c r="D776" s="7" t="s">
        <v>5410</v>
      </c>
      <c r="E776" s="26">
        <v>1</v>
      </c>
      <c r="F776" s="7" t="s">
        <v>225</v>
      </c>
      <c r="G776" s="7" t="s">
        <v>219</v>
      </c>
      <c r="H776" s="19" t="str">
        <f t="shared" si="12"/>
        <v/>
      </c>
      <c r="I776" s="19" t="s">
        <v>399</v>
      </c>
      <c r="J776" s="7" t="s">
        <v>311</v>
      </c>
      <c r="K776" s="1"/>
      <c r="L776" s="7" t="s">
        <v>195</v>
      </c>
    </row>
    <row r="777" spans="1:12" x14ac:dyDescent="0.25">
      <c r="A777" s="1"/>
      <c r="B777" s="7" t="s">
        <v>222</v>
      </c>
      <c r="C777" s="25">
        <v>20050534</v>
      </c>
      <c r="D777" s="7" t="s">
        <v>5428</v>
      </c>
      <c r="E777" s="26">
        <v>1</v>
      </c>
      <c r="F777" s="7" t="s">
        <v>225</v>
      </c>
      <c r="G777" s="7" t="s">
        <v>219</v>
      </c>
      <c r="H777" s="19" t="str">
        <f t="shared" si="12"/>
        <v/>
      </c>
      <c r="I777" s="19" t="s">
        <v>221</v>
      </c>
      <c r="J777" s="7" t="s">
        <v>347</v>
      </c>
      <c r="K777" s="1"/>
      <c r="L777" s="7" t="s">
        <v>195</v>
      </c>
    </row>
    <row r="778" spans="1:12" x14ac:dyDescent="0.25">
      <c r="A778" s="1"/>
      <c r="B778" s="7" t="s">
        <v>222</v>
      </c>
      <c r="C778" s="25">
        <v>20050535</v>
      </c>
      <c r="D778" s="7" t="s">
        <v>5429</v>
      </c>
      <c r="E778" s="26">
        <v>1</v>
      </c>
      <c r="F778" s="7" t="s">
        <v>225</v>
      </c>
      <c r="G778" s="7" t="s">
        <v>219</v>
      </c>
      <c r="H778" s="19" t="str">
        <f t="shared" si="12"/>
        <v/>
      </c>
      <c r="I778" s="19" t="s">
        <v>221</v>
      </c>
      <c r="J778" s="7" t="s">
        <v>347</v>
      </c>
      <c r="K778" s="1"/>
      <c r="L778" s="7" t="s">
        <v>195</v>
      </c>
    </row>
    <row r="779" spans="1:12" x14ac:dyDescent="0.25">
      <c r="A779" s="1"/>
      <c r="B779" s="7" t="s">
        <v>222</v>
      </c>
      <c r="C779" s="25">
        <v>20050536</v>
      </c>
      <c r="D779" s="7" t="s">
        <v>5430</v>
      </c>
      <c r="E779" s="26">
        <v>1</v>
      </c>
      <c r="F779" s="7" t="s">
        <v>225</v>
      </c>
      <c r="G779" s="7" t="s">
        <v>219</v>
      </c>
      <c r="H779" s="19" t="str">
        <f t="shared" si="12"/>
        <v/>
      </c>
      <c r="I779" s="19" t="s">
        <v>221</v>
      </c>
      <c r="J779" s="7" t="s">
        <v>347</v>
      </c>
      <c r="K779" s="1"/>
      <c r="L779" s="7" t="s">
        <v>195</v>
      </c>
    </row>
    <row r="780" spans="1:12" x14ac:dyDescent="0.25">
      <c r="A780" s="1"/>
      <c r="B780" s="7" t="s">
        <v>222</v>
      </c>
      <c r="C780" s="25">
        <v>20050537</v>
      </c>
      <c r="D780" s="7" t="s">
        <v>5431</v>
      </c>
      <c r="E780" s="26">
        <v>1</v>
      </c>
      <c r="F780" s="7" t="s">
        <v>225</v>
      </c>
      <c r="G780" s="7" t="s">
        <v>219</v>
      </c>
      <c r="H780" s="19" t="str">
        <f t="shared" si="12"/>
        <v/>
      </c>
      <c r="I780" s="19" t="s">
        <v>221</v>
      </c>
      <c r="J780" s="7" t="s">
        <v>347</v>
      </c>
      <c r="K780" s="1"/>
      <c r="L780" s="7" t="s">
        <v>195</v>
      </c>
    </row>
    <row r="781" spans="1:12" x14ac:dyDescent="0.25">
      <c r="A781" s="1"/>
      <c r="B781" s="7" t="s">
        <v>222</v>
      </c>
      <c r="C781" s="25">
        <v>20050538</v>
      </c>
      <c r="D781" s="7" t="s">
        <v>5432</v>
      </c>
      <c r="E781" s="26">
        <v>1</v>
      </c>
      <c r="F781" s="7" t="s">
        <v>225</v>
      </c>
      <c r="G781" s="7" t="s">
        <v>219</v>
      </c>
      <c r="H781" s="19" t="str">
        <f t="shared" si="12"/>
        <v/>
      </c>
      <c r="I781" s="19" t="s">
        <v>221</v>
      </c>
      <c r="J781" s="7" t="s">
        <v>347</v>
      </c>
      <c r="K781" s="1"/>
      <c r="L781" s="7" t="s">
        <v>195</v>
      </c>
    </row>
    <row r="782" spans="1:12" x14ac:dyDescent="0.25">
      <c r="A782" s="1"/>
      <c r="B782" s="7" t="s">
        <v>222</v>
      </c>
      <c r="C782" s="25">
        <v>20050539</v>
      </c>
      <c r="D782" s="7" t="s">
        <v>5433</v>
      </c>
      <c r="E782" s="26">
        <v>1</v>
      </c>
      <c r="F782" s="7" t="s">
        <v>225</v>
      </c>
      <c r="G782" s="7" t="s">
        <v>219</v>
      </c>
      <c r="H782" s="19" t="str">
        <f t="shared" si="12"/>
        <v/>
      </c>
      <c r="I782" s="19" t="s">
        <v>221</v>
      </c>
      <c r="J782" s="7" t="s">
        <v>347</v>
      </c>
      <c r="K782" s="1"/>
      <c r="L782" s="7" t="s">
        <v>195</v>
      </c>
    </row>
    <row r="783" spans="1:12" x14ac:dyDescent="0.25">
      <c r="A783" s="1"/>
      <c r="B783" s="7" t="s">
        <v>222</v>
      </c>
      <c r="C783" s="25">
        <v>20050540</v>
      </c>
      <c r="D783" s="7" t="s">
        <v>5434</v>
      </c>
      <c r="E783" s="26">
        <v>1</v>
      </c>
      <c r="F783" s="7" t="s">
        <v>225</v>
      </c>
      <c r="G783" s="7" t="s">
        <v>219</v>
      </c>
      <c r="H783" s="19" t="str">
        <f t="shared" ref="H783:H846" si="13">IF(A783="", "", A783*E783)</f>
        <v/>
      </c>
      <c r="I783" s="19" t="s">
        <v>221</v>
      </c>
      <c r="J783" s="7" t="s">
        <v>347</v>
      </c>
      <c r="K783" s="1"/>
      <c r="L783" s="7" t="s">
        <v>195</v>
      </c>
    </row>
    <row r="784" spans="1:12" x14ac:dyDescent="0.25">
      <c r="A784" s="1"/>
      <c r="B784" s="7" t="s">
        <v>222</v>
      </c>
      <c r="C784" s="25">
        <v>20050541</v>
      </c>
      <c r="D784" s="7" t="s">
        <v>5435</v>
      </c>
      <c r="E784" s="26">
        <v>1</v>
      </c>
      <c r="F784" s="7" t="s">
        <v>225</v>
      </c>
      <c r="G784" s="7" t="s">
        <v>219</v>
      </c>
      <c r="H784" s="19" t="str">
        <f t="shared" si="13"/>
        <v/>
      </c>
      <c r="I784" s="19" t="s">
        <v>221</v>
      </c>
      <c r="J784" s="7" t="s">
        <v>347</v>
      </c>
      <c r="K784" s="1"/>
      <c r="L784" s="7" t="s">
        <v>195</v>
      </c>
    </row>
    <row r="785" spans="1:12" x14ac:dyDescent="0.25">
      <c r="A785" s="1"/>
      <c r="B785" s="7" t="s">
        <v>222</v>
      </c>
      <c r="C785" s="25">
        <v>20050552</v>
      </c>
      <c r="D785" s="7" t="s">
        <v>5436</v>
      </c>
      <c r="E785" s="26">
        <v>1</v>
      </c>
      <c r="F785" s="7" t="s">
        <v>225</v>
      </c>
      <c r="G785" s="7" t="s">
        <v>219</v>
      </c>
      <c r="H785" s="19" t="str">
        <f t="shared" si="13"/>
        <v/>
      </c>
      <c r="I785" s="19" t="s">
        <v>221</v>
      </c>
      <c r="J785" s="7" t="s">
        <v>313</v>
      </c>
      <c r="K785" s="1"/>
      <c r="L785" s="7" t="s">
        <v>195</v>
      </c>
    </row>
    <row r="786" spans="1:12" x14ac:dyDescent="0.25">
      <c r="A786" s="1"/>
      <c r="B786" s="7" t="s">
        <v>230</v>
      </c>
      <c r="C786" s="25">
        <v>20050554</v>
      </c>
      <c r="D786" s="7" t="s">
        <v>5438</v>
      </c>
      <c r="E786" s="26">
        <v>1</v>
      </c>
      <c r="F786" s="7" t="s">
        <v>225</v>
      </c>
      <c r="G786" s="7" t="s">
        <v>219</v>
      </c>
      <c r="H786" s="19" t="str">
        <f t="shared" si="13"/>
        <v/>
      </c>
      <c r="I786" s="19" t="s">
        <v>910</v>
      </c>
      <c r="J786" s="7" t="s">
        <v>309</v>
      </c>
      <c r="K786" s="1"/>
      <c r="L786" s="7" t="s">
        <v>195</v>
      </c>
    </row>
    <row r="787" spans="1:12" x14ac:dyDescent="0.25">
      <c r="A787" s="1"/>
      <c r="B787" s="7" t="s">
        <v>230</v>
      </c>
      <c r="C787" s="25">
        <v>20050555</v>
      </c>
      <c r="D787" s="7" t="s">
        <v>5439</v>
      </c>
      <c r="E787" s="26">
        <v>1</v>
      </c>
      <c r="F787" s="7" t="s">
        <v>225</v>
      </c>
      <c r="G787" s="7" t="s">
        <v>219</v>
      </c>
      <c r="H787" s="19" t="str">
        <f t="shared" si="13"/>
        <v/>
      </c>
      <c r="I787" s="19" t="s">
        <v>910</v>
      </c>
      <c r="J787" s="7" t="s">
        <v>309</v>
      </c>
      <c r="K787" s="1"/>
      <c r="L787" s="7" t="s">
        <v>195</v>
      </c>
    </row>
    <row r="788" spans="1:12" x14ac:dyDescent="0.25">
      <c r="A788" s="1"/>
      <c r="B788" s="7" t="s">
        <v>227</v>
      </c>
      <c r="C788" s="25">
        <v>20050584</v>
      </c>
      <c r="D788" s="7" t="s">
        <v>5443</v>
      </c>
      <c r="E788" s="26">
        <v>1</v>
      </c>
      <c r="F788" s="7" t="s">
        <v>225</v>
      </c>
      <c r="G788" s="7" t="s">
        <v>219</v>
      </c>
      <c r="H788" s="19" t="str">
        <f t="shared" si="13"/>
        <v/>
      </c>
      <c r="I788" s="19" t="s">
        <v>37</v>
      </c>
      <c r="J788" s="7" t="s">
        <v>942</v>
      </c>
      <c r="K788" s="1"/>
      <c r="L788" s="7" t="s">
        <v>232</v>
      </c>
    </row>
    <row r="789" spans="1:12" x14ac:dyDescent="0.25">
      <c r="A789" s="1"/>
      <c r="B789" s="7" t="s">
        <v>222</v>
      </c>
      <c r="C789" s="25">
        <v>20050758</v>
      </c>
      <c r="D789" s="7" t="s">
        <v>5589</v>
      </c>
      <c r="E789" s="26">
        <v>1</v>
      </c>
      <c r="F789" s="7" t="s">
        <v>225</v>
      </c>
      <c r="G789" s="7" t="s">
        <v>219</v>
      </c>
      <c r="H789" s="19" t="str">
        <f t="shared" si="13"/>
        <v/>
      </c>
      <c r="I789" s="19" t="s">
        <v>221</v>
      </c>
      <c r="J789" s="7" t="s">
        <v>347</v>
      </c>
      <c r="K789" s="1"/>
      <c r="L789" s="7" t="s">
        <v>195</v>
      </c>
    </row>
    <row r="790" spans="1:12" x14ac:dyDescent="0.25">
      <c r="A790" s="1"/>
      <c r="B790" s="7" t="s">
        <v>222</v>
      </c>
      <c r="C790" s="25">
        <v>20050761</v>
      </c>
      <c r="D790" s="7" t="s">
        <v>5593</v>
      </c>
      <c r="E790" s="26">
        <v>1</v>
      </c>
      <c r="F790" s="7" t="s">
        <v>225</v>
      </c>
      <c r="G790" s="7" t="s">
        <v>219</v>
      </c>
      <c r="H790" s="19" t="str">
        <f t="shared" si="13"/>
        <v/>
      </c>
      <c r="I790" s="19" t="s">
        <v>221</v>
      </c>
      <c r="J790" s="7" t="s">
        <v>347</v>
      </c>
      <c r="K790" s="1"/>
      <c r="L790" s="7" t="s">
        <v>195</v>
      </c>
    </row>
    <row r="791" spans="1:12" x14ac:dyDescent="0.25">
      <c r="A791" s="1"/>
      <c r="B791" s="7" t="s">
        <v>222</v>
      </c>
      <c r="C791" s="25">
        <v>20050762</v>
      </c>
      <c r="D791" s="7" t="s">
        <v>11267</v>
      </c>
      <c r="E791" s="26">
        <v>1</v>
      </c>
      <c r="F791" s="7" t="s">
        <v>225</v>
      </c>
      <c r="G791" s="7" t="s">
        <v>219</v>
      </c>
      <c r="H791" s="19" t="str">
        <f t="shared" si="13"/>
        <v/>
      </c>
      <c r="I791" s="19" t="s">
        <v>221</v>
      </c>
      <c r="J791" s="7" t="s">
        <v>309</v>
      </c>
      <c r="K791" s="1"/>
      <c r="L791" s="7" t="s">
        <v>232</v>
      </c>
    </row>
    <row r="792" spans="1:12" x14ac:dyDescent="0.25">
      <c r="A792" s="1"/>
      <c r="B792" s="7" t="s">
        <v>222</v>
      </c>
      <c r="C792" s="25">
        <v>20050792</v>
      </c>
      <c r="D792" s="7" t="s">
        <v>5598</v>
      </c>
      <c r="E792" s="26">
        <v>1</v>
      </c>
      <c r="F792" s="7" t="s">
        <v>225</v>
      </c>
      <c r="G792" s="7" t="s">
        <v>219</v>
      </c>
      <c r="H792" s="19" t="str">
        <f t="shared" si="13"/>
        <v/>
      </c>
      <c r="I792" s="19" t="s">
        <v>221</v>
      </c>
      <c r="J792" s="7" t="s">
        <v>311</v>
      </c>
      <c r="K792" s="1"/>
      <c r="L792" s="7" t="s">
        <v>195</v>
      </c>
    </row>
    <row r="793" spans="1:12" x14ac:dyDescent="0.25">
      <c r="A793" s="1"/>
      <c r="B793" s="7" t="s">
        <v>222</v>
      </c>
      <c r="C793" s="25">
        <v>20050812</v>
      </c>
      <c r="D793" s="7" t="s">
        <v>5601</v>
      </c>
      <c r="E793" s="26">
        <v>3</v>
      </c>
      <c r="F793" s="7" t="s">
        <v>225</v>
      </c>
      <c r="G793" s="7" t="s">
        <v>219</v>
      </c>
      <c r="H793" s="19" t="str">
        <f t="shared" si="13"/>
        <v/>
      </c>
      <c r="I793" s="19" t="s">
        <v>221</v>
      </c>
      <c r="J793" s="7" t="s">
        <v>315</v>
      </c>
      <c r="K793" s="1"/>
      <c r="L793" s="7" t="s">
        <v>195</v>
      </c>
    </row>
    <row r="794" spans="1:12" x14ac:dyDescent="0.25">
      <c r="A794" s="1"/>
      <c r="B794" s="7" t="s">
        <v>222</v>
      </c>
      <c r="C794" s="25">
        <v>20050813</v>
      </c>
      <c r="D794" s="7" t="s">
        <v>5606</v>
      </c>
      <c r="E794" s="26">
        <v>1</v>
      </c>
      <c r="F794" s="7" t="s">
        <v>225</v>
      </c>
      <c r="G794" s="7" t="s">
        <v>219</v>
      </c>
      <c r="H794" s="19" t="str">
        <f t="shared" si="13"/>
        <v/>
      </c>
      <c r="I794" s="19" t="s">
        <v>221</v>
      </c>
      <c r="J794" s="7" t="s">
        <v>347</v>
      </c>
      <c r="K794" s="1"/>
      <c r="L794" s="7" t="s">
        <v>195</v>
      </c>
    </row>
    <row r="795" spans="1:12" x14ac:dyDescent="0.25">
      <c r="A795" s="1"/>
      <c r="B795" s="7" t="s">
        <v>222</v>
      </c>
      <c r="C795" s="25">
        <v>20050825</v>
      </c>
      <c r="D795" s="7" t="s">
        <v>11707</v>
      </c>
      <c r="E795" s="26">
        <v>1</v>
      </c>
      <c r="F795" s="7" t="s">
        <v>273</v>
      </c>
      <c r="G795" s="7" t="s">
        <v>219</v>
      </c>
      <c r="H795" s="19" t="str">
        <f t="shared" si="13"/>
        <v/>
      </c>
      <c r="I795" s="19" t="s">
        <v>221</v>
      </c>
      <c r="J795" s="7" t="s">
        <v>397</v>
      </c>
      <c r="K795" s="1"/>
      <c r="L795" s="7" t="s">
        <v>232</v>
      </c>
    </row>
    <row r="796" spans="1:12" x14ac:dyDescent="0.25">
      <c r="A796" s="1"/>
      <c r="B796" s="7" t="s">
        <v>223</v>
      </c>
      <c r="C796" s="25">
        <v>20050832</v>
      </c>
      <c r="D796" s="7" t="s">
        <v>10933</v>
      </c>
      <c r="E796" s="26">
        <v>1</v>
      </c>
      <c r="F796" s="7" t="s">
        <v>225</v>
      </c>
      <c r="G796" s="7" t="s">
        <v>219</v>
      </c>
      <c r="H796" s="19" t="str">
        <f t="shared" si="13"/>
        <v/>
      </c>
      <c r="I796" s="19" t="s">
        <v>399</v>
      </c>
      <c r="J796" s="7" t="s">
        <v>311</v>
      </c>
      <c r="K796" s="1"/>
      <c r="L796" s="7" t="s">
        <v>195</v>
      </c>
    </row>
    <row r="797" spans="1:12" x14ac:dyDescent="0.25">
      <c r="A797" s="1"/>
      <c r="B797" s="7" t="s">
        <v>222</v>
      </c>
      <c r="C797" s="25">
        <v>20050884</v>
      </c>
      <c r="D797" s="7" t="s">
        <v>11085</v>
      </c>
      <c r="E797" s="26">
        <v>1</v>
      </c>
      <c r="F797" s="7" t="s">
        <v>225</v>
      </c>
      <c r="G797" s="7" t="s">
        <v>219</v>
      </c>
      <c r="H797" s="19" t="str">
        <f t="shared" si="13"/>
        <v/>
      </c>
      <c r="I797" s="19" t="s">
        <v>221</v>
      </c>
      <c r="J797" s="7" t="s">
        <v>347</v>
      </c>
      <c r="K797" s="1"/>
      <c r="L797" s="7" t="s">
        <v>195</v>
      </c>
    </row>
    <row r="798" spans="1:12" x14ac:dyDescent="0.25">
      <c r="A798" s="1"/>
      <c r="B798" s="7" t="s">
        <v>230</v>
      </c>
      <c r="C798" s="25">
        <v>20050955</v>
      </c>
      <c r="D798" s="7" t="s">
        <v>11343</v>
      </c>
      <c r="E798" s="26">
        <v>1</v>
      </c>
      <c r="F798" s="7" t="s">
        <v>225</v>
      </c>
      <c r="G798" s="7" t="s">
        <v>219</v>
      </c>
      <c r="H798" s="19" t="str">
        <f t="shared" si="13"/>
        <v/>
      </c>
      <c r="I798" s="19" t="s">
        <v>910</v>
      </c>
      <c r="J798" s="7" t="s">
        <v>1184</v>
      </c>
      <c r="K798" s="1"/>
      <c r="L798" s="7" t="s">
        <v>195</v>
      </c>
    </row>
    <row r="799" spans="1:12" x14ac:dyDescent="0.25">
      <c r="A799" s="1"/>
      <c r="B799" s="7" t="s">
        <v>223</v>
      </c>
      <c r="C799" s="25">
        <v>20050973</v>
      </c>
      <c r="D799" s="7" t="s">
        <v>11285</v>
      </c>
      <c r="E799" s="26">
        <v>1</v>
      </c>
      <c r="F799" s="7" t="s">
        <v>225</v>
      </c>
      <c r="G799" s="7" t="s">
        <v>219</v>
      </c>
      <c r="H799" s="19" t="str">
        <f t="shared" si="13"/>
        <v/>
      </c>
      <c r="I799" s="19" t="s">
        <v>399</v>
      </c>
      <c r="J799" s="7" t="s">
        <v>337</v>
      </c>
      <c r="K799" s="1"/>
      <c r="L799" s="7" t="s">
        <v>195</v>
      </c>
    </row>
    <row r="800" spans="1:12" x14ac:dyDescent="0.25">
      <c r="A800" s="1"/>
      <c r="B800" s="7" t="s">
        <v>222</v>
      </c>
      <c r="C800" s="25">
        <v>20050983</v>
      </c>
      <c r="D800" s="7" t="s">
        <v>11292</v>
      </c>
      <c r="E800" s="26">
        <v>1</v>
      </c>
      <c r="F800" s="7" t="s">
        <v>225</v>
      </c>
      <c r="G800" s="7" t="s">
        <v>219</v>
      </c>
      <c r="H800" s="19" t="str">
        <f t="shared" si="13"/>
        <v/>
      </c>
      <c r="I800" s="19" t="s">
        <v>221</v>
      </c>
      <c r="J800" s="7" t="s">
        <v>311</v>
      </c>
      <c r="K800" s="1"/>
      <c r="L800" s="7" t="s">
        <v>195</v>
      </c>
    </row>
    <row r="801" spans="1:12" x14ac:dyDescent="0.25">
      <c r="A801" s="1"/>
      <c r="B801" s="7" t="s">
        <v>222</v>
      </c>
      <c r="C801" s="25">
        <v>20051037</v>
      </c>
      <c r="D801" s="7" t="s">
        <v>11475</v>
      </c>
      <c r="E801" s="26">
        <v>1</v>
      </c>
      <c r="F801" s="7" t="s">
        <v>225</v>
      </c>
      <c r="G801" s="7" t="s">
        <v>219</v>
      </c>
      <c r="H801" s="19" t="str">
        <f t="shared" si="13"/>
        <v/>
      </c>
      <c r="I801" s="19" t="s">
        <v>221</v>
      </c>
      <c r="J801" s="7" t="s">
        <v>5397</v>
      </c>
      <c r="K801" s="1"/>
      <c r="L801" s="7" t="s">
        <v>195</v>
      </c>
    </row>
    <row r="802" spans="1:12" x14ac:dyDescent="0.25">
      <c r="A802" s="1"/>
      <c r="B802" s="7" t="s">
        <v>222</v>
      </c>
      <c r="C802" s="25">
        <v>20051046</v>
      </c>
      <c r="D802" s="7" t="s">
        <v>11483</v>
      </c>
      <c r="E802" s="26">
        <v>1</v>
      </c>
      <c r="F802" s="7" t="s">
        <v>225</v>
      </c>
      <c r="G802" s="7" t="s">
        <v>219</v>
      </c>
      <c r="H802" s="19" t="str">
        <f t="shared" si="13"/>
        <v/>
      </c>
      <c r="I802" s="19" t="s">
        <v>221</v>
      </c>
      <c r="J802" s="7" t="s">
        <v>5397</v>
      </c>
      <c r="K802" s="1"/>
      <c r="L802" s="7" t="s">
        <v>195</v>
      </c>
    </row>
    <row r="803" spans="1:12" x14ac:dyDescent="0.25">
      <c r="A803" s="1"/>
      <c r="B803" s="7" t="s">
        <v>222</v>
      </c>
      <c r="C803" s="25">
        <v>20051058</v>
      </c>
      <c r="D803" s="7" t="s">
        <v>11495</v>
      </c>
      <c r="E803" s="26">
        <v>1</v>
      </c>
      <c r="F803" s="7" t="s">
        <v>225</v>
      </c>
      <c r="G803" s="7" t="s">
        <v>219</v>
      </c>
      <c r="H803" s="19" t="str">
        <f t="shared" si="13"/>
        <v/>
      </c>
      <c r="I803" s="19" t="s">
        <v>221</v>
      </c>
      <c r="J803" s="7" t="s">
        <v>5397</v>
      </c>
      <c r="K803" s="1"/>
      <c r="L803" s="7" t="s">
        <v>195</v>
      </c>
    </row>
    <row r="804" spans="1:12" x14ac:dyDescent="0.25">
      <c r="A804" s="1"/>
      <c r="B804" s="7" t="s">
        <v>222</v>
      </c>
      <c r="C804" s="25">
        <v>20051084</v>
      </c>
      <c r="D804" s="7" t="s">
        <v>11654</v>
      </c>
      <c r="E804" s="26">
        <v>1</v>
      </c>
      <c r="F804" s="7" t="s">
        <v>225</v>
      </c>
      <c r="G804" s="7" t="s">
        <v>219</v>
      </c>
      <c r="H804" s="19" t="str">
        <f t="shared" si="13"/>
        <v/>
      </c>
      <c r="I804" s="19" t="s">
        <v>221</v>
      </c>
      <c r="J804" s="7" t="s">
        <v>309</v>
      </c>
      <c r="K804" s="1"/>
      <c r="L804" s="7" t="s">
        <v>195</v>
      </c>
    </row>
    <row r="805" spans="1:12" x14ac:dyDescent="0.25">
      <c r="A805" s="1"/>
      <c r="B805" s="7" t="s">
        <v>222</v>
      </c>
      <c r="C805" s="25">
        <v>20051103</v>
      </c>
      <c r="D805" s="7" t="s">
        <v>11716</v>
      </c>
      <c r="E805" s="26">
        <v>1</v>
      </c>
      <c r="F805" s="7" t="s">
        <v>225</v>
      </c>
      <c r="G805" s="7" t="s">
        <v>219</v>
      </c>
      <c r="H805" s="19" t="str">
        <f t="shared" si="13"/>
        <v/>
      </c>
      <c r="I805" s="19" t="s">
        <v>221</v>
      </c>
      <c r="J805" s="7" t="s">
        <v>315</v>
      </c>
      <c r="K805" s="1"/>
      <c r="L805" s="7" t="s">
        <v>195</v>
      </c>
    </row>
    <row r="806" spans="1:12" x14ac:dyDescent="0.25">
      <c r="A806" s="1"/>
      <c r="B806" s="7" t="s">
        <v>222</v>
      </c>
      <c r="C806" s="25">
        <v>20051112</v>
      </c>
      <c r="D806" s="7" t="s">
        <v>11722</v>
      </c>
      <c r="E806" s="26">
        <v>1</v>
      </c>
      <c r="F806" s="7" t="s">
        <v>225</v>
      </c>
      <c r="G806" s="7" t="s">
        <v>219</v>
      </c>
      <c r="H806" s="19" t="str">
        <f t="shared" si="13"/>
        <v/>
      </c>
      <c r="I806" s="19" t="s">
        <v>221</v>
      </c>
      <c r="J806" s="7" t="s">
        <v>315</v>
      </c>
      <c r="K806" s="1"/>
      <c r="L806" s="7" t="s">
        <v>195</v>
      </c>
    </row>
    <row r="807" spans="1:12" x14ac:dyDescent="0.25">
      <c r="A807" s="1"/>
      <c r="B807" s="7" t="s">
        <v>222</v>
      </c>
      <c r="C807" s="25">
        <v>26000080</v>
      </c>
      <c r="D807" s="7" t="s">
        <v>2878</v>
      </c>
      <c r="E807" s="26">
        <v>1</v>
      </c>
      <c r="F807" s="7" t="s">
        <v>352</v>
      </c>
      <c r="G807" s="7" t="s">
        <v>163</v>
      </c>
      <c r="H807" s="19" t="str">
        <f t="shared" si="13"/>
        <v/>
      </c>
      <c r="I807" s="19" t="s">
        <v>221</v>
      </c>
      <c r="J807" s="7" t="s">
        <v>397</v>
      </c>
      <c r="K807" s="1"/>
      <c r="L807" s="7" t="s">
        <v>232</v>
      </c>
    </row>
    <row r="808" spans="1:12" x14ac:dyDescent="0.25">
      <c r="A808" s="1"/>
      <c r="B808" s="7" t="s">
        <v>222</v>
      </c>
      <c r="C808" s="25">
        <v>26000085</v>
      </c>
      <c r="D808" s="7" t="s">
        <v>2879</v>
      </c>
      <c r="E808" s="26">
        <v>1</v>
      </c>
      <c r="F808" s="7" t="s">
        <v>352</v>
      </c>
      <c r="G808" s="7" t="s">
        <v>163</v>
      </c>
      <c r="H808" s="19" t="str">
        <f t="shared" si="13"/>
        <v/>
      </c>
      <c r="I808" s="19" t="s">
        <v>221</v>
      </c>
      <c r="J808" s="7" t="s">
        <v>397</v>
      </c>
      <c r="K808" s="1"/>
      <c r="L808" s="7" t="s">
        <v>232</v>
      </c>
    </row>
    <row r="809" spans="1:12" x14ac:dyDescent="0.25">
      <c r="A809" s="1"/>
      <c r="B809" s="7" t="s">
        <v>222</v>
      </c>
      <c r="C809" s="25">
        <v>26000130</v>
      </c>
      <c r="D809" s="7" t="s">
        <v>2881</v>
      </c>
      <c r="E809" s="26">
        <v>1</v>
      </c>
      <c r="F809" s="7" t="s">
        <v>225</v>
      </c>
      <c r="G809" s="7" t="s">
        <v>219</v>
      </c>
      <c r="H809" s="19" t="str">
        <f t="shared" si="13"/>
        <v/>
      </c>
      <c r="I809" s="19" t="s">
        <v>221</v>
      </c>
      <c r="J809" s="7" t="s">
        <v>397</v>
      </c>
      <c r="K809" s="1"/>
      <c r="L809" s="7" t="s">
        <v>232</v>
      </c>
    </row>
    <row r="810" spans="1:12" x14ac:dyDescent="0.25">
      <c r="A810" s="1"/>
      <c r="B810" s="7" t="s">
        <v>222</v>
      </c>
      <c r="C810" s="25">
        <v>26000140</v>
      </c>
      <c r="D810" s="7" t="s">
        <v>4923</v>
      </c>
      <c r="E810" s="26">
        <v>1</v>
      </c>
      <c r="F810" s="7" t="s">
        <v>225</v>
      </c>
      <c r="G810" s="7" t="s">
        <v>219</v>
      </c>
      <c r="H810" s="19" t="str">
        <f t="shared" si="13"/>
        <v/>
      </c>
      <c r="I810" s="19" t="s">
        <v>221</v>
      </c>
      <c r="J810" s="7" t="s">
        <v>397</v>
      </c>
      <c r="K810" s="1"/>
      <c r="L810" s="7" t="s">
        <v>232</v>
      </c>
    </row>
    <row r="811" spans="1:12" x14ac:dyDescent="0.25">
      <c r="A811" s="1"/>
      <c r="B811" s="7" t="s">
        <v>222</v>
      </c>
      <c r="C811" s="25">
        <v>26000150</v>
      </c>
      <c r="D811" s="7" t="s">
        <v>3968</v>
      </c>
      <c r="E811" s="26">
        <v>1</v>
      </c>
      <c r="F811" s="7" t="s">
        <v>225</v>
      </c>
      <c r="G811" s="7" t="s">
        <v>219</v>
      </c>
      <c r="H811" s="19" t="str">
        <f t="shared" si="13"/>
        <v/>
      </c>
      <c r="I811" s="19" t="s">
        <v>221</v>
      </c>
      <c r="J811" s="7" t="s">
        <v>397</v>
      </c>
      <c r="K811" s="1"/>
      <c r="L811" s="7" t="s">
        <v>232</v>
      </c>
    </row>
    <row r="812" spans="1:12" x14ac:dyDescent="0.25">
      <c r="A812" s="1"/>
      <c r="B812" s="7" t="s">
        <v>222</v>
      </c>
      <c r="C812" s="25">
        <v>26000276</v>
      </c>
      <c r="D812" s="7" t="s">
        <v>4864</v>
      </c>
      <c r="E812" s="26">
        <v>1</v>
      </c>
      <c r="F812" s="7" t="s">
        <v>225</v>
      </c>
      <c r="G812" s="7" t="s">
        <v>219</v>
      </c>
      <c r="H812" s="19" t="str">
        <f t="shared" si="13"/>
        <v/>
      </c>
      <c r="I812" s="19" t="s">
        <v>221</v>
      </c>
      <c r="J812" s="7" t="s">
        <v>397</v>
      </c>
      <c r="K812" s="1"/>
      <c r="L812" s="7" t="s">
        <v>232</v>
      </c>
    </row>
    <row r="813" spans="1:12" x14ac:dyDescent="0.25">
      <c r="A813" s="1"/>
      <c r="B813" s="7" t="s">
        <v>222</v>
      </c>
      <c r="C813" s="25">
        <v>26000281</v>
      </c>
      <c r="D813" s="7" t="s">
        <v>4867</v>
      </c>
      <c r="E813" s="26">
        <v>1</v>
      </c>
      <c r="F813" s="7" t="s">
        <v>225</v>
      </c>
      <c r="G813" s="7" t="s">
        <v>219</v>
      </c>
      <c r="H813" s="19" t="str">
        <f t="shared" si="13"/>
        <v/>
      </c>
      <c r="I813" s="19" t="s">
        <v>221</v>
      </c>
      <c r="J813" s="7" t="s">
        <v>397</v>
      </c>
      <c r="K813" s="1"/>
      <c r="L813" s="7" t="s">
        <v>232</v>
      </c>
    </row>
    <row r="814" spans="1:12" x14ac:dyDescent="0.25">
      <c r="A814" s="1"/>
      <c r="B814" s="7" t="s">
        <v>222</v>
      </c>
      <c r="C814" s="25">
        <v>26000500</v>
      </c>
      <c r="D814" s="7" t="s">
        <v>4280</v>
      </c>
      <c r="E814" s="26">
        <v>1</v>
      </c>
      <c r="F814" s="7" t="s">
        <v>352</v>
      </c>
      <c r="G814" s="7" t="s">
        <v>4281</v>
      </c>
      <c r="H814" s="19" t="str">
        <f t="shared" si="13"/>
        <v/>
      </c>
      <c r="I814" s="19" t="s">
        <v>221</v>
      </c>
      <c r="J814" s="7" t="s">
        <v>397</v>
      </c>
      <c r="K814" s="1"/>
      <c r="L814" s="7" t="s">
        <v>232</v>
      </c>
    </row>
    <row r="815" spans="1:12" x14ac:dyDescent="0.25">
      <c r="A815" s="1"/>
      <c r="B815" s="7" t="s">
        <v>222</v>
      </c>
      <c r="C815" s="25">
        <v>26000505</v>
      </c>
      <c r="D815" s="7" t="s">
        <v>4282</v>
      </c>
      <c r="E815" s="26">
        <v>1</v>
      </c>
      <c r="F815" s="7" t="s">
        <v>352</v>
      </c>
      <c r="G815" s="7" t="s">
        <v>4283</v>
      </c>
      <c r="H815" s="19" t="str">
        <f t="shared" si="13"/>
        <v/>
      </c>
      <c r="I815" s="19" t="s">
        <v>221</v>
      </c>
      <c r="J815" s="7" t="s">
        <v>397</v>
      </c>
      <c r="K815" s="1"/>
      <c r="L815" s="7" t="s">
        <v>232</v>
      </c>
    </row>
    <row r="816" spans="1:12" x14ac:dyDescent="0.25">
      <c r="A816" s="1"/>
      <c r="B816" s="7" t="s">
        <v>222</v>
      </c>
      <c r="C816" s="25">
        <v>26000622</v>
      </c>
      <c r="D816" s="7" t="s">
        <v>4947</v>
      </c>
      <c r="E816" s="26">
        <v>1</v>
      </c>
      <c r="F816" s="7" t="s">
        <v>225</v>
      </c>
      <c r="G816" s="7" t="s">
        <v>219</v>
      </c>
      <c r="H816" s="19" t="str">
        <f t="shared" si="13"/>
        <v/>
      </c>
      <c r="I816" s="19" t="s">
        <v>221</v>
      </c>
      <c r="J816" s="7" t="s">
        <v>397</v>
      </c>
      <c r="K816" s="1"/>
      <c r="L816" s="7" t="s">
        <v>232</v>
      </c>
    </row>
    <row r="817" spans="1:12" x14ac:dyDescent="0.25">
      <c r="A817" s="1"/>
      <c r="B817" s="7" t="s">
        <v>222</v>
      </c>
      <c r="C817" s="25">
        <v>26000637</v>
      </c>
      <c r="D817" s="7" t="s">
        <v>4832</v>
      </c>
      <c r="E817" s="26">
        <v>1</v>
      </c>
      <c r="F817" s="7" t="s">
        <v>225</v>
      </c>
      <c r="G817" s="7" t="s">
        <v>219</v>
      </c>
      <c r="H817" s="19" t="str">
        <f t="shared" si="13"/>
        <v/>
      </c>
      <c r="I817" s="19" t="s">
        <v>221</v>
      </c>
      <c r="J817" s="7" t="s">
        <v>397</v>
      </c>
      <c r="K817" s="1"/>
      <c r="L817" s="7" t="s">
        <v>232</v>
      </c>
    </row>
    <row r="818" spans="1:12" x14ac:dyDescent="0.25">
      <c r="A818" s="1"/>
      <c r="B818" s="7" t="s">
        <v>222</v>
      </c>
      <c r="C818" s="25">
        <v>26000641</v>
      </c>
      <c r="D818" s="7" t="s">
        <v>11739</v>
      </c>
      <c r="E818" s="26">
        <v>1</v>
      </c>
      <c r="F818" s="7" t="s">
        <v>352</v>
      </c>
      <c r="G818" s="7" t="s">
        <v>11234</v>
      </c>
      <c r="H818" s="19" t="str">
        <f t="shared" si="13"/>
        <v/>
      </c>
      <c r="I818" s="19" t="s">
        <v>221</v>
      </c>
      <c r="J818" s="7" t="s">
        <v>397</v>
      </c>
      <c r="K818" s="1"/>
      <c r="L818" s="7" t="s">
        <v>232</v>
      </c>
    </row>
    <row r="819" spans="1:12" x14ac:dyDescent="0.25">
      <c r="A819" s="1"/>
      <c r="B819" s="7" t="s">
        <v>222</v>
      </c>
      <c r="C819" s="25">
        <v>26000642</v>
      </c>
      <c r="D819" s="7" t="s">
        <v>11740</v>
      </c>
      <c r="E819" s="26">
        <v>1</v>
      </c>
      <c r="F819" s="7" t="s">
        <v>352</v>
      </c>
      <c r="G819" s="7" t="s">
        <v>11234</v>
      </c>
      <c r="H819" s="19" t="str">
        <f t="shared" si="13"/>
        <v/>
      </c>
      <c r="I819" s="19" t="s">
        <v>221</v>
      </c>
      <c r="J819" s="7" t="s">
        <v>397</v>
      </c>
      <c r="K819" s="1"/>
      <c r="L819" s="7" t="s">
        <v>232</v>
      </c>
    </row>
    <row r="820" spans="1:12" x14ac:dyDescent="0.25">
      <c r="A820" s="1"/>
      <c r="B820" s="7" t="s">
        <v>222</v>
      </c>
      <c r="C820" s="25">
        <v>26000643</v>
      </c>
      <c r="D820" s="7" t="s">
        <v>11741</v>
      </c>
      <c r="E820" s="26">
        <v>1</v>
      </c>
      <c r="F820" s="7" t="s">
        <v>352</v>
      </c>
      <c r="G820" s="7" t="s">
        <v>11792</v>
      </c>
      <c r="H820" s="19" t="str">
        <f t="shared" si="13"/>
        <v/>
      </c>
      <c r="I820" s="19" t="s">
        <v>221</v>
      </c>
      <c r="J820" s="7" t="s">
        <v>397</v>
      </c>
      <c r="K820" s="1"/>
      <c r="L820" s="7" t="s">
        <v>232</v>
      </c>
    </row>
    <row r="821" spans="1:12" x14ac:dyDescent="0.25">
      <c r="A821" s="1"/>
      <c r="B821" s="7" t="s">
        <v>222</v>
      </c>
      <c r="C821" s="25">
        <v>26000644</v>
      </c>
      <c r="D821" s="7" t="s">
        <v>11742</v>
      </c>
      <c r="E821" s="26">
        <v>1</v>
      </c>
      <c r="F821" s="7" t="s">
        <v>352</v>
      </c>
      <c r="G821" s="7" t="s">
        <v>11792</v>
      </c>
      <c r="H821" s="19" t="str">
        <f t="shared" si="13"/>
        <v/>
      </c>
      <c r="I821" s="19" t="s">
        <v>221</v>
      </c>
      <c r="J821" s="7" t="s">
        <v>397</v>
      </c>
      <c r="K821" s="1"/>
      <c r="L821" s="7" t="s">
        <v>232</v>
      </c>
    </row>
    <row r="822" spans="1:12" x14ac:dyDescent="0.25">
      <c r="A822" s="1"/>
      <c r="B822" s="7" t="s">
        <v>222</v>
      </c>
      <c r="C822" s="25">
        <v>26000645</v>
      </c>
      <c r="D822" s="7" t="s">
        <v>11743</v>
      </c>
      <c r="E822" s="26">
        <v>1</v>
      </c>
      <c r="F822" s="7" t="s">
        <v>352</v>
      </c>
      <c r="G822" s="7" t="s">
        <v>11792</v>
      </c>
      <c r="H822" s="19" t="str">
        <f t="shared" si="13"/>
        <v/>
      </c>
      <c r="I822" s="19" t="s">
        <v>221</v>
      </c>
      <c r="J822" s="7" t="s">
        <v>397</v>
      </c>
      <c r="K822" s="1"/>
      <c r="L822" s="7" t="s">
        <v>232</v>
      </c>
    </row>
    <row r="823" spans="1:12" x14ac:dyDescent="0.25">
      <c r="A823" s="1"/>
      <c r="B823" s="7" t="s">
        <v>222</v>
      </c>
      <c r="C823" s="25">
        <v>26000646</v>
      </c>
      <c r="D823" s="7" t="s">
        <v>11744</v>
      </c>
      <c r="E823" s="26">
        <v>1</v>
      </c>
      <c r="F823" s="7" t="s">
        <v>352</v>
      </c>
      <c r="G823" s="7" t="s">
        <v>11792</v>
      </c>
      <c r="H823" s="19" t="str">
        <f t="shared" si="13"/>
        <v/>
      </c>
      <c r="I823" s="19" t="s">
        <v>221</v>
      </c>
      <c r="J823" s="7" t="s">
        <v>397</v>
      </c>
      <c r="K823" s="1"/>
      <c r="L823" s="7" t="s">
        <v>232</v>
      </c>
    </row>
    <row r="824" spans="1:12" x14ac:dyDescent="0.25">
      <c r="A824" s="1"/>
      <c r="B824" s="7" t="s">
        <v>222</v>
      </c>
      <c r="C824" s="25">
        <v>26000647</v>
      </c>
      <c r="D824" s="7" t="s">
        <v>11745</v>
      </c>
      <c r="E824" s="26">
        <v>1</v>
      </c>
      <c r="F824" s="7" t="s">
        <v>352</v>
      </c>
      <c r="G824" s="7" t="s">
        <v>11792</v>
      </c>
      <c r="H824" s="19" t="str">
        <f t="shared" si="13"/>
        <v/>
      </c>
      <c r="I824" s="19" t="s">
        <v>221</v>
      </c>
      <c r="J824" s="7" t="s">
        <v>397</v>
      </c>
      <c r="K824" s="1"/>
      <c r="L824" s="7" t="s">
        <v>232</v>
      </c>
    </row>
    <row r="825" spans="1:12" x14ac:dyDescent="0.25">
      <c r="A825" s="1"/>
      <c r="B825" s="7" t="s">
        <v>222</v>
      </c>
      <c r="C825" s="25">
        <v>26000648</v>
      </c>
      <c r="D825" s="7" t="s">
        <v>11747</v>
      </c>
      <c r="E825" s="26">
        <v>1</v>
      </c>
      <c r="F825" s="7" t="s">
        <v>352</v>
      </c>
      <c r="G825" s="7" t="s">
        <v>11792</v>
      </c>
      <c r="H825" s="19" t="str">
        <f t="shared" si="13"/>
        <v/>
      </c>
      <c r="I825" s="19" t="s">
        <v>221</v>
      </c>
      <c r="J825" s="7" t="s">
        <v>397</v>
      </c>
      <c r="K825" s="1"/>
      <c r="L825" s="7" t="s">
        <v>232</v>
      </c>
    </row>
    <row r="826" spans="1:12" x14ac:dyDescent="0.25">
      <c r="A826" s="1"/>
      <c r="B826" s="7" t="s">
        <v>222</v>
      </c>
      <c r="C826" s="25">
        <v>26000649</v>
      </c>
      <c r="D826" s="7" t="s">
        <v>11749</v>
      </c>
      <c r="E826" s="26">
        <v>1</v>
      </c>
      <c r="F826" s="7" t="s">
        <v>352</v>
      </c>
      <c r="G826" s="7" t="s">
        <v>11792</v>
      </c>
      <c r="H826" s="19" t="str">
        <f t="shared" si="13"/>
        <v/>
      </c>
      <c r="I826" s="19" t="s">
        <v>221</v>
      </c>
      <c r="J826" s="7" t="s">
        <v>397</v>
      </c>
      <c r="K826" s="1"/>
      <c r="L826" s="7" t="s">
        <v>232</v>
      </c>
    </row>
    <row r="827" spans="1:12" x14ac:dyDescent="0.25">
      <c r="A827" s="1"/>
      <c r="B827" s="7" t="s">
        <v>222</v>
      </c>
      <c r="C827" s="25">
        <v>26000650</v>
      </c>
      <c r="D827" s="7" t="s">
        <v>11750</v>
      </c>
      <c r="E827" s="26">
        <v>1</v>
      </c>
      <c r="F827" s="7" t="s">
        <v>352</v>
      </c>
      <c r="G827" s="7" t="s">
        <v>11792</v>
      </c>
      <c r="H827" s="19" t="str">
        <f t="shared" si="13"/>
        <v/>
      </c>
      <c r="I827" s="19" t="s">
        <v>221</v>
      </c>
      <c r="J827" s="7" t="s">
        <v>397</v>
      </c>
      <c r="K827" s="1"/>
      <c r="L827" s="7" t="s">
        <v>232</v>
      </c>
    </row>
    <row r="828" spans="1:12" x14ac:dyDescent="0.25">
      <c r="A828" s="1"/>
      <c r="B828" s="7" t="s">
        <v>222</v>
      </c>
      <c r="C828" s="25">
        <v>26000651</v>
      </c>
      <c r="D828" s="7" t="s">
        <v>11751</v>
      </c>
      <c r="E828" s="26">
        <v>1</v>
      </c>
      <c r="F828" s="7" t="s">
        <v>352</v>
      </c>
      <c r="G828" s="7" t="s">
        <v>10979</v>
      </c>
      <c r="H828" s="19" t="str">
        <f t="shared" si="13"/>
        <v/>
      </c>
      <c r="I828" s="19" t="s">
        <v>221</v>
      </c>
      <c r="J828" s="7" t="s">
        <v>397</v>
      </c>
      <c r="K828" s="1"/>
      <c r="L828" s="7" t="s">
        <v>232</v>
      </c>
    </row>
    <row r="829" spans="1:12" x14ac:dyDescent="0.25">
      <c r="A829" s="1"/>
      <c r="B829" s="7" t="s">
        <v>222</v>
      </c>
      <c r="C829" s="25">
        <v>26000653</v>
      </c>
      <c r="D829" s="7" t="s">
        <v>11755</v>
      </c>
      <c r="E829" s="26">
        <v>1</v>
      </c>
      <c r="F829" s="7" t="s">
        <v>352</v>
      </c>
      <c r="G829" s="7" t="s">
        <v>11239</v>
      </c>
      <c r="H829" s="19" t="str">
        <f t="shared" si="13"/>
        <v/>
      </c>
      <c r="I829" s="19" t="s">
        <v>221</v>
      </c>
      <c r="J829" s="7" t="s">
        <v>397</v>
      </c>
      <c r="K829" s="1"/>
      <c r="L829" s="7" t="s">
        <v>232</v>
      </c>
    </row>
    <row r="830" spans="1:12" x14ac:dyDescent="0.25">
      <c r="A830" s="1"/>
      <c r="B830" s="7" t="s">
        <v>222</v>
      </c>
      <c r="C830" s="25">
        <v>26000655</v>
      </c>
      <c r="D830" s="7" t="s">
        <v>11757</v>
      </c>
      <c r="E830" s="26">
        <v>1</v>
      </c>
      <c r="F830" s="7" t="s">
        <v>352</v>
      </c>
      <c r="G830" s="7" t="s">
        <v>10966</v>
      </c>
      <c r="H830" s="19" t="str">
        <f t="shared" si="13"/>
        <v/>
      </c>
      <c r="I830" s="19" t="s">
        <v>221</v>
      </c>
      <c r="J830" s="7" t="s">
        <v>397</v>
      </c>
      <c r="K830" s="1"/>
      <c r="L830" s="7" t="s">
        <v>232</v>
      </c>
    </row>
    <row r="831" spans="1:12" x14ac:dyDescent="0.25">
      <c r="A831" s="1"/>
      <c r="B831" s="7" t="s">
        <v>222</v>
      </c>
      <c r="C831" s="25">
        <v>26000657</v>
      </c>
      <c r="D831" s="7" t="s">
        <v>11758</v>
      </c>
      <c r="E831" s="26">
        <v>1</v>
      </c>
      <c r="F831" s="7" t="s">
        <v>352</v>
      </c>
      <c r="G831" s="7" t="s">
        <v>11232</v>
      </c>
      <c r="H831" s="19" t="str">
        <f t="shared" si="13"/>
        <v/>
      </c>
      <c r="I831" s="19" t="s">
        <v>221</v>
      </c>
      <c r="J831" s="7" t="s">
        <v>397</v>
      </c>
      <c r="K831" s="1"/>
      <c r="L831" s="7" t="s">
        <v>232</v>
      </c>
    </row>
    <row r="832" spans="1:12" x14ac:dyDescent="0.25">
      <c r="A832" s="1"/>
      <c r="B832" s="7" t="s">
        <v>222</v>
      </c>
      <c r="C832" s="25">
        <v>26000658</v>
      </c>
      <c r="D832" s="7" t="s">
        <v>11760</v>
      </c>
      <c r="E832" s="26">
        <v>1</v>
      </c>
      <c r="F832" s="7" t="s">
        <v>352</v>
      </c>
      <c r="G832" s="7" t="s">
        <v>11232</v>
      </c>
      <c r="H832" s="19" t="str">
        <f t="shared" si="13"/>
        <v/>
      </c>
      <c r="I832" s="19" t="s">
        <v>221</v>
      </c>
      <c r="J832" s="7" t="s">
        <v>397</v>
      </c>
      <c r="K832" s="1"/>
      <c r="L832" s="7" t="s">
        <v>232</v>
      </c>
    </row>
    <row r="833" spans="1:12" x14ac:dyDescent="0.25">
      <c r="A833" s="1"/>
      <c r="B833" s="7" t="s">
        <v>222</v>
      </c>
      <c r="C833" s="25">
        <v>26000659</v>
      </c>
      <c r="D833" s="7" t="s">
        <v>11761</v>
      </c>
      <c r="E833" s="26">
        <v>1</v>
      </c>
      <c r="F833" s="7" t="s">
        <v>352</v>
      </c>
      <c r="G833" s="7" t="s">
        <v>11644</v>
      </c>
      <c r="H833" s="19" t="str">
        <f t="shared" si="13"/>
        <v/>
      </c>
      <c r="I833" s="19" t="s">
        <v>221</v>
      </c>
      <c r="J833" s="7" t="s">
        <v>397</v>
      </c>
      <c r="K833" s="1"/>
      <c r="L833" s="7" t="s">
        <v>232</v>
      </c>
    </row>
    <row r="834" spans="1:12" x14ac:dyDescent="0.25">
      <c r="A834" s="1"/>
      <c r="B834" s="7" t="s">
        <v>222</v>
      </c>
      <c r="C834" s="25">
        <v>26000661</v>
      </c>
      <c r="D834" s="7" t="s">
        <v>11763</v>
      </c>
      <c r="E834" s="26">
        <v>1</v>
      </c>
      <c r="F834" s="7" t="s">
        <v>352</v>
      </c>
      <c r="G834" s="7" t="s">
        <v>11239</v>
      </c>
      <c r="H834" s="19" t="str">
        <f t="shared" si="13"/>
        <v/>
      </c>
      <c r="I834" s="19" t="s">
        <v>221</v>
      </c>
      <c r="J834" s="7" t="s">
        <v>397</v>
      </c>
      <c r="K834" s="1"/>
      <c r="L834" s="7" t="s">
        <v>232</v>
      </c>
    </row>
    <row r="835" spans="1:12" x14ac:dyDescent="0.25">
      <c r="A835" s="1"/>
      <c r="B835" s="7" t="s">
        <v>222</v>
      </c>
      <c r="C835" s="25">
        <v>26000663</v>
      </c>
      <c r="D835" s="7" t="s">
        <v>11497</v>
      </c>
      <c r="E835" s="26">
        <v>1</v>
      </c>
      <c r="F835" s="7" t="s">
        <v>352</v>
      </c>
      <c r="G835" s="7" t="s">
        <v>116</v>
      </c>
      <c r="H835" s="19" t="str">
        <f t="shared" si="13"/>
        <v/>
      </c>
      <c r="I835" s="19" t="s">
        <v>221</v>
      </c>
      <c r="J835" s="7" t="s">
        <v>397</v>
      </c>
      <c r="K835" s="1"/>
      <c r="L835" s="7" t="s">
        <v>232</v>
      </c>
    </row>
    <row r="836" spans="1:12" x14ac:dyDescent="0.25">
      <c r="A836" s="1"/>
      <c r="B836" s="7" t="s">
        <v>222</v>
      </c>
      <c r="C836" s="25">
        <v>26000664</v>
      </c>
      <c r="D836" s="7" t="s">
        <v>11567</v>
      </c>
      <c r="E836" s="26">
        <v>1</v>
      </c>
      <c r="F836" s="7" t="s">
        <v>352</v>
      </c>
      <c r="G836" s="7" t="s">
        <v>11569</v>
      </c>
      <c r="H836" s="19" t="str">
        <f t="shared" si="13"/>
        <v/>
      </c>
      <c r="I836" s="19" t="s">
        <v>221</v>
      </c>
      <c r="J836" s="7" t="s">
        <v>397</v>
      </c>
      <c r="K836" s="1"/>
      <c r="L836" s="7" t="s">
        <v>232</v>
      </c>
    </row>
    <row r="837" spans="1:12" x14ac:dyDescent="0.25">
      <c r="A837" s="1"/>
      <c r="B837" s="7" t="s">
        <v>222</v>
      </c>
      <c r="C837" s="25">
        <v>26000665</v>
      </c>
      <c r="D837" s="7" t="s">
        <v>11765</v>
      </c>
      <c r="E837" s="26">
        <v>1</v>
      </c>
      <c r="F837" s="7" t="s">
        <v>352</v>
      </c>
      <c r="G837" s="7" t="s">
        <v>11226</v>
      </c>
      <c r="H837" s="19" t="str">
        <f t="shared" si="13"/>
        <v/>
      </c>
      <c r="I837" s="19" t="s">
        <v>221</v>
      </c>
      <c r="J837" s="7" t="s">
        <v>397</v>
      </c>
      <c r="K837" s="1"/>
      <c r="L837" s="7" t="s">
        <v>232</v>
      </c>
    </row>
    <row r="838" spans="1:12" x14ac:dyDescent="0.25">
      <c r="A838" s="1"/>
      <c r="B838" s="7" t="s">
        <v>222</v>
      </c>
      <c r="C838" s="25">
        <v>26000721</v>
      </c>
      <c r="D838" s="7" t="s">
        <v>11776</v>
      </c>
      <c r="E838" s="26">
        <v>1</v>
      </c>
      <c r="F838" s="7" t="s">
        <v>352</v>
      </c>
      <c r="G838" s="7" t="s">
        <v>11230</v>
      </c>
      <c r="H838" s="19" t="str">
        <f t="shared" si="13"/>
        <v/>
      </c>
      <c r="I838" s="19" t="s">
        <v>221</v>
      </c>
      <c r="J838" s="7" t="s">
        <v>397</v>
      </c>
      <c r="K838" s="1"/>
      <c r="L838" s="7" t="s">
        <v>232</v>
      </c>
    </row>
    <row r="839" spans="1:12" x14ac:dyDescent="0.25">
      <c r="A839" s="1"/>
      <c r="B839" s="7" t="s">
        <v>222</v>
      </c>
      <c r="C839" s="25">
        <v>26000725</v>
      </c>
      <c r="D839" s="7" t="s">
        <v>11778</v>
      </c>
      <c r="E839" s="26">
        <v>1</v>
      </c>
      <c r="F839" s="7" t="s">
        <v>352</v>
      </c>
      <c r="G839" s="7" t="s">
        <v>11651</v>
      </c>
      <c r="H839" s="19" t="str">
        <f t="shared" si="13"/>
        <v/>
      </c>
      <c r="I839" s="19" t="s">
        <v>221</v>
      </c>
      <c r="J839" s="7" t="s">
        <v>397</v>
      </c>
      <c r="K839" s="1"/>
      <c r="L839" s="7" t="s">
        <v>232</v>
      </c>
    </row>
    <row r="840" spans="1:12" x14ac:dyDescent="0.25">
      <c r="A840" s="1"/>
      <c r="B840" s="7" t="s">
        <v>222</v>
      </c>
      <c r="C840" s="25">
        <v>26000729</v>
      </c>
      <c r="D840" s="7" t="s">
        <v>11308</v>
      </c>
      <c r="E840" s="26">
        <v>1</v>
      </c>
      <c r="F840" s="7" t="s">
        <v>352</v>
      </c>
      <c r="G840" s="7" t="s">
        <v>11218</v>
      </c>
      <c r="H840" s="19" t="str">
        <f t="shared" si="13"/>
        <v/>
      </c>
      <c r="I840" s="19" t="s">
        <v>221</v>
      </c>
      <c r="J840" s="7" t="s">
        <v>397</v>
      </c>
      <c r="K840" s="1"/>
      <c r="L840" s="7" t="s">
        <v>232</v>
      </c>
    </row>
    <row r="841" spans="1:12" x14ac:dyDescent="0.25">
      <c r="A841" s="1"/>
      <c r="B841" s="7" t="s">
        <v>222</v>
      </c>
      <c r="C841" s="25">
        <v>26000733</v>
      </c>
      <c r="D841" s="7" t="s">
        <v>11780</v>
      </c>
      <c r="E841" s="26">
        <v>1</v>
      </c>
      <c r="F841" s="7" t="s">
        <v>352</v>
      </c>
      <c r="G841" s="7" t="s">
        <v>11241</v>
      </c>
      <c r="H841" s="19" t="str">
        <f t="shared" si="13"/>
        <v/>
      </c>
      <c r="I841" s="19" t="s">
        <v>221</v>
      </c>
      <c r="J841" s="7" t="s">
        <v>397</v>
      </c>
      <c r="K841" s="1"/>
      <c r="L841" s="7" t="s">
        <v>232</v>
      </c>
    </row>
    <row r="842" spans="1:12" x14ac:dyDescent="0.25">
      <c r="A842" s="1"/>
      <c r="B842" s="7" t="s">
        <v>222</v>
      </c>
      <c r="C842" s="25">
        <v>26000736</v>
      </c>
      <c r="D842" s="7" t="s">
        <v>11781</v>
      </c>
      <c r="E842" s="26">
        <v>1</v>
      </c>
      <c r="F842" s="7" t="s">
        <v>352</v>
      </c>
      <c r="G842" s="7" t="s">
        <v>11236</v>
      </c>
      <c r="H842" s="19" t="str">
        <f t="shared" si="13"/>
        <v/>
      </c>
      <c r="I842" s="19" t="s">
        <v>221</v>
      </c>
      <c r="J842" s="7" t="s">
        <v>397</v>
      </c>
      <c r="K842" s="1"/>
      <c r="L842" s="7" t="s">
        <v>232</v>
      </c>
    </row>
    <row r="843" spans="1:12" x14ac:dyDescent="0.25">
      <c r="A843" s="1"/>
      <c r="B843" s="7" t="s">
        <v>222</v>
      </c>
      <c r="C843" s="25">
        <v>26000737</v>
      </c>
      <c r="D843" s="7" t="s">
        <v>11782</v>
      </c>
      <c r="E843" s="26">
        <v>1</v>
      </c>
      <c r="F843" s="7" t="s">
        <v>352</v>
      </c>
      <c r="G843" s="7" t="s">
        <v>11236</v>
      </c>
      <c r="H843" s="19" t="str">
        <f t="shared" si="13"/>
        <v/>
      </c>
      <c r="I843" s="19" t="s">
        <v>221</v>
      </c>
      <c r="J843" s="7" t="s">
        <v>397</v>
      </c>
      <c r="K843" s="1"/>
      <c r="L843" s="7" t="s">
        <v>232</v>
      </c>
    </row>
    <row r="844" spans="1:12" x14ac:dyDescent="0.25">
      <c r="A844" s="1"/>
      <c r="B844" s="7" t="s">
        <v>222</v>
      </c>
      <c r="C844" s="25">
        <v>26000741</v>
      </c>
      <c r="D844" s="7" t="s">
        <v>11785</v>
      </c>
      <c r="E844" s="26">
        <v>1</v>
      </c>
      <c r="F844" s="7" t="s">
        <v>352</v>
      </c>
      <c r="G844" s="7" t="s">
        <v>11792</v>
      </c>
      <c r="H844" s="19" t="str">
        <f t="shared" si="13"/>
        <v/>
      </c>
      <c r="I844" s="19" t="s">
        <v>221</v>
      </c>
      <c r="J844" s="7" t="s">
        <v>397</v>
      </c>
      <c r="K844" s="1"/>
      <c r="L844" s="7" t="s">
        <v>232</v>
      </c>
    </row>
    <row r="845" spans="1:12" x14ac:dyDescent="0.25">
      <c r="A845" s="1"/>
      <c r="B845" s="7" t="s">
        <v>222</v>
      </c>
      <c r="C845" s="25">
        <v>26000745</v>
      </c>
      <c r="D845" s="7" t="s">
        <v>11788</v>
      </c>
      <c r="E845" s="26">
        <v>1</v>
      </c>
      <c r="F845" s="7" t="s">
        <v>352</v>
      </c>
      <c r="G845" s="7" t="s">
        <v>11792</v>
      </c>
      <c r="H845" s="19" t="str">
        <f t="shared" si="13"/>
        <v/>
      </c>
      <c r="I845" s="19" t="s">
        <v>221</v>
      </c>
      <c r="J845" s="7" t="s">
        <v>397</v>
      </c>
      <c r="K845" s="1"/>
      <c r="L845" s="7" t="s">
        <v>232</v>
      </c>
    </row>
    <row r="846" spans="1:12" x14ac:dyDescent="0.25">
      <c r="A846" s="1"/>
      <c r="B846" s="7" t="s">
        <v>222</v>
      </c>
      <c r="C846" s="25">
        <v>26000753</v>
      </c>
      <c r="D846" s="7" t="s">
        <v>11790</v>
      </c>
      <c r="E846" s="26">
        <v>1</v>
      </c>
      <c r="F846" s="7" t="s">
        <v>352</v>
      </c>
      <c r="G846" s="7" t="s">
        <v>11792</v>
      </c>
      <c r="H846" s="19" t="str">
        <f t="shared" si="13"/>
        <v/>
      </c>
      <c r="I846" s="19" t="s">
        <v>221</v>
      </c>
      <c r="J846" s="7" t="s">
        <v>397</v>
      </c>
      <c r="K846" s="1"/>
      <c r="L846" s="7" t="s">
        <v>232</v>
      </c>
    </row>
    <row r="847" spans="1:12" x14ac:dyDescent="0.25">
      <c r="A847" s="1"/>
      <c r="B847" s="7" t="s">
        <v>222</v>
      </c>
      <c r="C847" s="25">
        <v>26000756</v>
      </c>
      <c r="D847" s="7" t="s">
        <v>4587</v>
      </c>
      <c r="E847" s="26">
        <v>1</v>
      </c>
      <c r="F847" s="7" t="s">
        <v>225</v>
      </c>
      <c r="G847" s="7" t="s">
        <v>219</v>
      </c>
      <c r="H847" s="19" t="str">
        <f t="shared" ref="H847:H859" si="14">IF(A847="", "", A847*E847)</f>
        <v/>
      </c>
      <c r="I847" s="19" t="s">
        <v>221</v>
      </c>
      <c r="J847" s="7" t="s">
        <v>397</v>
      </c>
      <c r="K847" s="1"/>
      <c r="L847" s="7" t="s">
        <v>232</v>
      </c>
    </row>
    <row r="848" spans="1:12" x14ac:dyDescent="0.25">
      <c r="A848" s="1"/>
      <c r="B848" s="7" t="s">
        <v>222</v>
      </c>
      <c r="C848" s="25">
        <v>26000757</v>
      </c>
      <c r="D848" s="7" t="s">
        <v>4369</v>
      </c>
      <c r="E848" s="26">
        <v>1</v>
      </c>
      <c r="F848" s="7" t="s">
        <v>352</v>
      </c>
      <c r="G848" s="7" t="s">
        <v>11228</v>
      </c>
      <c r="H848" s="19" t="str">
        <f t="shared" si="14"/>
        <v/>
      </c>
      <c r="I848" s="19" t="s">
        <v>221</v>
      </c>
      <c r="J848" s="7" t="s">
        <v>397</v>
      </c>
      <c r="K848" s="1"/>
      <c r="L848" s="7" t="s">
        <v>232</v>
      </c>
    </row>
    <row r="849" spans="1:12" x14ac:dyDescent="0.25">
      <c r="A849" s="1"/>
      <c r="B849" s="7" t="s">
        <v>222</v>
      </c>
      <c r="C849" s="25">
        <v>26000860</v>
      </c>
      <c r="D849" s="7" t="s">
        <v>11309</v>
      </c>
      <c r="E849" s="26">
        <v>1</v>
      </c>
      <c r="F849" s="7" t="s">
        <v>352</v>
      </c>
      <c r="G849" s="7" t="s">
        <v>4322</v>
      </c>
      <c r="H849" s="19" t="str">
        <f t="shared" si="14"/>
        <v/>
      </c>
      <c r="I849" s="19" t="s">
        <v>221</v>
      </c>
      <c r="J849" s="7" t="s">
        <v>397</v>
      </c>
      <c r="K849" s="1"/>
      <c r="L849" s="7" t="s">
        <v>232</v>
      </c>
    </row>
    <row r="850" spans="1:12" x14ac:dyDescent="0.25">
      <c r="A850" s="1"/>
      <c r="B850" s="7" t="s">
        <v>222</v>
      </c>
      <c r="C850" s="25">
        <v>26001030</v>
      </c>
      <c r="D850" s="7" t="s">
        <v>2885</v>
      </c>
      <c r="E850" s="26">
        <v>1</v>
      </c>
      <c r="F850" s="7" t="s">
        <v>225</v>
      </c>
      <c r="G850" s="7" t="s">
        <v>219</v>
      </c>
      <c r="H850" s="19" t="str">
        <f t="shared" si="14"/>
        <v/>
      </c>
      <c r="I850" s="19" t="s">
        <v>221</v>
      </c>
      <c r="J850" s="7" t="s">
        <v>440</v>
      </c>
      <c r="K850" s="1"/>
      <c r="L850" s="7" t="s">
        <v>232</v>
      </c>
    </row>
    <row r="851" spans="1:12" x14ac:dyDescent="0.25">
      <c r="A851" s="1"/>
      <c r="B851" s="7" t="s">
        <v>222</v>
      </c>
      <c r="C851" s="25">
        <v>26001090</v>
      </c>
      <c r="D851" s="7" t="s">
        <v>2888</v>
      </c>
      <c r="E851" s="26">
        <v>1</v>
      </c>
      <c r="F851" s="7" t="s">
        <v>225</v>
      </c>
      <c r="G851" s="7" t="s">
        <v>219</v>
      </c>
      <c r="H851" s="19" t="str">
        <f t="shared" si="14"/>
        <v/>
      </c>
      <c r="I851" s="19" t="s">
        <v>221</v>
      </c>
      <c r="J851" s="7" t="s">
        <v>440</v>
      </c>
      <c r="K851" s="1"/>
      <c r="L851" s="7" t="s">
        <v>232</v>
      </c>
    </row>
    <row r="852" spans="1:12" x14ac:dyDescent="0.25">
      <c r="A852" s="1"/>
      <c r="B852" s="7" t="s">
        <v>222</v>
      </c>
      <c r="C852" s="25">
        <v>26001120</v>
      </c>
      <c r="D852" s="7" t="s">
        <v>2893</v>
      </c>
      <c r="E852" s="26">
        <v>1</v>
      </c>
      <c r="F852" s="7" t="s">
        <v>225</v>
      </c>
      <c r="G852" s="7" t="s">
        <v>219</v>
      </c>
      <c r="H852" s="19" t="str">
        <f t="shared" si="14"/>
        <v/>
      </c>
      <c r="I852" s="19" t="s">
        <v>221</v>
      </c>
      <c r="J852" s="7" t="s">
        <v>440</v>
      </c>
      <c r="K852" s="1"/>
      <c r="L852" s="7" t="s">
        <v>232</v>
      </c>
    </row>
    <row r="853" spans="1:12" x14ac:dyDescent="0.25">
      <c r="A853" s="1"/>
      <c r="B853" s="7" t="s">
        <v>222</v>
      </c>
      <c r="C853" s="25">
        <v>26001150</v>
      </c>
      <c r="D853" s="7" t="s">
        <v>2898</v>
      </c>
      <c r="E853" s="26">
        <v>1</v>
      </c>
      <c r="F853" s="7" t="s">
        <v>225</v>
      </c>
      <c r="G853" s="7" t="s">
        <v>219</v>
      </c>
      <c r="H853" s="19" t="str">
        <f t="shared" si="14"/>
        <v/>
      </c>
      <c r="I853" s="19" t="s">
        <v>221</v>
      </c>
      <c r="J853" s="7" t="s">
        <v>440</v>
      </c>
      <c r="K853" s="1"/>
      <c r="L853" s="7" t="s">
        <v>232</v>
      </c>
    </row>
    <row r="854" spans="1:12" x14ac:dyDescent="0.25">
      <c r="A854" s="1"/>
      <c r="B854" s="7" t="s">
        <v>222</v>
      </c>
      <c r="C854" s="25">
        <v>26001510</v>
      </c>
      <c r="D854" s="7" t="s">
        <v>4103</v>
      </c>
      <c r="E854" s="26">
        <v>1</v>
      </c>
      <c r="F854" s="7" t="s">
        <v>225</v>
      </c>
      <c r="G854" s="7" t="s">
        <v>219</v>
      </c>
      <c r="H854" s="19" t="str">
        <f t="shared" si="14"/>
        <v/>
      </c>
      <c r="I854" s="19" t="s">
        <v>221</v>
      </c>
      <c r="J854" s="7" t="s">
        <v>440</v>
      </c>
      <c r="K854" s="1"/>
      <c r="L854" s="7" t="s">
        <v>232</v>
      </c>
    </row>
    <row r="855" spans="1:12" x14ac:dyDescent="0.25">
      <c r="A855" s="1"/>
      <c r="B855" s="7" t="s">
        <v>222</v>
      </c>
      <c r="C855" s="25">
        <v>26001520</v>
      </c>
      <c r="D855" s="7" t="s">
        <v>4104</v>
      </c>
      <c r="E855" s="26">
        <v>1</v>
      </c>
      <c r="F855" s="7" t="s">
        <v>225</v>
      </c>
      <c r="G855" s="7" t="s">
        <v>219</v>
      </c>
      <c r="H855" s="19" t="str">
        <f t="shared" si="14"/>
        <v/>
      </c>
      <c r="I855" s="19" t="s">
        <v>221</v>
      </c>
      <c r="J855" s="7" t="s">
        <v>440</v>
      </c>
      <c r="K855" s="1"/>
      <c r="L855" s="7" t="s">
        <v>232</v>
      </c>
    </row>
    <row r="856" spans="1:12" x14ac:dyDescent="0.25">
      <c r="A856" s="1"/>
      <c r="B856" s="7" t="s">
        <v>222</v>
      </c>
      <c r="C856" s="25">
        <v>26003000</v>
      </c>
      <c r="D856" s="7" t="s">
        <v>4207</v>
      </c>
      <c r="E856" s="26">
        <v>1</v>
      </c>
      <c r="F856" s="7" t="s">
        <v>225</v>
      </c>
      <c r="G856" s="7" t="s">
        <v>219</v>
      </c>
      <c r="H856" s="19" t="str">
        <f t="shared" si="14"/>
        <v/>
      </c>
      <c r="I856" s="19" t="s">
        <v>221</v>
      </c>
      <c r="J856" s="7" t="s">
        <v>440</v>
      </c>
      <c r="K856" s="1"/>
      <c r="L856" s="7" t="s">
        <v>232</v>
      </c>
    </row>
    <row r="857" spans="1:12" x14ac:dyDescent="0.25">
      <c r="A857" s="1"/>
      <c r="B857" s="7" t="s">
        <v>222</v>
      </c>
      <c r="C857" s="25">
        <v>26003100</v>
      </c>
      <c r="D857" s="7" t="s">
        <v>4208</v>
      </c>
      <c r="E857" s="26">
        <v>1</v>
      </c>
      <c r="F857" s="7" t="s">
        <v>225</v>
      </c>
      <c r="G857" s="7" t="s">
        <v>219</v>
      </c>
      <c r="H857" s="19" t="str">
        <f t="shared" si="14"/>
        <v/>
      </c>
      <c r="I857" s="19" t="s">
        <v>221</v>
      </c>
      <c r="J857" s="7" t="s">
        <v>440</v>
      </c>
      <c r="K857" s="1"/>
      <c r="L857" s="7" t="s">
        <v>232</v>
      </c>
    </row>
    <row r="858" spans="1:12" x14ac:dyDescent="0.25">
      <c r="A858" s="1"/>
      <c r="B858" s="7" t="s">
        <v>222</v>
      </c>
      <c r="C858" s="25">
        <v>26003200</v>
      </c>
      <c r="D858" s="7" t="s">
        <v>4209</v>
      </c>
      <c r="E858" s="26">
        <v>1</v>
      </c>
      <c r="F858" s="7" t="s">
        <v>225</v>
      </c>
      <c r="G858" s="7" t="s">
        <v>219</v>
      </c>
      <c r="H858" s="19" t="str">
        <f t="shared" si="14"/>
        <v/>
      </c>
      <c r="I858" s="19" t="s">
        <v>221</v>
      </c>
      <c r="J858" s="7" t="s">
        <v>440</v>
      </c>
      <c r="K858" s="1"/>
      <c r="L858" s="7" t="s">
        <v>232</v>
      </c>
    </row>
    <row r="859" spans="1:12" x14ac:dyDescent="0.25">
      <c r="A859" s="1"/>
      <c r="B859" s="7" t="s">
        <v>222</v>
      </c>
      <c r="C859" s="25">
        <v>26003300</v>
      </c>
      <c r="D859" s="7" t="s">
        <v>4210</v>
      </c>
      <c r="E859" s="26">
        <v>1</v>
      </c>
      <c r="F859" s="7" t="s">
        <v>225</v>
      </c>
      <c r="G859" s="7" t="s">
        <v>219</v>
      </c>
      <c r="H859" s="19" t="str">
        <f t="shared" si="14"/>
        <v/>
      </c>
      <c r="I859" s="19" t="s">
        <v>221</v>
      </c>
      <c r="J859" s="7" t="s">
        <v>440</v>
      </c>
      <c r="K859" s="1"/>
      <c r="L859" s="7" t="s">
        <v>232</v>
      </c>
    </row>
  </sheetData>
  <autoFilter ref="A13:P721" xr:uid="{00000000-0009-0000-0000-000001000000}"/>
  <mergeCells count="2">
    <mergeCell ref="A1:K1"/>
    <mergeCell ref="H5:K9"/>
  </mergeCells>
  <phoneticPr fontId="15" type="noConversion"/>
  <conditionalFormatting sqref="A14:A859">
    <cfRule type="expression" dxfId="132" priority="1">
      <formula>AND(IF(A14&gt;0,1),IF(L14="x",1))</formula>
    </cfRule>
  </conditionalFormatting>
  <conditionalFormatting sqref="K14:K859">
    <cfRule type="expression" dxfId="131" priority="2">
      <formula>AND(IF(A14&gt;0,1),IF(L14="x",1))</formula>
    </cfRule>
  </conditionalFormatting>
  <dataValidations count="1">
    <dataValidation type="textLength" allowBlank="1" showInputMessage="1" showErrorMessage="1" errorTitle="fout" error="alleen 8-cijferige artikelnummers" sqref="K3" xr:uid="{00000000-0002-0000-0100-000000000000}">
      <formula1>8</formula1>
      <formula2>8</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708B924B-5FEB-44FD-9DC1-FA055931AF78}">
          <x14:formula1>
            <xm:f>'Adres Tel'!$C$2:$C$100000</xm:f>
          </x14:formula1>
          <xm:sqref>D6</xm:sqref>
        </x14:dataValidation>
        <x14:dataValidation type="list" allowBlank="1" showInputMessage="1" showErrorMessage="1" xr:uid="{00000000-0002-0000-0100-000001000000}">
          <x14:formula1>
            <xm:f>'Adres Tel'!$G$2:$G$1048576</xm:f>
          </x14:formula1>
          <xm:sqref>D4:D5</xm:sqref>
        </x14:dataValidation>
        <x14:dataValidation type="list" allowBlank="1" showInputMessage="1" showErrorMessage="1" xr:uid="{00000000-0002-0000-0100-000002000000}">
          <x14:formula1>
            <xm:f>'Adres Tel'!$B$2:$B$1048576</xm:f>
          </x14:formula1>
          <xm:sqref>D3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2ABEF-EAB5-4FD3-9B2E-C47AE4E1DED1}">
  <sheetPr codeName="Blad3">
    <tabColor theme="9" tint="0.59999389629810485"/>
  </sheetPr>
  <dimension ref="A1:W101"/>
  <sheetViews>
    <sheetView workbookViewId="0">
      <selection activeCell="G101" sqref="G101"/>
    </sheetView>
  </sheetViews>
  <sheetFormatPr defaultColWidth="8.5703125" defaultRowHeight="15" x14ac:dyDescent="0.25"/>
  <cols>
    <col min="1" max="4" width="8.5703125" customWidth="1"/>
    <col min="5" max="5" width="15.5703125" bestFit="1" customWidth="1"/>
    <col min="6" max="6" width="15.5703125" customWidth="1"/>
    <col min="7" max="7" width="47.42578125" bestFit="1" customWidth="1"/>
    <col min="8" max="8" width="26.42578125" bestFit="1" customWidth="1"/>
    <col min="9" max="9" width="13.42578125" bestFit="1" customWidth="1"/>
    <col min="10" max="10" width="15.5703125" bestFit="1" customWidth="1"/>
    <col min="11" max="16" width="10.5703125" customWidth="1"/>
    <col min="17" max="17" width="20.42578125" bestFit="1" customWidth="1"/>
    <col min="18" max="18" width="39.5703125" bestFit="1" customWidth="1"/>
    <col min="19" max="19" width="1.5703125" customWidth="1"/>
    <col min="20" max="20" width="10" customWidth="1"/>
  </cols>
  <sheetData>
    <row r="1" spans="1:23" ht="18.75" x14ac:dyDescent="0.3">
      <c r="A1" s="50"/>
      <c r="B1" s="50"/>
      <c r="C1" s="50"/>
      <c r="D1" s="104" t="s">
        <v>40</v>
      </c>
      <c r="E1" s="104"/>
      <c r="F1" s="104"/>
      <c r="G1" s="104"/>
      <c r="H1" s="104"/>
      <c r="I1" s="104"/>
      <c r="J1" s="104"/>
      <c r="K1" s="104"/>
      <c r="L1" s="104"/>
      <c r="M1" s="104"/>
      <c r="N1" s="104"/>
      <c r="O1" s="104"/>
      <c r="P1" s="104"/>
      <c r="Q1" s="104"/>
      <c r="R1" s="104"/>
    </row>
    <row r="2" spans="1:23" s="1" customFormat="1" x14ac:dyDescent="0.25">
      <c r="A2" s="13" t="s">
        <v>41</v>
      </c>
      <c r="B2" s="13" t="s">
        <v>42</v>
      </c>
      <c r="C2" s="13" t="s">
        <v>43</v>
      </c>
      <c r="D2" s="13" t="s">
        <v>44</v>
      </c>
      <c r="E2" s="13" t="s">
        <v>18</v>
      </c>
      <c r="F2" s="20"/>
      <c r="G2" s="20"/>
      <c r="H2" s="20"/>
      <c r="I2" s="20"/>
      <c r="J2" s="20"/>
      <c r="K2" s="16" t="s">
        <v>45</v>
      </c>
      <c r="L2" s="16" t="s">
        <v>46</v>
      </c>
      <c r="M2" s="16" t="s">
        <v>47</v>
      </c>
      <c r="N2" s="16" t="s">
        <v>48</v>
      </c>
      <c r="O2" s="16" t="s">
        <v>49</v>
      </c>
      <c r="P2" s="16" t="s">
        <v>19</v>
      </c>
      <c r="Q2" s="20"/>
      <c r="R2" s="20"/>
      <c r="V2" s="4"/>
      <c r="W2" s="5"/>
    </row>
    <row r="3" spans="1:23" ht="26.25" x14ac:dyDescent="0.25">
      <c r="A3" s="14" t="s">
        <v>20</v>
      </c>
      <c r="B3" s="14" t="s">
        <v>20</v>
      </c>
      <c r="C3" s="14" t="s">
        <v>20</v>
      </c>
      <c r="D3" s="14" t="s">
        <v>20</v>
      </c>
      <c r="E3" s="15" t="s">
        <v>21</v>
      </c>
      <c r="F3" s="24" t="s">
        <v>22</v>
      </c>
      <c r="G3" s="21" t="s">
        <v>23</v>
      </c>
      <c r="H3" s="22" t="s">
        <v>24</v>
      </c>
      <c r="I3" s="22" t="s">
        <v>25</v>
      </c>
      <c r="J3" s="22" t="s">
        <v>26</v>
      </c>
      <c r="K3" s="17" t="s">
        <v>20</v>
      </c>
      <c r="L3" s="17" t="s">
        <v>20</v>
      </c>
      <c r="M3" s="17" t="s">
        <v>20</v>
      </c>
      <c r="N3" s="17" t="s">
        <v>20</v>
      </c>
      <c r="O3" s="17" t="s">
        <v>20</v>
      </c>
      <c r="P3" s="28" t="s">
        <v>27</v>
      </c>
      <c r="Q3" s="23" t="s">
        <v>28</v>
      </c>
      <c r="R3" s="23" t="s">
        <v>29</v>
      </c>
      <c r="S3" s="1"/>
    </row>
    <row r="4" spans="1:23" x14ac:dyDescent="0.25">
      <c r="A4" s="12"/>
      <c r="B4" s="12"/>
      <c r="C4" s="12"/>
      <c r="D4" s="12"/>
      <c r="E4" s="7" t="str">
        <f>IFERROR(VLOOKUP($F4,#REF!,16,0), ".")</f>
        <v>.</v>
      </c>
      <c r="F4" s="25" t="s">
        <v>50</v>
      </c>
      <c r="G4" s="7" t="str">
        <f>IFERROR(VLOOKUP($F4,#REF!,3,0), ".")</f>
        <v>.</v>
      </c>
      <c r="H4" s="26" t="str">
        <f>IFERROR(VLOOKUP($F4,#REF!,17,0), ".")</f>
        <v>.</v>
      </c>
      <c r="I4" s="7" t="str">
        <f>IFERROR(VLOOKUP($F4,#REF!,12,0), ".")</f>
        <v>.</v>
      </c>
      <c r="J4" s="7" t="str">
        <f>IFERROR(VLOOKUP($F4,#REF!,6,0), ".")</f>
        <v>.</v>
      </c>
      <c r="K4" s="19" t="str">
        <f t="shared" ref="K4:K34" si="0">IF(A4="", "", A4*H4)</f>
        <v/>
      </c>
      <c r="L4" s="19" t="str">
        <f t="shared" ref="L4:L34" si="1">IF(B4="", "", B4*H4)</f>
        <v/>
      </c>
      <c r="M4" s="19" t="str">
        <f t="shared" ref="M4:M34" si="2">IF(C4="", "", C4*H4)</f>
        <v/>
      </c>
      <c r="N4" s="19" t="str">
        <f t="shared" ref="N4:N34" si="3">IF(D4="", "", D4*H4)</f>
        <v/>
      </c>
      <c r="O4" s="31" t="str">
        <f t="shared" ref="O4:O32" si="4">IF(SUM(K4:N4)=0, "", SUM(K4:N4))</f>
        <v/>
      </c>
      <c r="P4" s="19" t="str">
        <f>IFERROR(VLOOKUP($F4,#REF!,21,0), ".")</f>
        <v>.</v>
      </c>
      <c r="Q4" s="7" t="str">
        <f>IFERROR(VLOOKUP($F4,#REF!,8,0), ".")</f>
        <v>.</v>
      </c>
      <c r="R4" s="7" t="str">
        <f>IFERROR(VLOOKUP($F4,#REF!,20,0), ".")</f>
        <v>.</v>
      </c>
      <c r="S4" s="1"/>
    </row>
    <row r="5" spans="1:23" x14ac:dyDescent="0.25">
      <c r="A5" s="12"/>
      <c r="B5" s="12"/>
      <c r="C5" s="12"/>
      <c r="D5" s="12"/>
      <c r="E5" s="7" t="str">
        <f>IFERROR(VLOOKUP($F5,#REF!,16,0), ".")</f>
        <v>.</v>
      </c>
      <c r="F5" s="25" t="s">
        <v>51</v>
      </c>
      <c r="G5" s="7" t="str">
        <f>IFERROR(VLOOKUP($F5,#REF!,3,0), ".")</f>
        <v>.</v>
      </c>
      <c r="H5" s="26" t="str">
        <f>IFERROR(VLOOKUP($F5,#REF!,17,0), ".")</f>
        <v>.</v>
      </c>
      <c r="I5" s="7" t="str">
        <f>IFERROR(VLOOKUP($F5,#REF!,12,0), ".")</f>
        <v>.</v>
      </c>
      <c r="J5" s="7" t="str">
        <f>IFERROR(VLOOKUP($F5,#REF!,6,0), ".")</f>
        <v>.</v>
      </c>
      <c r="K5" s="19" t="str">
        <f t="shared" si="0"/>
        <v/>
      </c>
      <c r="L5" s="19" t="str">
        <f t="shared" si="1"/>
        <v/>
      </c>
      <c r="M5" s="19" t="str">
        <f t="shared" si="2"/>
        <v/>
      </c>
      <c r="N5" s="19" t="str">
        <f t="shared" si="3"/>
        <v/>
      </c>
      <c r="O5" s="31" t="str">
        <f t="shared" si="4"/>
        <v/>
      </c>
      <c r="P5" s="19" t="str">
        <f>IFERROR(VLOOKUP($F5,#REF!,21,0), ".")</f>
        <v>.</v>
      </c>
      <c r="Q5" s="7" t="str">
        <f>IFERROR(VLOOKUP($F5,#REF!,8,0), ".")</f>
        <v>.</v>
      </c>
      <c r="R5" s="7" t="str">
        <f>IFERROR(VLOOKUP($F5,#REF!,20,0), ".")</f>
        <v>.</v>
      </c>
      <c r="S5" s="1"/>
    </row>
    <row r="6" spans="1:23" x14ac:dyDescent="0.25">
      <c r="A6" s="12"/>
      <c r="B6" s="12"/>
      <c r="C6" s="12"/>
      <c r="D6" s="12"/>
      <c r="E6" s="7" t="str">
        <f>IFERROR(VLOOKUP($F6,#REF!,16,0), ".")</f>
        <v>.</v>
      </c>
      <c r="F6" s="25" t="s">
        <v>52</v>
      </c>
      <c r="G6" s="7" t="str">
        <f>IFERROR(VLOOKUP($F6,#REF!,3,0), ".")</f>
        <v>.</v>
      </c>
      <c r="H6" s="26" t="str">
        <f>IFERROR(VLOOKUP($F6,#REF!,17,0), ".")</f>
        <v>.</v>
      </c>
      <c r="I6" s="7" t="str">
        <f>IFERROR(VLOOKUP($F6,#REF!,12,0), ".")</f>
        <v>.</v>
      </c>
      <c r="J6" s="7" t="str">
        <f>IFERROR(VLOOKUP($F6,#REF!,6,0), ".")</f>
        <v>.</v>
      </c>
      <c r="K6" s="19" t="str">
        <f t="shared" si="0"/>
        <v/>
      </c>
      <c r="L6" s="19" t="str">
        <f t="shared" si="1"/>
        <v/>
      </c>
      <c r="M6" s="19" t="str">
        <f t="shared" si="2"/>
        <v/>
      </c>
      <c r="N6" s="19" t="str">
        <f t="shared" si="3"/>
        <v/>
      </c>
      <c r="O6" s="31" t="str">
        <f t="shared" si="4"/>
        <v/>
      </c>
      <c r="P6" s="19" t="str">
        <f>IFERROR(VLOOKUP($F6,#REF!,21,0), ".")</f>
        <v>.</v>
      </c>
      <c r="Q6" s="7" t="str">
        <f>IFERROR(VLOOKUP($F6,#REF!,8,0), ".")</f>
        <v>.</v>
      </c>
      <c r="R6" s="7" t="str">
        <f>IFERROR(VLOOKUP($F6,#REF!,20,0), ".")</f>
        <v>.</v>
      </c>
      <c r="S6" s="1"/>
    </row>
    <row r="7" spans="1:23" x14ac:dyDescent="0.25">
      <c r="A7" s="12"/>
      <c r="B7" s="12"/>
      <c r="C7" s="12"/>
      <c r="D7" s="12"/>
      <c r="E7" s="7" t="str">
        <f>IFERROR(VLOOKUP($F7,#REF!,16,0), ".")</f>
        <v>.</v>
      </c>
      <c r="F7" s="25" t="s">
        <v>53</v>
      </c>
      <c r="G7" s="7" t="str">
        <f>IFERROR(VLOOKUP($F7,#REF!,3,0), ".")</f>
        <v>.</v>
      </c>
      <c r="H7" s="26" t="str">
        <f>IFERROR(VLOOKUP($F7,#REF!,17,0), ".")</f>
        <v>.</v>
      </c>
      <c r="I7" s="7" t="str">
        <f>IFERROR(VLOOKUP($F7,#REF!,12,0), ".")</f>
        <v>.</v>
      </c>
      <c r="J7" s="7" t="str">
        <f>IFERROR(VLOOKUP($F7,#REF!,6,0), ".")</f>
        <v>.</v>
      </c>
      <c r="K7" s="19" t="str">
        <f t="shared" si="0"/>
        <v/>
      </c>
      <c r="L7" s="19" t="str">
        <f t="shared" si="1"/>
        <v/>
      </c>
      <c r="M7" s="19" t="str">
        <f t="shared" si="2"/>
        <v/>
      </c>
      <c r="N7" s="19" t="str">
        <f t="shared" si="3"/>
        <v/>
      </c>
      <c r="O7" s="31" t="str">
        <f t="shared" si="4"/>
        <v/>
      </c>
      <c r="P7" s="19" t="str">
        <f>IFERROR(VLOOKUP($F7,#REF!,21,0), ".")</f>
        <v>.</v>
      </c>
      <c r="Q7" s="7" t="str">
        <f>IFERROR(VLOOKUP($F7,#REF!,8,0), ".")</f>
        <v>.</v>
      </c>
      <c r="R7" s="7" t="str">
        <f>IFERROR(VLOOKUP($F7,#REF!,20,0), ".")</f>
        <v>.</v>
      </c>
      <c r="S7" s="1"/>
    </row>
    <row r="8" spans="1:23" x14ac:dyDescent="0.25">
      <c r="A8" s="12"/>
      <c r="B8" s="12"/>
      <c r="C8" s="12"/>
      <c r="D8" s="12"/>
      <c r="E8" s="7" t="str">
        <f>IFERROR(VLOOKUP($F8,#REF!,16,0), ".")</f>
        <v>.</v>
      </c>
      <c r="F8" s="25" t="s">
        <v>54</v>
      </c>
      <c r="G8" s="7" t="str">
        <f>IFERROR(VLOOKUP($F8,#REF!,3,0), ".")</f>
        <v>.</v>
      </c>
      <c r="H8" s="26" t="str">
        <f>IFERROR(VLOOKUP($F8,#REF!,17,0), ".")</f>
        <v>.</v>
      </c>
      <c r="I8" s="7" t="str">
        <f>IFERROR(VLOOKUP($F8,#REF!,12,0), ".")</f>
        <v>.</v>
      </c>
      <c r="J8" s="7" t="str">
        <f>IFERROR(VLOOKUP($F8,#REF!,6,0), ".")</f>
        <v>.</v>
      </c>
      <c r="K8" s="19" t="str">
        <f t="shared" si="0"/>
        <v/>
      </c>
      <c r="L8" s="19" t="str">
        <f t="shared" si="1"/>
        <v/>
      </c>
      <c r="M8" s="19" t="str">
        <f t="shared" si="2"/>
        <v/>
      </c>
      <c r="N8" s="19" t="str">
        <f t="shared" si="3"/>
        <v/>
      </c>
      <c r="O8" s="31" t="str">
        <f t="shared" si="4"/>
        <v/>
      </c>
      <c r="P8" s="19" t="str">
        <f>IFERROR(VLOOKUP($F8,#REF!,21,0), ".")</f>
        <v>.</v>
      </c>
      <c r="Q8" s="7" t="str">
        <f>IFERROR(VLOOKUP($F8,#REF!,8,0), ".")</f>
        <v>.</v>
      </c>
      <c r="R8" s="7" t="str">
        <f>IFERROR(VLOOKUP($F8,#REF!,20,0), ".")</f>
        <v>.</v>
      </c>
      <c r="S8" s="1"/>
    </row>
    <row r="9" spans="1:23" x14ac:dyDescent="0.25">
      <c r="A9" s="12"/>
      <c r="B9" s="12"/>
      <c r="C9" s="12"/>
      <c r="D9" s="12"/>
      <c r="E9" s="7" t="str">
        <f>IFERROR(VLOOKUP($F9,#REF!,16,0), ".")</f>
        <v>.</v>
      </c>
      <c r="F9" s="25" t="s">
        <v>55</v>
      </c>
      <c r="G9" s="7" t="str">
        <f>IFERROR(VLOOKUP($F9,#REF!,3,0), ".")</f>
        <v>.</v>
      </c>
      <c r="H9" s="26" t="str">
        <f>IFERROR(VLOOKUP($F9,#REF!,17,0), ".")</f>
        <v>.</v>
      </c>
      <c r="I9" s="7" t="str">
        <f>IFERROR(VLOOKUP($F9,#REF!,12,0), ".")</f>
        <v>.</v>
      </c>
      <c r="J9" s="7" t="str">
        <f>IFERROR(VLOOKUP($F9,#REF!,6,0), ".")</f>
        <v>.</v>
      </c>
      <c r="K9" s="19" t="str">
        <f t="shared" si="0"/>
        <v/>
      </c>
      <c r="L9" s="19" t="str">
        <f t="shared" si="1"/>
        <v/>
      </c>
      <c r="M9" s="19" t="str">
        <f t="shared" si="2"/>
        <v/>
      </c>
      <c r="N9" s="19" t="str">
        <f t="shared" si="3"/>
        <v/>
      </c>
      <c r="O9" s="31" t="str">
        <f t="shared" si="4"/>
        <v/>
      </c>
      <c r="P9" s="19" t="str">
        <f>IFERROR(VLOOKUP($F9,#REF!,21,0), ".")</f>
        <v>.</v>
      </c>
      <c r="Q9" s="7" t="str">
        <f>IFERROR(VLOOKUP($F9,#REF!,8,0), ".")</f>
        <v>.</v>
      </c>
      <c r="R9" s="7" t="str">
        <f>IFERROR(VLOOKUP($F9,#REF!,20,0), ".")</f>
        <v>.</v>
      </c>
      <c r="S9" s="1"/>
    </row>
    <row r="10" spans="1:23" x14ac:dyDescent="0.25">
      <c r="A10" s="12"/>
      <c r="B10" s="12"/>
      <c r="C10" s="12"/>
      <c r="D10" s="12"/>
      <c r="E10" s="7" t="str">
        <f>IFERROR(VLOOKUP($F10,#REF!,16,0), ".")</f>
        <v>.</v>
      </c>
      <c r="F10" s="25" t="s">
        <v>56</v>
      </c>
      <c r="G10" s="7" t="str">
        <f>IFERROR(VLOOKUP($F10,#REF!,3,0), ".")</f>
        <v>.</v>
      </c>
      <c r="H10" s="26" t="str">
        <f>IFERROR(VLOOKUP($F10,#REF!,17,0), ".")</f>
        <v>.</v>
      </c>
      <c r="I10" s="7" t="str">
        <f>IFERROR(VLOOKUP($F10,#REF!,12,0), ".")</f>
        <v>.</v>
      </c>
      <c r="J10" s="7" t="str">
        <f>IFERROR(VLOOKUP($F10,#REF!,6,0), ".")</f>
        <v>.</v>
      </c>
      <c r="K10" s="19" t="str">
        <f t="shared" si="0"/>
        <v/>
      </c>
      <c r="L10" s="19" t="str">
        <f t="shared" si="1"/>
        <v/>
      </c>
      <c r="M10" s="19" t="str">
        <f t="shared" si="2"/>
        <v/>
      </c>
      <c r="N10" s="19" t="str">
        <f t="shared" si="3"/>
        <v/>
      </c>
      <c r="O10" s="31" t="str">
        <f t="shared" si="4"/>
        <v/>
      </c>
      <c r="P10" s="19" t="str">
        <f>IFERROR(VLOOKUP($F10,#REF!,21,0), ".")</f>
        <v>.</v>
      </c>
      <c r="Q10" s="7" t="str">
        <f>IFERROR(VLOOKUP($F10,#REF!,8,0), ".")</f>
        <v>.</v>
      </c>
      <c r="R10" s="7" t="str">
        <f>IFERROR(VLOOKUP($F10,#REF!,20,0), ".")</f>
        <v>.</v>
      </c>
      <c r="S10" s="1"/>
    </row>
    <row r="11" spans="1:23" x14ac:dyDescent="0.25">
      <c r="A11" s="12"/>
      <c r="B11" s="12"/>
      <c r="C11" s="12"/>
      <c r="D11" s="12"/>
      <c r="E11" s="7" t="str">
        <f>IFERROR(VLOOKUP($F11,#REF!,16,0), ".")</f>
        <v>.</v>
      </c>
      <c r="F11" s="25" t="s">
        <v>57</v>
      </c>
      <c r="G11" s="7" t="str">
        <f>IFERROR(VLOOKUP($F11,#REF!,3,0), ".")</f>
        <v>.</v>
      </c>
      <c r="H11" s="26" t="str">
        <f>IFERROR(VLOOKUP($F11,#REF!,17,0), ".")</f>
        <v>.</v>
      </c>
      <c r="I11" s="7" t="str">
        <f>IFERROR(VLOOKUP($F11,#REF!,12,0), ".")</f>
        <v>.</v>
      </c>
      <c r="J11" s="7" t="str">
        <f>IFERROR(VLOOKUP($F11,#REF!,6,0), ".")</f>
        <v>.</v>
      </c>
      <c r="K11" s="19" t="str">
        <f t="shared" si="0"/>
        <v/>
      </c>
      <c r="L11" s="19" t="str">
        <f t="shared" si="1"/>
        <v/>
      </c>
      <c r="M11" s="19" t="str">
        <f t="shared" si="2"/>
        <v/>
      </c>
      <c r="N11" s="19" t="str">
        <f t="shared" si="3"/>
        <v/>
      </c>
      <c r="O11" s="31" t="str">
        <f t="shared" si="4"/>
        <v/>
      </c>
      <c r="P11" s="19" t="str">
        <f>IFERROR(VLOOKUP($F11,#REF!,21,0), ".")</f>
        <v>.</v>
      </c>
      <c r="Q11" s="7" t="str">
        <f>IFERROR(VLOOKUP($F11,#REF!,8,0), ".")</f>
        <v>.</v>
      </c>
      <c r="R11" s="7" t="str">
        <f>IFERROR(VLOOKUP($F11,#REF!,20,0), ".")</f>
        <v>.</v>
      </c>
      <c r="S11" s="1"/>
    </row>
    <row r="12" spans="1:23" x14ac:dyDescent="0.25">
      <c r="A12" s="12"/>
      <c r="B12" s="12"/>
      <c r="C12" s="12"/>
      <c r="D12" s="12"/>
      <c r="E12" s="7" t="str">
        <f>IFERROR(VLOOKUP($F12,#REF!,16,0), ".")</f>
        <v>.</v>
      </c>
      <c r="F12" s="25" t="s">
        <v>58</v>
      </c>
      <c r="G12" s="7" t="str">
        <f>IFERROR(VLOOKUP($F12,#REF!,3,0), ".")</f>
        <v>.</v>
      </c>
      <c r="H12" s="26" t="str">
        <f>IFERROR(VLOOKUP($F12,#REF!,17,0), ".")</f>
        <v>.</v>
      </c>
      <c r="I12" s="7" t="str">
        <f>IFERROR(VLOOKUP($F12,#REF!,12,0), ".")</f>
        <v>.</v>
      </c>
      <c r="J12" s="7" t="str">
        <f>IFERROR(VLOOKUP($F12,#REF!,6,0), ".")</f>
        <v>.</v>
      </c>
      <c r="K12" s="19" t="str">
        <f t="shared" si="0"/>
        <v/>
      </c>
      <c r="L12" s="19" t="str">
        <f t="shared" si="1"/>
        <v/>
      </c>
      <c r="M12" s="19" t="str">
        <f t="shared" si="2"/>
        <v/>
      </c>
      <c r="N12" s="19" t="str">
        <f t="shared" si="3"/>
        <v/>
      </c>
      <c r="O12" s="31" t="str">
        <f t="shared" si="4"/>
        <v/>
      </c>
      <c r="P12" s="19" t="str">
        <f>IFERROR(VLOOKUP($F12,#REF!,21,0), ".")</f>
        <v>.</v>
      </c>
      <c r="Q12" s="7" t="str">
        <f>IFERROR(VLOOKUP($F12,#REF!,8,0), ".")</f>
        <v>.</v>
      </c>
      <c r="R12" s="7" t="str">
        <f>IFERROR(VLOOKUP($F12,#REF!,20,0), ".")</f>
        <v>.</v>
      </c>
      <c r="S12" s="1"/>
    </row>
    <row r="13" spans="1:23" x14ac:dyDescent="0.25">
      <c r="A13" s="12"/>
      <c r="B13" s="12"/>
      <c r="C13" s="12"/>
      <c r="D13" s="12"/>
      <c r="E13" s="7" t="str">
        <f>IFERROR(VLOOKUP($F13,#REF!,16,0), ".")</f>
        <v>.</v>
      </c>
      <c r="F13" s="25" t="s">
        <v>59</v>
      </c>
      <c r="G13" s="7" t="str">
        <f>IFERROR(VLOOKUP($F13,#REF!,3,0), ".")</f>
        <v>.</v>
      </c>
      <c r="H13" s="26" t="str">
        <f>IFERROR(VLOOKUP($F13,#REF!,17,0), ".")</f>
        <v>.</v>
      </c>
      <c r="I13" s="7" t="str">
        <f>IFERROR(VLOOKUP($F13,#REF!,12,0), ".")</f>
        <v>.</v>
      </c>
      <c r="J13" s="7" t="str">
        <f>IFERROR(VLOOKUP($F13,#REF!,6,0), ".")</f>
        <v>.</v>
      </c>
      <c r="K13" s="19" t="str">
        <f t="shared" si="0"/>
        <v/>
      </c>
      <c r="L13" s="19" t="str">
        <f t="shared" si="1"/>
        <v/>
      </c>
      <c r="M13" s="19" t="str">
        <f t="shared" si="2"/>
        <v/>
      </c>
      <c r="N13" s="19" t="str">
        <f t="shared" si="3"/>
        <v/>
      </c>
      <c r="O13" s="31" t="str">
        <f t="shared" si="4"/>
        <v/>
      </c>
      <c r="P13" s="19" t="str">
        <f>IFERROR(VLOOKUP($F13,#REF!,21,0), ".")</f>
        <v>.</v>
      </c>
      <c r="Q13" s="7" t="str">
        <f>IFERROR(VLOOKUP($F13,#REF!,8,0), ".")</f>
        <v>.</v>
      </c>
      <c r="R13" s="7" t="str">
        <f>IFERROR(VLOOKUP($F13,#REF!,20,0), ".")</f>
        <v>.</v>
      </c>
      <c r="S13" s="1"/>
    </row>
    <row r="14" spans="1:23" x14ac:dyDescent="0.25">
      <c r="A14" s="12"/>
      <c r="B14" s="12"/>
      <c r="C14" s="12"/>
      <c r="D14" s="12"/>
      <c r="E14" s="7" t="str">
        <f>IFERROR(VLOOKUP($F14,#REF!,16,0), ".")</f>
        <v>.</v>
      </c>
      <c r="F14" s="25" t="s">
        <v>60</v>
      </c>
      <c r="G14" s="7" t="str">
        <f>IFERROR(VLOOKUP($F14,#REF!,3,0), ".")</f>
        <v>.</v>
      </c>
      <c r="H14" s="26" t="str">
        <f>IFERROR(VLOOKUP($F14,#REF!,17,0), ".")</f>
        <v>.</v>
      </c>
      <c r="I14" s="7" t="str">
        <f>IFERROR(VLOOKUP($F14,#REF!,12,0), ".")</f>
        <v>.</v>
      </c>
      <c r="J14" s="7" t="str">
        <f>IFERROR(VLOOKUP($F14,#REF!,6,0), ".")</f>
        <v>.</v>
      </c>
      <c r="K14" s="19" t="str">
        <f t="shared" si="0"/>
        <v/>
      </c>
      <c r="L14" s="19" t="str">
        <f t="shared" si="1"/>
        <v/>
      </c>
      <c r="M14" s="19" t="str">
        <f t="shared" si="2"/>
        <v/>
      </c>
      <c r="N14" s="19" t="str">
        <f t="shared" si="3"/>
        <v/>
      </c>
      <c r="O14" s="31" t="str">
        <f t="shared" si="4"/>
        <v/>
      </c>
      <c r="P14" s="19" t="str">
        <f>IFERROR(VLOOKUP($F14,#REF!,21,0), ".")</f>
        <v>.</v>
      </c>
      <c r="Q14" s="7" t="str">
        <f>IFERROR(VLOOKUP($F14,#REF!,8,0), ".")</f>
        <v>.</v>
      </c>
      <c r="R14" s="7" t="str">
        <f>IFERROR(VLOOKUP($F14,#REF!,20,0), ".")</f>
        <v>.</v>
      </c>
      <c r="S14" s="1"/>
    </row>
    <row r="15" spans="1:23" x14ac:dyDescent="0.25">
      <c r="A15" s="12"/>
      <c r="B15" s="12"/>
      <c r="C15" s="12"/>
      <c r="D15" s="12"/>
      <c r="E15" s="7" t="str">
        <f>IFERROR(VLOOKUP($F15,#REF!,16,0), ".")</f>
        <v>.</v>
      </c>
      <c r="F15" s="25" t="s">
        <v>61</v>
      </c>
      <c r="G15" s="7" t="str">
        <f>IFERROR(VLOOKUP($F15,#REF!,3,0), ".")</f>
        <v>.</v>
      </c>
      <c r="H15" s="26" t="str">
        <f>IFERROR(VLOOKUP($F15,#REF!,17,0), ".")</f>
        <v>.</v>
      </c>
      <c r="I15" s="7" t="str">
        <f>IFERROR(VLOOKUP($F15,#REF!,12,0), ".")</f>
        <v>.</v>
      </c>
      <c r="J15" s="7" t="str">
        <f>IFERROR(VLOOKUP($F15,#REF!,6,0), ".")</f>
        <v>.</v>
      </c>
      <c r="K15" s="19" t="str">
        <f t="shared" si="0"/>
        <v/>
      </c>
      <c r="L15" s="19" t="str">
        <f t="shared" si="1"/>
        <v/>
      </c>
      <c r="M15" s="19" t="str">
        <f t="shared" si="2"/>
        <v/>
      </c>
      <c r="N15" s="19" t="str">
        <f t="shared" si="3"/>
        <v/>
      </c>
      <c r="O15" s="31" t="str">
        <f t="shared" si="4"/>
        <v/>
      </c>
      <c r="P15" s="19" t="str">
        <f>IFERROR(VLOOKUP($F15,#REF!,21,0), ".")</f>
        <v>.</v>
      </c>
      <c r="Q15" s="7" t="str">
        <f>IFERROR(VLOOKUP($F15,#REF!,8,0), ".")</f>
        <v>.</v>
      </c>
      <c r="R15" s="7" t="str">
        <f>IFERROR(VLOOKUP($F15,#REF!,20,0), ".")</f>
        <v>.</v>
      </c>
      <c r="S15" s="1"/>
    </row>
    <row r="16" spans="1:23" x14ac:dyDescent="0.25">
      <c r="A16" s="12"/>
      <c r="B16" s="12"/>
      <c r="C16" s="12"/>
      <c r="D16" s="12"/>
      <c r="E16" s="7" t="str">
        <f>IFERROR(VLOOKUP($F16,#REF!,16,0), ".")</f>
        <v>.</v>
      </c>
      <c r="F16" s="25" t="s">
        <v>62</v>
      </c>
      <c r="G16" s="7" t="str">
        <f>IFERROR(VLOOKUP($F16,#REF!,3,0), ".")</f>
        <v>.</v>
      </c>
      <c r="H16" s="26" t="str">
        <f>IFERROR(VLOOKUP($F16,#REF!,17,0), ".")</f>
        <v>.</v>
      </c>
      <c r="I16" s="7" t="str">
        <f>IFERROR(VLOOKUP($F16,#REF!,12,0), ".")</f>
        <v>.</v>
      </c>
      <c r="J16" s="7" t="str">
        <f>IFERROR(VLOOKUP($F16,#REF!,6,0), ".")</f>
        <v>.</v>
      </c>
      <c r="K16" s="19" t="str">
        <f t="shared" si="0"/>
        <v/>
      </c>
      <c r="L16" s="19" t="str">
        <f t="shared" si="1"/>
        <v/>
      </c>
      <c r="M16" s="19" t="str">
        <f t="shared" si="2"/>
        <v/>
      </c>
      <c r="N16" s="19" t="str">
        <f t="shared" si="3"/>
        <v/>
      </c>
      <c r="O16" s="31" t="str">
        <f t="shared" si="4"/>
        <v/>
      </c>
      <c r="P16" s="19" t="str">
        <f>IFERROR(VLOOKUP($F16,#REF!,21,0), ".")</f>
        <v>.</v>
      </c>
      <c r="Q16" s="7" t="str">
        <f>IFERROR(VLOOKUP($F16,#REF!,8,0), ".")</f>
        <v>.</v>
      </c>
      <c r="R16" s="7" t="str">
        <f>IFERROR(VLOOKUP($F16,#REF!,20,0), ".")</f>
        <v>.</v>
      </c>
      <c r="S16" s="1"/>
    </row>
    <row r="17" spans="1:19" x14ac:dyDescent="0.25">
      <c r="A17" s="12"/>
      <c r="B17" s="12"/>
      <c r="C17" s="12"/>
      <c r="D17" s="12"/>
      <c r="E17" s="7" t="str">
        <f>IFERROR(VLOOKUP($F17,#REF!,16,0), ".")</f>
        <v>.</v>
      </c>
      <c r="F17" s="25" t="s">
        <v>63</v>
      </c>
      <c r="G17" s="7" t="str">
        <f>IFERROR(VLOOKUP($F17,#REF!,3,0), ".")</f>
        <v>.</v>
      </c>
      <c r="H17" s="26" t="str">
        <f>IFERROR(VLOOKUP($F17,#REF!,17,0), ".")</f>
        <v>.</v>
      </c>
      <c r="I17" s="7" t="str">
        <f>IFERROR(VLOOKUP($F17,#REF!,12,0), ".")</f>
        <v>.</v>
      </c>
      <c r="J17" s="7" t="str">
        <f>IFERROR(VLOOKUP($F17,#REF!,6,0), ".")</f>
        <v>.</v>
      </c>
      <c r="K17" s="19" t="str">
        <f t="shared" si="0"/>
        <v/>
      </c>
      <c r="L17" s="19" t="str">
        <f t="shared" si="1"/>
        <v/>
      </c>
      <c r="M17" s="19" t="str">
        <f t="shared" si="2"/>
        <v/>
      </c>
      <c r="N17" s="19" t="str">
        <f t="shared" si="3"/>
        <v/>
      </c>
      <c r="O17" s="31" t="str">
        <f t="shared" si="4"/>
        <v/>
      </c>
      <c r="P17" s="19" t="str">
        <f>IFERROR(VLOOKUP($F17,#REF!,21,0), ".")</f>
        <v>.</v>
      </c>
      <c r="Q17" s="7" t="str">
        <f>IFERROR(VLOOKUP($F17,#REF!,8,0), ".")</f>
        <v>.</v>
      </c>
      <c r="R17" s="7" t="str">
        <f>IFERROR(VLOOKUP($F17,#REF!,20,0), ".")</f>
        <v>.</v>
      </c>
      <c r="S17" s="1"/>
    </row>
    <row r="18" spans="1:19" x14ac:dyDescent="0.25">
      <c r="A18" s="12"/>
      <c r="B18" s="12"/>
      <c r="C18" s="12"/>
      <c r="D18" s="12"/>
      <c r="E18" s="7" t="str">
        <f>IFERROR(VLOOKUP($F18,#REF!,16,0), ".")</f>
        <v>.</v>
      </c>
      <c r="F18" s="25" t="s">
        <v>64</v>
      </c>
      <c r="G18" s="7" t="str">
        <f>IFERROR(VLOOKUP($F18,#REF!,3,0), ".")</f>
        <v>.</v>
      </c>
      <c r="H18" s="26" t="str">
        <f>IFERROR(VLOOKUP($F18,#REF!,17,0), ".")</f>
        <v>.</v>
      </c>
      <c r="I18" s="7" t="str">
        <f>IFERROR(VLOOKUP($F18,#REF!,12,0), ".")</f>
        <v>.</v>
      </c>
      <c r="J18" s="7" t="str">
        <f>IFERROR(VLOOKUP($F18,#REF!,6,0), ".")</f>
        <v>.</v>
      </c>
      <c r="K18" s="19" t="str">
        <f t="shared" si="0"/>
        <v/>
      </c>
      <c r="L18" s="19" t="str">
        <f t="shared" si="1"/>
        <v/>
      </c>
      <c r="M18" s="19" t="str">
        <f t="shared" si="2"/>
        <v/>
      </c>
      <c r="N18" s="19" t="str">
        <f t="shared" si="3"/>
        <v/>
      </c>
      <c r="O18" s="31" t="str">
        <f t="shared" si="4"/>
        <v/>
      </c>
      <c r="P18" s="19" t="str">
        <f>IFERROR(VLOOKUP($F18,#REF!,21,0), ".")</f>
        <v>.</v>
      </c>
      <c r="Q18" s="7" t="str">
        <f>IFERROR(VLOOKUP($F18,#REF!,8,0), ".")</f>
        <v>.</v>
      </c>
      <c r="R18" s="7" t="str">
        <f>IFERROR(VLOOKUP($F18,#REF!,20,0), ".")</f>
        <v>.</v>
      </c>
      <c r="S18" s="1"/>
    </row>
    <row r="19" spans="1:19" x14ac:dyDescent="0.25">
      <c r="A19" s="12"/>
      <c r="B19" s="12"/>
      <c r="C19" s="12"/>
      <c r="D19" s="12"/>
      <c r="E19" s="7" t="str">
        <f>IFERROR(VLOOKUP($F19,#REF!,16,0), ".")</f>
        <v>.</v>
      </c>
      <c r="F19" s="25" t="s">
        <v>65</v>
      </c>
      <c r="G19" s="7" t="str">
        <f>IFERROR(VLOOKUP($F19,#REF!,3,0), ".")</f>
        <v>.</v>
      </c>
      <c r="H19" s="26" t="str">
        <f>IFERROR(VLOOKUP($F19,#REF!,17,0), ".")</f>
        <v>.</v>
      </c>
      <c r="I19" s="7" t="str">
        <f>IFERROR(VLOOKUP($F19,#REF!,12,0), ".")</f>
        <v>.</v>
      </c>
      <c r="J19" s="7" t="str">
        <f>IFERROR(VLOOKUP($F19,#REF!,6,0), ".")</f>
        <v>.</v>
      </c>
      <c r="K19" s="19" t="str">
        <f t="shared" si="0"/>
        <v/>
      </c>
      <c r="L19" s="19" t="str">
        <f t="shared" si="1"/>
        <v/>
      </c>
      <c r="M19" s="19" t="str">
        <f t="shared" si="2"/>
        <v/>
      </c>
      <c r="N19" s="19" t="str">
        <f t="shared" si="3"/>
        <v/>
      </c>
      <c r="O19" s="31" t="str">
        <f t="shared" si="4"/>
        <v/>
      </c>
      <c r="P19" s="19" t="str">
        <f>IFERROR(VLOOKUP($F19,#REF!,21,0), ".")</f>
        <v>.</v>
      </c>
      <c r="Q19" s="7" t="str">
        <f>IFERROR(VLOOKUP($F19,#REF!,8,0), ".")</f>
        <v>.</v>
      </c>
      <c r="R19" s="7" t="str">
        <f>IFERROR(VLOOKUP($F19,#REF!,20,0), ".")</f>
        <v>.</v>
      </c>
      <c r="S19" s="1"/>
    </row>
    <row r="20" spans="1:19" x14ac:dyDescent="0.25">
      <c r="A20" s="12"/>
      <c r="B20" s="12"/>
      <c r="C20" s="12"/>
      <c r="D20" s="12"/>
      <c r="E20" s="7" t="str">
        <f>IFERROR(VLOOKUP($F20,#REF!,16,0), ".")</f>
        <v>.</v>
      </c>
      <c r="F20" s="25" t="s">
        <v>66</v>
      </c>
      <c r="G20" s="7" t="str">
        <f>IFERROR(VLOOKUP($F20,#REF!,3,0), ".")</f>
        <v>.</v>
      </c>
      <c r="H20" s="26" t="str">
        <f>IFERROR(VLOOKUP($F20,#REF!,17,0), ".")</f>
        <v>.</v>
      </c>
      <c r="I20" s="7" t="str">
        <f>IFERROR(VLOOKUP($F20,#REF!,12,0), ".")</f>
        <v>.</v>
      </c>
      <c r="J20" s="7" t="str">
        <f>IFERROR(VLOOKUP($F20,#REF!,6,0), ".")</f>
        <v>.</v>
      </c>
      <c r="K20" s="19" t="str">
        <f t="shared" si="0"/>
        <v/>
      </c>
      <c r="L20" s="19" t="str">
        <f t="shared" si="1"/>
        <v/>
      </c>
      <c r="M20" s="19" t="str">
        <f t="shared" si="2"/>
        <v/>
      </c>
      <c r="N20" s="19" t="str">
        <f t="shared" si="3"/>
        <v/>
      </c>
      <c r="O20" s="31" t="str">
        <f t="shared" si="4"/>
        <v/>
      </c>
      <c r="P20" s="19" t="str">
        <f>IFERROR(VLOOKUP($F20,#REF!,21,0), ".")</f>
        <v>.</v>
      </c>
      <c r="Q20" s="7" t="str">
        <f>IFERROR(VLOOKUP($F20,#REF!,8,0), ".")</f>
        <v>.</v>
      </c>
      <c r="R20" s="7" t="str">
        <f>IFERROR(VLOOKUP($F20,#REF!,20,0), ".")</f>
        <v>.</v>
      </c>
      <c r="S20" s="1"/>
    </row>
    <row r="21" spans="1:19" x14ac:dyDescent="0.25">
      <c r="A21" s="12"/>
      <c r="B21" s="12"/>
      <c r="C21" s="12"/>
      <c r="D21" s="12"/>
      <c r="E21" s="7" t="str">
        <f>IFERROR(VLOOKUP($F21,#REF!,16,0), ".")</f>
        <v>.</v>
      </c>
      <c r="F21" s="25" t="s">
        <v>67</v>
      </c>
      <c r="G21" s="7" t="str">
        <f>IFERROR(VLOOKUP($F21,#REF!,3,0), ".")</f>
        <v>.</v>
      </c>
      <c r="H21" s="26" t="str">
        <f>IFERROR(VLOOKUP($F21,#REF!,17,0), ".")</f>
        <v>.</v>
      </c>
      <c r="I21" s="7" t="str">
        <f>IFERROR(VLOOKUP($F21,#REF!,12,0), ".")</f>
        <v>.</v>
      </c>
      <c r="J21" s="7" t="str">
        <f>IFERROR(VLOOKUP($F21,#REF!,6,0), ".")</f>
        <v>.</v>
      </c>
      <c r="K21" s="19" t="str">
        <f t="shared" si="0"/>
        <v/>
      </c>
      <c r="L21" s="19" t="str">
        <f t="shared" si="1"/>
        <v/>
      </c>
      <c r="M21" s="19" t="str">
        <f t="shared" si="2"/>
        <v/>
      </c>
      <c r="N21" s="19" t="str">
        <f t="shared" si="3"/>
        <v/>
      </c>
      <c r="O21" s="31" t="str">
        <f t="shared" si="4"/>
        <v/>
      </c>
      <c r="P21" s="19" t="str">
        <f>IFERROR(VLOOKUP($F21,#REF!,21,0), ".")</f>
        <v>.</v>
      </c>
      <c r="Q21" s="7" t="str">
        <f>IFERROR(VLOOKUP($F21,#REF!,8,0), ".")</f>
        <v>.</v>
      </c>
      <c r="R21" s="7" t="str">
        <f>IFERROR(VLOOKUP($F21,#REF!,20,0), ".")</f>
        <v>.</v>
      </c>
      <c r="S21" s="1"/>
    </row>
    <row r="22" spans="1:19" x14ac:dyDescent="0.25">
      <c r="A22" s="12"/>
      <c r="B22" s="12"/>
      <c r="C22" s="12"/>
      <c r="D22" s="12"/>
      <c r="E22" s="7" t="str">
        <f>IFERROR(VLOOKUP($F22,#REF!,16,0), ".")</f>
        <v>.</v>
      </c>
      <c r="F22" s="25" t="s">
        <v>68</v>
      </c>
      <c r="G22" s="7" t="str">
        <f>IFERROR(VLOOKUP($F22,#REF!,3,0), ".")</f>
        <v>.</v>
      </c>
      <c r="H22" s="26" t="str">
        <f>IFERROR(VLOOKUP($F22,#REF!,17,0), ".")</f>
        <v>.</v>
      </c>
      <c r="I22" s="7" t="str">
        <f>IFERROR(VLOOKUP($F22,#REF!,12,0), ".")</f>
        <v>.</v>
      </c>
      <c r="J22" s="7" t="str">
        <f>IFERROR(VLOOKUP($F22,#REF!,6,0), ".")</f>
        <v>.</v>
      </c>
      <c r="K22" s="19" t="str">
        <f t="shared" si="0"/>
        <v/>
      </c>
      <c r="L22" s="19" t="str">
        <f t="shared" si="1"/>
        <v/>
      </c>
      <c r="M22" s="19" t="str">
        <f t="shared" si="2"/>
        <v/>
      </c>
      <c r="N22" s="19" t="str">
        <f t="shared" si="3"/>
        <v/>
      </c>
      <c r="O22" s="31" t="str">
        <f t="shared" si="4"/>
        <v/>
      </c>
      <c r="P22" s="19" t="str">
        <f>IFERROR(VLOOKUP($F22,#REF!,21,0), ".")</f>
        <v>.</v>
      </c>
      <c r="Q22" s="7" t="str">
        <f>IFERROR(VLOOKUP($F22,#REF!,8,0), ".")</f>
        <v>.</v>
      </c>
      <c r="R22" s="7" t="str">
        <f>IFERROR(VLOOKUP($F22,#REF!,20,0), ".")</f>
        <v>.</v>
      </c>
      <c r="S22" s="1"/>
    </row>
    <row r="23" spans="1:19" x14ac:dyDescent="0.25">
      <c r="A23" s="12"/>
      <c r="B23" s="12"/>
      <c r="C23" s="12"/>
      <c r="D23" s="12"/>
      <c r="E23" s="7" t="str">
        <f>IFERROR(VLOOKUP($F23,#REF!,16,0), ".")</f>
        <v>.</v>
      </c>
      <c r="F23" s="25" t="s">
        <v>69</v>
      </c>
      <c r="G23" s="7" t="str">
        <f>IFERROR(VLOOKUP($F23,#REF!,3,0), ".")</f>
        <v>.</v>
      </c>
      <c r="H23" s="26" t="str">
        <f>IFERROR(VLOOKUP($F23,#REF!,17,0), ".")</f>
        <v>.</v>
      </c>
      <c r="I23" s="7" t="str">
        <f>IFERROR(VLOOKUP($F23,#REF!,12,0), ".")</f>
        <v>.</v>
      </c>
      <c r="J23" s="7" t="str">
        <f>IFERROR(VLOOKUP($F23,#REF!,6,0), ".")</f>
        <v>.</v>
      </c>
      <c r="K23" s="19" t="str">
        <f t="shared" si="0"/>
        <v/>
      </c>
      <c r="L23" s="19" t="str">
        <f t="shared" si="1"/>
        <v/>
      </c>
      <c r="M23" s="19" t="str">
        <f t="shared" si="2"/>
        <v/>
      </c>
      <c r="N23" s="19" t="str">
        <f t="shared" si="3"/>
        <v/>
      </c>
      <c r="O23" s="31" t="str">
        <f t="shared" si="4"/>
        <v/>
      </c>
      <c r="P23" s="19" t="str">
        <f>IFERROR(VLOOKUP($F23,#REF!,21,0), ".")</f>
        <v>.</v>
      </c>
      <c r="Q23" s="7" t="str">
        <f>IFERROR(VLOOKUP($F23,#REF!,8,0), ".")</f>
        <v>.</v>
      </c>
      <c r="R23" s="7" t="str">
        <f>IFERROR(VLOOKUP($F23,#REF!,20,0), ".")</f>
        <v>.</v>
      </c>
      <c r="S23" s="1"/>
    </row>
    <row r="24" spans="1:19" x14ac:dyDescent="0.25">
      <c r="A24" s="12"/>
      <c r="B24" s="12"/>
      <c r="C24" s="12"/>
      <c r="D24" s="12"/>
      <c r="E24" s="7" t="str">
        <f>IFERROR(VLOOKUP($F24,#REF!,16,0), ".")</f>
        <v>.</v>
      </c>
      <c r="F24" s="25" t="s">
        <v>70</v>
      </c>
      <c r="G24" s="7" t="str">
        <f>IFERROR(VLOOKUP($F24,#REF!,3,0), ".")</f>
        <v>.</v>
      </c>
      <c r="H24" s="26" t="str">
        <f>IFERROR(VLOOKUP($F24,#REF!,17,0), ".")</f>
        <v>.</v>
      </c>
      <c r="I24" s="7" t="str">
        <f>IFERROR(VLOOKUP($F24,#REF!,12,0), ".")</f>
        <v>.</v>
      </c>
      <c r="J24" s="7" t="str">
        <f>IFERROR(VLOOKUP($F24,#REF!,6,0), ".")</f>
        <v>.</v>
      </c>
      <c r="K24" s="19" t="str">
        <f t="shared" si="0"/>
        <v/>
      </c>
      <c r="L24" s="19" t="str">
        <f t="shared" si="1"/>
        <v/>
      </c>
      <c r="M24" s="19" t="str">
        <f t="shared" si="2"/>
        <v/>
      </c>
      <c r="N24" s="19" t="str">
        <f t="shared" si="3"/>
        <v/>
      </c>
      <c r="O24" s="31" t="str">
        <f t="shared" si="4"/>
        <v/>
      </c>
      <c r="P24" s="19" t="str">
        <f>IFERROR(VLOOKUP($F24,#REF!,21,0), ".")</f>
        <v>.</v>
      </c>
      <c r="Q24" s="7" t="str">
        <f>IFERROR(VLOOKUP($F24,#REF!,8,0), ".")</f>
        <v>.</v>
      </c>
      <c r="R24" s="7" t="str">
        <f>IFERROR(VLOOKUP($F24,#REF!,20,0), ".")</f>
        <v>.</v>
      </c>
      <c r="S24" s="1"/>
    </row>
    <row r="25" spans="1:19" x14ac:dyDescent="0.25">
      <c r="A25" s="12"/>
      <c r="B25" s="12"/>
      <c r="C25" s="12"/>
      <c r="D25" s="12"/>
      <c r="E25" s="7" t="str">
        <f>IFERROR(VLOOKUP($F25,#REF!,16,0), ".")</f>
        <v>.</v>
      </c>
      <c r="F25" s="25" t="s">
        <v>71</v>
      </c>
      <c r="G25" s="7" t="str">
        <f>IFERROR(VLOOKUP($F25,#REF!,3,0), ".")</f>
        <v>.</v>
      </c>
      <c r="H25" s="26" t="str">
        <f>IFERROR(VLOOKUP($F25,#REF!,17,0), ".")</f>
        <v>.</v>
      </c>
      <c r="I25" s="7" t="str">
        <f>IFERROR(VLOOKUP($F25,#REF!,12,0), ".")</f>
        <v>.</v>
      </c>
      <c r="J25" s="7" t="str">
        <f>IFERROR(VLOOKUP($F25,#REF!,6,0), ".")</f>
        <v>.</v>
      </c>
      <c r="K25" s="19" t="str">
        <f t="shared" si="0"/>
        <v/>
      </c>
      <c r="L25" s="19" t="str">
        <f t="shared" si="1"/>
        <v/>
      </c>
      <c r="M25" s="19" t="str">
        <f t="shared" si="2"/>
        <v/>
      </c>
      <c r="N25" s="19" t="str">
        <f t="shared" si="3"/>
        <v/>
      </c>
      <c r="O25" s="31" t="str">
        <f t="shared" si="4"/>
        <v/>
      </c>
      <c r="P25" s="19" t="str">
        <f>IFERROR(VLOOKUP($F25,#REF!,21,0), ".")</f>
        <v>.</v>
      </c>
      <c r="Q25" s="7" t="str">
        <f>IFERROR(VLOOKUP($F25,#REF!,8,0), ".")</f>
        <v>.</v>
      </c>
      <c r="R25" s="7" t="str">
        <f>IFERROR(VLOOKUP($F25,#REF!,20,0), ".")</f>
        <v>.</v>
      </c>
      <c r="S25" s="1"/>
    </row>
    <row r="26" spans="1:19" x14ac:dyDescent="0.25">
      <c r="A26" s="12"/>
      <c r="B26" s="12"/>
      <c r="C26" s="12"/>
      <c r="D26" s="12"/>
      <c r="E26" s="7" t="str">
        <f>IFERROR(VLOOKUP($F26,#REF!,16,0), ".")</f>
        <v>.</v>
      </c>
      <c r="F26" s="25" t="s">
        <v>72</v>
      </c>
      <c r="G26" s="7" t="str">
        <f>IFERROR(VLOOKUP($F26,#REF!,3,0), ".")</f>
        <v>.</v>
      </c>
      <c r="H26" s="26" t="str">
        <f>IFERROR(VLOOKUP($F26,#REF!,17,0), ".")</f>
        <v>.</v>
      </c>
      <c r="I26" s="7" t="str">
        <f>IFERROR(VLOOKUP($F26,#REF!,12,0), ".")</f>
        <v>.</v>
      </c>
      <c r="J26" s="7" t="str">
        <f>IFERROR(VLOOKUP($F26,#REF!,6,0), ".")</f>
        <v>.</v>
      </c>
      <c r="K26" s="19" t="str">
        <f t="shared" si="0"/>
        <v/>
      </c>
      <c r="L26" s="19" t="str">
        <f t="shared" si="1"/>
        <v/>
      </c>
      <c r="M26" s="19" t="str">
        <f t="shared" si="2"/>
        <v/>
      </c>
      <c r="N26" s="19" t="str">
        <f t="shared" si="3"/>
        <v/>
      </c>
      <c r="O26" s="31" t="str">
        <f t="shared" si="4"/>
        <v/>
      </c>
      <c r="P26" s="19" t="str">
        <f>IFERROR(VLOOKUP($F26,#REF!,21,0), ".")</f>
        <v>.</v>
      </c>
      <c r="Q26" s="7" t="str">
        <f>IFERROR(VLOOKUP($F26,#REF!,8,0), ".")</f>
        <v>.</v>
      </c>
      <c r="R26" s="7" t="str">
        <f>IFERROR(VLOOKUP($F26,#REF!,20,0), ".")</f>
        <v>.</v>
      </c>
      <c r="S26" s="1"/>
    </row>
    <row r="27" spans="1:19" x14ac:dyDescent="0.25">
      <c r="A27" s="12"/>
      <c r="B27" s="12"/>
      <c r="C27" s="12"/>
      <c r="D27" s="12"/>
      <c r="E27" s="7" t="str">
        <f>IFERROR(VLOOKUP($F27,#REF!,16,0), ".")</f>
        <v>.</v>
      </c>
      <c r="F27" s="25" t="s">
        <v>73</v>
      </c>
      <c r="G27" s="7" t="str">
        <f>IFERROR(VLOOKUP($F27,#REF!,3,0), ".")</f>
        <v>.</v>
      </c>
      <c r="H27" s="26" t="str">
        <f>IFERROR(VLOOKUP($F27,#REF!,17,0), ".")</f>
        <v>.</v>
      </c>
      <c r="I27" s="7" t="str">
        <f>IFERROR(VLOOKUP($F27,#REF!,12,0), ".")</f>
        <v>.</v>
      </c>
      <c r="J27" s="7" t="str">
        <f>IFERROR(VLOOKUP($F27,#REF!,6,0), ".")</f>
        <v>.</v>
      </c>
      <c r="K27" s="19" t="str">
        <f t="shared" si="0"/>
        <v/>
      </c>
      <c r="L27" s="19" t="str">
        <f t="shared" si="1"/>
        <v/>
      </c>
      <c r="M27" s="19" t="str">
        <f t="shared" si="2"/>
        <v/>
      </c>
      <c r="N27" s="19" t="str">
        <f t="shared" si="3"/>
        <v/>
      </c>
      <c r="O27" s="31" t="str">
        <f t="shared" si="4"/>
        <v/>
      </c>
      <c r="P27" s="19" t="str">
        <f>IFERROR(VLOOKUP($F27,#REF!,21,0), ".")</f>
        <v>.</v>
      </c>
      <c r="Q27" s="7" t="str">
        <f>IFERROR(VLOOKUP($F27,#REF!,8,0), ".")</f>
        <v>.</v>
      </c>
      <c r="R27" s="7" t="str">
        <f>IFERROR(VLOOKUP($F27,#REF!,20,0), ".")</f>
        <v>.</v>
      </c>
      <c r="S27" s="1"/>
    </row>
    <row r="28" spans="1:19" x14ac:dyDescent="0.25">
      <c r="A28" s="12"/>
      <c r="B28" s="12"/>
      <c r="C28" s="12"/>
      <c r="D28" s="12"/>
      <c r="E28" s="7" t="str">
        <f>IFERROR(VLOOKUP($F28,#REF!,16,0), ".")</f>
        <v>.</v>
      </c>
      <c r="F28" s="25" t="s">
        <v>74</v>
      </c>
      <c r="G28" s="7" t="str">
        <f>IFERROR(VLOOKUP($F28,#REF!,3,0), ".")</f>
        <v>.</v>
      </c>
      <c r="H28" s="26" t="str">
        <f>IFERROR(VLOOKUP($F28,#REF!,17,0), ".")</f>
        <v>.</v>
      </c>
      <c r="I28" s="7" t="str">
        <f>IFERROR(VLOOKUP($F28,#REF!,12,0), ".")</f>
        <v>.</v>
      </c>
      <c r="J28" s="7" t="str">
        <f>IFERROR(VLOOKUP($F28,#REF!,6,0), ".")</f>
        <v>.</v>
      </c>
      <c r="K28" s="19" t="str">
        <f t="shared" si="0"/>
        <v/>
      </c>
      <c r="L28" s="19" t="str">
        <f t="shared" si="1"/>
        <v/>
      </c>
      <c r="M28" s="19" t="str">
        <f t="shared" si="2"/>
        <v/>
      </c>
      <c r="N28" s="19" t="str">
        <f t="shared" si="3"/>
        <v/>
      </c>
      <c r="O28" s="31" t="str">
        <f t="shared" si="4"/>
        <v/>
      </c>
      <c r="P28" s="19" t="str">
        <f>IFERROR(VLOOKUP($F28,#REF!,21,0), ".")</f>
        <v>.</v>
      </c>
      <c r="Q28" s="7" t="str">
        <f>IFERROR(VLOOKUP($F28,#REF!,8,0), ".")</f>
        <v>.</v>
      </c>
      <c r="R28" s="7" t="str">
        <f>IFERROR(VLOOKUP($F28,#REF!,20,0), ".")</f>
        <v>.</v>
      </c>
      <c r="S28" s="1"/>
    </row>
    <row r="29" spans="1:19" x14ac:dyDescent="0.25">
      <c r="A29" s="12"/>
      <c r="B29" s="12"/>
      <c r="C29" s="12"/>
      <c r="D29" s="12"/>
      <c r="E29" s="7" t="str">
        <f>IFERROR(VLOOKUP($F29,#REF!,16,0), ".")</f>
        <v>.</v>
      </c>
      <c r="F29" s="25" t="s">
        <v>75</v>
      </c>
      <c r="G29" s="7" t="str">
        <f>IFERROR(VLOOKUP($F29,#REF!,3,0), ".")</f>
        <v>.</v>
      </c>
      <c r="H29" s="26" t="str">
        <f>IFERROR(VLOOKUP($F29,#REF!,17,0), ".")</f>
        <v>.</v>
      </c>
      <c r="I29" s="7" t="str">
        <f>IFERROR(VLOOKUP($F29,#REF!,12,0), ".")</f>
        <v>.</v>
      </c>
      <c r="J29" s="7" t="str">
        <f>IFERROR(VLOOKUP($F29,#REF!,6,0), ".")</f>
        <v>.</v>
      </c>
      <c r="K29" s="19" t="str">
        <f t="shared" si="0"/>
        <v/>
      </c>
      <c r="L29" s="19" t="str">
        <f t="shared" si="1"/>
        <v/>
      </c>
      <c r="M29" s="19" t="str">
        <f t="shared" si="2"/>
        <v/>
      </c>
      <c r="N29" s="19" t="str">
        <f t="shared" si="3"/>
        <v/>
      </c>
      <c r="O29" s="31" t="str">
        <f t="shared" si="4"/>
        <v/>
      </c>
      <c r="P29" s="19" t="str">
        <f>IFERROR(VLOOKUP($F29,#REF!,21,0), ".")</f>
        <v>.</v>
      </c>
      <c r="Q29" s="7" t="str">
        <f>IFERROR(VLOOKUP($F29,#REF!,8,0), ".")</f>
        <v>.</v>
      </c>
      <c r="R29" s="7" t="str">
        <f>IFERROR(VLOOKUP($F29,#REF!,20,0), ".")</f>
        <v>.</v>
      </c>
      <c r="S29" s="1"/>
    </row>
    <row r="30" spans="1:19" x14ac:dyDescent="0.25">
      <c r="A30" s="12"/>
      <c r="B30" s="12"/>
      <c r="C30" s="12"/>
      <c r="D30" s="12"/>
      <c r="E30" s="7" t="str">
        <f>IFERROR(VLOOKUP($F30,#REF!,16,0), ".")</f>
        <v>.</v>
      </c>
      <c r="F30" s="25" t="s">
        <v>76</v>
      </c>
      <c r="G30" s="7" t="str">
        <f>IFERROR(VLOOKUP($F30,#REF!,3,0), ".")</f>
        <v>.</v>
      </c>
      <c r="H30" s="26" t="str">
        <f>IFERROR(VLOOKUP($F30,#REF!,17,0), ".")</f>
        <v>.</v>
      </c>
      <c r="I30" s="7" t="str">
        <f>IFERROR(VLOOKUP($F30,#REF!,12,0), ".")</f>
        <v>.</v>
      </c>
      <c r="J30" s="7" t="str">
        <f>IFERROR(VLOOKUP($F30,#REF!,6,0), ".")</f>
        <v>.</v>
      </c>
      <c r="K30" s="19" t="str">
        <f t="shared" si="0"/>
        <v/>
      </c>
      <c r="L30" s="19" t="str">
        <f t="shared" si="1"/>
        <v/>
      </c>
      <c r="M30" s="19" t="str">
        <f t="shared" si="2"/>
        <v/>
      </c>
      <c r="N30" s="19" t="str">
        <f t="shared" si="3"/>
        <v/>
      </c>
      <c r="O30" s="31" t="str">
        <f t="shared" si="4"/>
        <v/>
      </c>
      <c r="P30" s="19" t="str">
        <f>IFERROR(VLOOKUP($F30,#REF!,21,0), ".")</f>
        <v>.</v>
      </c>
      <c r="Q30" s="7" t="str">
        <f>IFERROR(VLOOKUP($F30,#REF!,8,0), ".")</f>
        <v>.</v>
      </c>
      <c r="R30" s="7" t="str">
        <f>IFERROR(VLOOKUP($F30,#REF!,20,0), ".")</f>
        <v>.</v>
      </c>
      <c r="S30" s="1"/>
    </row>
    <row r="31" spans="1:19" x14ac:dyDescent="0.25">
      <c r="A31" s="12"/>
      <c r="B31" s="12"/>
      <c r="C31" s="12"/>
      <c r="D31" s="12"/>
      <c r="E31" s="7" t="str">
        <f>IFERROR(VLOOKUP($F31,#REF!,16,0), ".")</f>
        <v>.</v>
      </c>
      <c r="F31" s="25" t="s">
        <v>77</v>
      </c>
      <c r="G31" s="7" t="str">
        <f>IFERROR(VLOOKUP($F31,#REF!,3,0), ".")</f>
        <v>.</v>
      </c>
      <c r="H31" s="26" t="str">
        <f>IFERROR(VLOOKUP($F31,#REF!,17,0), ".")</f>
        <v>.</v>
      </c>
      <c r="I31" s="7" t="str">
        <f>IFERROR(VLOOKUP($F31,#REF!,12,0), ".")</f>
        <v>.</v>
      </c>
      <c r="J31" s="7" t="str">
        <f>IFERROR(VLOOKUP($F31,#REF!,6,0), ".")</f>
        <v>.</v>
      </c>
      <c r="K31" s="19" t="str">
        <f t="shared" si="0"/>
        <v/>
      </c>
      <c r="L31" s="19" t="str">
        <f t="shared" si="1"/>
        <v/>
      </c>
      <c r="M31" s="19" t="str">
        <f t="shared" si="2"/>
        <v/>
      </c>
      <c r="N31" s="19" t="str">
        <f t="shared" si="3"/>
        <v/>
      </c>
      <c r="O31" s="31" t="str">
        <f t="shared" si="4"/>
        <v/>
      </c>
      <c r="P31" s="19" t="str">
        <f>IFERROR(VLOOKUP($F31,#REF!,21,0), ".")</f>
        <v>.</v>
      </c>
      <c r="Q31" s="7" t="str">
        <f>IFERROR(VLOOKUP($F31,#REF!,8,0), ".")</f>
        <v>.</v>
      </c>
      <c r="R31" s="7" t="str">
        <f>IFERROR(VLOOKUP($F31,#REF!,20,0), ".")</f>
        <v>.</v>
      </c>
      <c r="S31" s="1"/>
    </row>
    <row r="32" spans="1:19" x14ac:dyDescent="0.25">
      <c r="A32" s="12"/>
      <c r="B32" s="12"/>
      <c r="C32" s="12"/>
      <c r="D32" s="12"/>
      <c r="E32" s="7" t="str">
        <f>IFERROR(VLOOKUP($F32,#REF!,16,0), ".")</f>
        <v>.</v>
      </c>
      <c r="F32" s="25" t="s">
        <v>78</v>
      </c>
      <c r="G32" s="7" t="str">
        <f>IFERROR(VLOOKUP($F32,#REF!,3,0), ".")</f>
        <v>.</v>
      </c>
      <c r="H32" s="26" t="str">
        <f>IFERROR(VLOOKUP($F32,#REF!,17,0), ".")</f>
        <v>.</v>
      </c>
      <c r="I32" s="7" t="str">
        <f>IFERROR(VLOOKUP($F32,#REF!,12,0), ".")</f>
        <v>.</v>
      </c>
      <c r="J32" s="7" t="str">
        <f>IFERROR(VLOOKUP($F32,#REF!,6,0), ".")</f>
        <v>.</v>
      </c>
      <c r="K32" s="19" t="str">
        <f t="shared" si="0"/>
        <v/>
      </c>
      <c r="L32" s="19" t="str">
        <f t="shared" si="1"/>
        <v/>
      </c>
      <c r="M32" s="19" t="str">
        <f t="shared" si="2"/>
        <v/>
      </c>
      <c r="N32" s="19" t="str">
        <f t="shared" si="3"/>
        <v/>
      </c>
      <c r="O32" s="31" t="str">
        <f t="shared" si="4"/>
        <v/>
      </c>
      <c r="P32" s="19" t="str">
        <f>IFERROR(VLOOKUP($F32,#REF!,21,0), ".")</f>
        <v>.</v>
      </c>
      <c r="Q32" s="7" t="str">
        <f>IFERROR(VLOOKUP($F32,#REF!,8,0), ".")</f>
        <v>.</v>
      </c>
      <c r="R32" s="7" t="str">
        <f>IFERROR(VLOOKUP($F32,#REF!,20,0), ".")</f>
        <v>.</v>
      </c>
      <c r="S32" s="1"/>
    </row>
    <row r="33" spans="1:19" x14ac:dyDescent="0.25">
      <c r="A33" s="12"/>
      <c r="B33" s="12"/>
      <c r="C33" s="12"/>
      <c r="D33" s="12"/>
      <c r="E33" s="7" t="str">
        <f>IFERROR(VLOOKUP($F33,#REF!,16,0), ".")</f>
        <v>.</v>
      </c>
      <c r="F33" s="25" t="s">
        <v>79</v>
      </c>
      <c r="G33" s="7" t="str">
        <f>IFERROR(VLOOKUP($F33,#REF!,3,0), ".")</f>
        <v>.</v>
      </c>
      <c r="H33" s="26" t="str">
        <f>IFERROR(VLOOKUP($F33,#REF!,17,0), ".")</f>
        <v>.</v>
      </c>
      <c r="I33" s="7" t="str">
        <f>IFERROR(VLOOKUP($F33,#REF!,12,0), ".")</f>
        <v>.</v>
      </c>
      <c r="J33" s="7" t="str">
        <f>IFERROR(VLOOKUP($F33,#REF!,6,0), ".")</f>
        <v>.</v>
      </c>
      <c r="K33" s="19" t="str">
        <f t="shared" si="0"/>
        <v/>
      </c>
      <c r="L33" s="19" t="str">
        <f t="shared" si="1"/>
        <v/>
      </c>
      <c r="M33" s="19" t="str">
        <f t="shared" si="2"/>
        <v/>
      </c>
      <c r="N33" s="19" t="str">
        <f t="shared" si="3"/>
        <v/>
      </c>
      <c r="O33" s="31" t="str">
        <f t="shared" ref="O33:O59" si="5">IF(SUM(K33:N33)=0, "", SUM(K33:N33))</f>
        <v/>
      </c>
      <c r="P33" s="19" t="str">
        <f>IFERROR(VLOOKUP($F33,#REF!,21,0), ".")</f>
        <v>.</v>
      </c>
      <c r="Q33" s="7" t="str">
        <f>IFERROR(VLOOKUP($F33,#REF!,8,0), ".")</f>
        <v>.</v>
      </c>
      <c r="R33" s="7" t="str">
        <f>IFERROR(VLOOKUP($F33,#REF!,20,0), ".")</f>
        <v>.</v>
      </c>
      <c r="S33" s="1"/>
    </row>
    <row r="34" spans="1:19" x14ac:dyDescent="0.25">
      <c r="A34" s="12"/>
      <c r="B34" s="12"/>
      <c r="C34" s="12"/>
      <c r="D34" s="12"/>
      <c r="E34" s="7" t="str">
        <f>IFERROR(VLOOKUP($F34,#REF!,16,0), ".")</f>
        <v>.</v>
      </c>
      <c r="F34" s="25" t="s">
        <v>80</v>
      </c>
      <c r="G34" s="7" t="str">
        <f>IFERROR(VLOOKUP($F34,#REF!,3,0), ".")</f>
        <v>.</v>
      </c>
      <c r="H34" s="26" t="str">
        <f>IFERROR(VLOOKUP($F34,#REF!,17,0), ".")</f>
        <v>.</v>
      </c>
      <c r="I34" s="7" t="str">
        <f>IFERROR(VLOOKUP($F34,#REF!,12,0), ".")</f>
        <v>.</v>
      </c>
      <c r="J34" s="7" t="str">
        <f>IFERROR(VLOOKUP($F34,#REF!,6,0), ".")</f>
        <v>.</v>
      </c>
      <c r="K34" s="19" t="str">
        <f t="shared" si="0"/>
        <v/>
      </c>
      <c r="L34" s="19" t="str">
        <f t="shared" si="1"/>
        <v/>
      </c>
      <c r="M34" s="19" t="str">
        <f t="shared" si="2"/>
        <v/>
      </c>
      <c r="N34" s="19" t="str">
        <f t="shared" si="3"/>
        <v/>
      </c>
      <c r="O34" s="31" t="str">
        <f t="shared" si="5"/>
        <v/>
      </c>
      <c r="P34" s="19" t="str">
        <f>IFERROR(VLOOKUP($F34,#REF!,21,0), ".")</f>
        <v>.</v>
      </c>
      <c r="Q34" s="7" t="str">
        <f>IFERROR(VLOOKUP($F34,#REF!,8,0), ".")</f>
        <v>.</v>
      </c>
      <c r="R34" s="7" t="str">
        <f>IFERROR(VLOOKUP($F34,#REF!,20,0), ".")</f>
        <v>.</v>
      </c>
      <c r="S34" s="1"/>
    </row>
    <row r="35" spans="1:19" x14ac:dyDescent="0.25">
      <c r="A35" s="12"/>
      <c r="B35" s="12"/>
      <c r="C35" s="12"/>
      <c r="D35" s="12"/>
      <c r="E35" s="7" t="str">
        <f>IFERROR(VLOOKUP($F35,#REF!,16,0), ".")</f>
        <v>.</v>
      </c>
      <c r="F35" s="25" t="s">
        <v>81</v>
      </c>
      <c r="G35" s="7" t="str">
        <f>IFERROR(VLOOKUP($F35,#REF!,3,0), ".")</f>
        <v>.</v>
      </c>
      <c r="H35" s="26" t="str">
        <f>IFERROR(VLOOKUP($F35,#REF!,17,0), ".")</f>
        <v>.</v>
      </c>
      <c r="I35" s="7" t="str">
        <f>IFERROR(VLOOKUP($F35,#REF!,12,0), ".")</f>
        <v>.</v>
      </c>
      <c r="J35" s="7" t="str">
        <f>IFERROR(VLOOKUP($F35,#REF!,6,0), ".")</f>
        <v>.</v>
      </c>
      <c r="K35" s="19" t="str">
        <f t="shared" ref="K35:K68" si="6">IF(A35="", "", A35*H35)</f>
        <v/>
      </c>
      <c r="L35" s="19" t="str">
        <f t="shared" ref="L35:L68" si="7">IF(B35="", "", B35*H35)</f>
        <v/>
      </c>
      <c r="M35" s="19" t="str">
        <f t="shared" ref="M35:M68" si="8">IF(C35="", "", C35*H35)</f>
        <v/>
      </c>
      <c r="N35" s="19" t="str">
        <f t="shared" ref="N35:N68" si="9">IF(D35="", "", D35*H35)</f>
        <v/>
      </c>
      <c r="O35" s="31" t="str">
        <f t="shared" si="5"/>
        <v/>
      </c>
      <c r="P35" s="19" t="str">
        <f>IFERROR(VLOOKUP($F35,#REF!,21,0), ".")</f>
        <v>.</v>
      </c>
      <c r="Q35" s="7" t="str">
        <f>IFERROR(VLOOKUP($F35,#REF!,8,0), ".")</f>
        <v>.</v>
      </c>
      <c r="R35" s="7" t="str">
        <f>IFERROR(VLOOKUP($F35,#REF!,20,0), ".")</f>
        <v>.</v>
      </c>
    </row>
    <row r="36" spans="1:19" x14ac:dyDescent="0.25">
      <c r="A36" s="12"/>
      <c r="B36" s="12"/>
      <c r="C36" s="12"/>
      <c r="D36" s="12"/>
      <c r="E36" s="7" t="str">
        <f>IFERROR(VLOOKUP($F36,#REF!,16,0), ".")</f>
        <v>.</v>
      </c>
      <c r="F36" s="25" t="s">
        <v>82</v>
      </c>
      <c r="G36" s="7" t="str">
        <f>IFERROR(VLOOKUP($F36,#REF!,3,0), ".")</f>
        <v>.</v>
      </c>
      <c r="H36" s="26" t="str">
        <f>IFERROR(VLOOKUP($F36,#REF!,17,0), ".")</f>
        <v>.</v>
      </c>
      <c r="I36" s="7" t="str">
        <f>IFERROR(VLOOKUP($F36,#REF!,12,0), ".")</f>
        <v>.</v>
      </c>
      <c r="J36" s="7" t="str">
        <f>IFERROR(VLOOKUP($F36,#REF!,6,0), ".")</f>
        <v>.</v>
      </c>
      <c r="K36" s="19" t="str">
        <f t="shared" si="6"/>
        <v/>
      </c>
      <c r="L36" s="19" t="str">
        <f t="shared" si="7"/>
        <v/>
      </c>
      <c r="M36" s="19" t="str">
        <f t="shared" si="8"/>
        <v/>
      </c>
      <c r="N36" s="19" t="str">
        <f t="shared" si="9"/>
        <v/>
      </c>
      <c r="O36" s="31" t="str">
        <f t="shared" si="5"/>
        <v/>
      </c>
      <c r="P36" s="19" t="str">
        <f>IFERROR(VLOOKUP($F36,#REF!,21,0), ".")</f>
        <v>.</v>
      </c>
      <c r="Q36" s="7" t="str">
        <f>IFERROR(VLOOKUP($F36,#REF!,8,0), ".")</f>
        <v>.</v>
      </c>
      <c r="R36" s="7" t="str">
        <f>IFERROR(VLOOKUP($F36,#REF!,20,0), ".")</f>
        <v>.</v>
      </c>
    </row>
    <row r="37" spans="1:19" x14ac:dyDescent="0.25">
      <c r="A37" s="12"/>
      <c r="B37" s="12"/>
      <c r="C37" s="12"/>
      <c r="D37" s="12"/>
      <c r="E37" s="7" t="str">
        <f>IFERROR(VLOOKUP($F37,#REF!,16,0), ".")</f>
        <v>.</v>
      </c>
      <c r="F37" s="25" t="s">
        <v>83</v>
      </c>
      <c r="G37" s="7" t="str">
        <f>IFERROR(VLOOKUP($F37,#REF!,3,0), ".")</f>
        <v>.</v>
      </c>
      <c r="H37" s="26" t="str">
        <f>IFERROR(VLOOKUP($F37,#REF!,17,0), ".")</f>
        <v>.</v>
      </c>
      <c r="I37" s="7" t="str">
        <f>IFERROR(VLOOKUP($F37,#REF!,12,0), ".")</f>
        <v>.</v>
      </c>
      <c r="J37" s="7" t="str">
        <f>IFERROR(VLOOKUP($F37,#REF!,6,0), ".")</f>
        <v>.</v>
      </c>
      <c r="K37" s="19" t="str">
        <f t="shared" si="6"/>
        <v/>
      </c>
      <c r="L37" s="19" t="str">
        <f t="shared" si="7"/>
        <v/>
      </c>
      <c r="M37" s="19" t="str">
        <f t="shared" si="8"/>
        <v/>
      </c>
      <c r="N37" s="19" t="str">
        <f t="shared" si="9"/>
        <v/>
      </c>
      <c r="O37" s="31" t="str">
        <f t="shared" si="5"/>
        <v/>
      </c>
      <c r="P37" s="19" t="str">
        <f>IFERROR(VLOOKUP($F37,#REF!,21,0), ".")</f>
        <v>.</v>
      </c>
      <c r="Q37" s="7" t="str">
        <f>IFERROR(VLOOKUP($F37,#REF!,8,0), ".")</f>
        <v>.</v>
      </c>
      <c r="R37" s="7" t="str">
        <f>IFERROR(VLOOKUP($F37,#REF!,20,0), ".")</f>
        <v>.</v>
      </c>
    </row>
    <row r="38" spans="1:19" x14ac:dyDescent="0.25">
      <c r="A38" s="12"/>
      <c r="B38" s="12"/>
      <c r="C38" s="12"/>
      <c r="D38" s="12"/>
      <c r="E38" s="7" t="str">
        <f>IFERROR(VLOOKUP($F38,#REF!,16,0), ".")</f>
        <v>.</v>
      </c>
      <c r="F38" s="25" t="s">
        <v>84</v>
      </c>
      <c r="G38" s="7" t="str">
        <f>IFERROR(VLOOKUP($F38,#REF!,3,0), ".")</f>
        <v>.</v>
      </c>
      <c r="H38" s="26" t="str">
        <f>IFERROR(VLOOKUP($F38,#REF!,17,0), ".")</f>
        <v>.</v>
      </c>
      <c r="I38" s="7" t="str">
        <f>IFERROR(VLOOKUP($F38,#REF!,12,0), ".")</f>
        <v>.</v>
      </c>
      <c r="J38" s="7" t="str">
        <f>IFERROR(VLOOKUP($F38,#REF!,6,0), ".")</f>
        <v>.</v>
      </c>
      <c r="K38" s="19" t="str">
        <f t="shared" si="6"/>
        <v/>
      </c>
      <c r="L38" s="19" t="str">
        <f t="shared" si="7"/>
        <v/>
      </c>
      <c r="M38" s="19" t="str">
        <f t="shared" si="8"/>
        <v/>
      </c>
      <c r="N38" s="19" t="str">
        <f t="shared" si="9"/>
        <v/>
      </c>
      <c r="O38" s="31" t="str">
        <f t="shared" si="5"/>
        <v/>
      </c>
      <c r="P38" s="19" t="str">
        <f>IFERROR(VLOOKUP($F38,#REF!,21,0), ".")</f>
        <v>.</v>
      </c>
      <c r="Q38" s="7" t="str">
        <f>IFERROR(VLOOKUP($F38,#REF!,8,0), ".")</f>
        <v>.</v>
      </c>
      <c r="R38" s="7" t="str">
        <f>IFERROR(VLOOKUP($F38,#REF!,20,0), ".")</f>
        <v>.</v>
      </c>
    </row>
    <row r="39" spans="1:19" x14ac:dyDescent="0.25">
      <c r="A39" s="12"/>
      <c r="B39" s="12"/>
      <c r="C39" s="12"/>
      <c r="D39" s="12"/>
      <c r="E39" s="7" t="str">
        <f>IFERROR(VLOOKUP($F39,#REF!,16,0), ".")</f>
        <v>.</v>
      </c>
      <c r="F39" s="25" t="s">
        <v>85</v>
      </c>
      <c r="G39" s="7" t="str">
        <f>IFERROR(VLOOKUP($F39,#REF!,3,0), ".")</f>
        <v>.</v>
      </c>
      <c r="H39" s="26" t="str">
        <f>IFERROR(VLOOKUP($F39,#REF!,17,0), ".")</f>
        <v>.</v>
      </c>
      <c r="I39" s="7" t="str">
        <f>IFERROR(VLOOKUP($F39,#REF!,12,0), ".")</f>
        <v>.</v>
      </c>
      <c r="J39" s="7" t="str">
        <f>IFERROR(VLOOKUP($F39,#REF!,6,0), ".")</f>
        <v>.</v>
      </c>
      <c r="K39" s="19" t="str">
        <f t="shared" si="6"/>
        <v/>
      </c>
      <c r="L39" s="19" t="str">
        <f t="shared" si="7"/>
        <v/>
      </c>
      <c r="M39" s="19" t="str">
        <f t="shared" si="8"/>
        <v/>
      </c>
      <c r="N39" s="19" t="str">
        <f t="shared" si="9"/>
        <v/>
      </c>
      <c r="O39" s="31" t="str">
        <f t="shared" si="5"/>
        <v/>
      </c>
      <c r="P39" s="19" t="str">
        <f>IFERROR(VLOOKUP($F39,#REF!,21,0), ".")</f>
        <v>.</v>
      </c>
      <c r="Q39" s="7" t="str">
        <f>IFERROR(VLOOKUP($F39,#REF!,8,0), ".")</f>
        <v>.</v>
      </c>
      <c r="R39" s="7" t="str">
        <f>IFERROR(VLOOKUP($F39,#REF!,20,0), ".")</f>
        <v>.</v>
      </c>
    </row>
    <row r="40" spans="1:19" x14ac:dyDescent="0.25">
      <c r="A40" s="12"/>
      <c r="B40" s="12"/>
      <c r="C40" s="12"/>
      <c r="D40" s="12"/>
      <c r="E40" s="7" t="str">
        <f>IFERROR(VLOOKUP($F40,#REF!,16,0), ".")</f>
        <v>.</v>
      </c>
      <c r="F40" s="25" t="s">
        <v>86</v>
      </c>
      <c r="G40" s="7" t="str">
        <f>IFERROR(VLOOKUP($F40,#REF!,3,0), ".")</f>
        <v>.</v>
      </c>
      <c r="H40" s="26" t="str">
        <f>IFERROR(VLOOKUP($F40,#REF!,17,0), ".")</f>
        <v>.</v>
      </c>
      <c r="I40" s="7" t="str">
        <f>IFERROR(VLOOKUP($F40,#REF!,12,0), ".")</f>
        <v>.</v>
      </c>
      <c r="J40" s="7" t="str">
        <f>IFERROR(VLOOKUP($F40,#REF!,6,0), ".")</f>
        <v>.</v>
      </c>
      <c r="K40" s="19" t="str">
        <f t="shared" si="6"/>
        <v/>
      </c>
      <c r="L40" s="19" t="str">
        <f t="shared" si="7"/>
        <v/>
      </c>
      <c r="M40" s="19" t="str">
        <f t="shared" si="8"/>
        <v/>
      </c>
      <c r="N40" s="19" t="str">
        <f t="shared" si="9"/>
        <v/>
      </c>
      <c r="O40" s="31" t="str">
        <f t="shared" si="5"/>
        <v/>
      </c>
      <c r="P40" s="19" t="str">
        <f>IFERROR(VLOOKUP($F40,#REF!,21,0), ".")</f>
        <v>.</v>
      </c>
      <c r="Q40" s="7" t="str">
        <f>IFERROR(VLOOKUP($F40,#REF!,8,0), ".")</f>
        <v>.</v>
      </c>
      <c r="R40" s="7" t="str">
        <f>IFERROR(VLOOKUP($F40,#REF!,20,0), ".")</f>
        <v>.</v>
      </c>
    </row>
    <row r="41" spans="1:19" x14ac:dyDescent="0.25">
      <c r="A41" s="12"/>
      <c r="B41" s="12"/>
      <c r="C41" s="12"/>
      <c r="D41" s="12"/>
      <c r="E41" s="7" t="str">
        <f>IFERROR(VLOOKUP($F41,#REF!,16,0), ".")</f>
        <v>.</v>
      </c>
      <c r="F41" s="25" t="s">
        <v>87</v>
      </c>
      <c r="G41" s="7" t="str">
        <f>IFERROR(VLOOKUP($F41,#REF!,3,0), ".")</f>
        <v>.</v>
      </c>
      <c r="H41" s="26" t="str">
        <f>IFERROR(VLOOKUP($F41,#REF!,17,0), ".")</f>
        <v>.</v>
      </c>
      <c r="I41" s="7" t="str">
        <f>IFERROR(VLOOKUP($F41,#REF!,12,0), ".")</f>
        <v>.</v>
      </c>
      <c r="J41" s="7" t="str">
        <f>IFERROR(VLOOKUP($F41,#REF!,6,0), ".")</f>
        <v>.</v>
      </c>
      <c r="K41" s="19" t="str">
        <f t="shared" si="6"/>
        <v/>
      </c>
      <c r="L41" s="19" t="str">
        <f t="shared" si="7"/>
        <v/>
      </c>
      <c r="M41" s="19" t="str">
        <f t="shared" si="8"/>
        <v/>
      </c>
      <c r="N41" s="19" t="str">
        <f t="shared" si="9"/>
        <v/>
      </c>
      <c r="O41" s="31" t="str">
        <f t="shared" si="5"/>
        <v/>
      </c>
      <c r="P41" s="19" t="str">
        <f>IFERROR(VLOOKUP($F41,#REF!,21,0), ".")</f>
        <v>.</v>
      </c>
      <c r="Q41" s="7" t="str">
        <f>IFERROR(VLOOKUP($F41,#REF!,8,0), ".")</f>
        <v>.</v>
      </c>
      <c r="R41" s="7" t="str">
        <f>IFERROR(VLOOKUP($F41,#REF!,20,0), ".")</f>
        <v>.</v>
      </c>
    </row>
    <row r="42" spans="1:19" x14ac:dyDescent="0.25">
      <c r="A42" s="12"/>
      <c r="B42" s="12"/>
      <c r="C42" s="12"/>
      <c r="D42" s="12"/>
      <c r="E42" s="7" t="str">
        <f>IFERROR(VLOOKUP($F42,#REF!,16,0), ".")</f>
        <v>.</v>
      </c>
      <c r="F42" s="25" t="s">
        <v>88</v>
      </c>
      <c r="G42" s="7" t="str">
        <f>IFERROR(VLOOKUP($F42,#REF!,3,0), ".")</f>
        <v>.</v>
      </c>
      <c r="H42" s="26" t="str">
        <f>IFERROR(VLOOKUP($F42,#REF!,17,0), ".")</f>
        <v>.</v>
      </c>
      <c r="I42" s="7" t="str">
        <f>IFERROR(VLOOKUP($F42,#REF!,12,0), ".")</f>
        <v>.</v>
      </c>
      <c r="J42" s="7" t="str">
        <f>IFERROR(VLOOKUP($F42,#REF!,6,0), ".")</f>
        <v>.</v>
      </c>
      <c r="K42" s="19" t="str">
        <f t="shared" si="6"/>
        <v/>
      </c>
      <c r="L42" s="19" t="str">
        <f t="shared" si="7"/>
        <v/>
      </c>
      <c r="M42" s="19" t="str">
        <f t="shared" si="8"/>
        <v/>
      </c>
      <c r="N42" s="19" t="str">
        <f t="shared" si="9"/>
        <v/>
      </c>
      <c r="O42" s="31" t="str">
        <f t="shared" si="5"/>
        <v/>
      </c>
      <c r="P42" s="19" t="str">
        <f>IFERROR(VLOOKUP($F42,#REF!,21,0), ".")</f>
        <v>.</v>
      </c>
      <c r="Q42" s="7" t="str">
        <f>IFERROR(VLOOKUP($F42,#REF!,8,0), ".")</f>
        <v>.</v>
      </c>
      <c r="R42" s="7" t="str">
        <f>IFERROR(VLOOKUP($F42,#REF!,20,0), ".")</f>
        <v>.</v>
      </c>
    </row>
    <row r="43" spans="1:19" x14ac:dyDescent="0.25">
      <c r="A43" s="12"/>
      <c r="B43" s="12"/>
      <c r="C43" s="12"/>
      <c r="D43" s="12"/>
      <c r="E43" s="7" t="str">
        <f>IFERROR(VLOOKUP($F43,#REF!,16,0), ".")</f>
        <v>.</v>
      </c>
      <c r="F43" s="25" t="s">
        <v>89</v>
      </c>
      <c r="G43" s="7" t="str">
        <f>IFERROR(VLOOKUP($F43,#REF!,3,0), ".")</f>
        <v>.</v>
      </c>
      <c r="H43" s="26" t="str">
        <f>IFERROR(VLOOKUP($F43,#REF!,17,0), ".")</f>
        <v>.</v>
      </c>
      <c r="I43" s="7" t="str">
        <f>IFERROR(VLOOKUP($F43,#REF!,12,0), ".")</f>
        <v>.</v>
      </c>
      <c r="J43" s="7" t="str">
        <f>IFERROR(VLOOKUP($F43,#REF!,6,0), ".")</f>
        <v>.</v>
      </c>
      <c r="K43" s="19" t="str">
        <f t="shared" si="6"/>
        <v/>
      </c>
      <c r="L43" s="19" t="str">
        <f t="shared" si="7"/>
        <v/>
      </c>
      <c r="M43" s="19" t="str">
        <f t="shared" si="8"/>
        <v/>
      </c>
      <c r="N43" s="19" t="str">
        <f t="shared" si="9"/>
        <v/>
      </c>
      <c r="O43" s="31" t="str">
        <f t="shared" si="5"/>
        <v/>
      </c>
      <c r="P43" s="19" t="str">
        <f>IFERROR(VLOOKUP($F43,#REF!,21,0), ".")</f>
        <v>.</v>
      </c>
      <c r="Q43" s="7" t="str">
        <f>IFERROR(VLOOKUP($F43,#REF!,8,0), ".")</f>
        <v>.</v>
      </c>
      <c r="R43" s="7" t="str">
        <f>IFERROR(VLOOKUP($F43,#REF!,20,0), ".")</f>
        <v>.</v>
      </c>
    </row>
    <row r="44" spans="1:19" x14ac:dyDescent="0.25">
      <c r="A44" s="12"/>
      <c r="B44" s="12"/>
      <c r="C44" s="12"/>
      <c r="D44" s="12"/>
      <c r="E44" s="7" t="str">
        <f>IFERROR(VLOOKUP($F44,#REF!,16,0), ".")</f>
        <v>.</v>
      </c>
      <c r="F44" s="25" t="s">
        <v>90</v>
      </c>
      <c r="G44" s="7" t="str">
        <f>IFERROR(VLOOKUP($F44,#REF!,3,0), ".")</f>
        <v>.</v>
      </c>
      <c r="H44" s="26" t="str">
        <f>IFERROR(VLOOKUP($F44,#REF!,17,0), ".")</f>
        <v>.</v>
      </c>
      <c r="I44" s="7" t="str">
        <f>IFERROR(VLOOKUP($F44,#REF!,12,0), ".")</f>
        <v>.</v>
      </c>
      <c r="J44" s="7" t="str">
        <f>IFERROR(VLOOKUP($F44,#REF!,6,0), ".")</f>
        <v>.</v>
      </c>
      <c r="K44" s="19" t="str">
        <f t="shared" si="6"/>
        <v/>
      </c>
      <c r="L44" s="19" t="str">
        <f t="shared" si="7"/>
        <v/>
      </c>
      <c r="M44" s="19" t="str">
        <f t="shared" si="8"/>
        <v/>
      </c>
      <c r="N44" s="19" t="str">
        <f t="shared" si="9"/>
        <v/>
      </c>
      <c r="O44" s="31" t="str">
        <f t="shared" si="5"/>
        <v/>
      </c>
      <c r="P44" s="19" t="str">
        <f>IFERROR(VLOOKUP($F44,#REF!,21,0), ".")</f>
        <v>.</v>
      </c>
      <c r="Q44" s="7" t="str">
        <f>IFERROR(VLOOKUP($F44,#REF!,8,0), ".")</f>
        <v>.</v>
      </c>
      <c r="R44" s="7" t="str">
        <f>IFERROR(VLOOKUP($F44,#REF!,20,0), ".")</f>
        <v>.</v>
      </c>
    </row>
    <row r="45" spans="1:19" x14ac:dyDescent="0.25">
      <c r="A45" s="12"/>
      <c r="B45" s="12"/>
      <c r="C45" s="12"/>
      <c r="D45" s="12"/>
      <c r="E45" s="7" t="str">
        <f>IFERROR(VLOOKUP($F45,#REF!,16,0), ".")</f>
        <v>.</v>
      </c>
      <c r="F45" s="25" t="s">
        <v>91</v>
      </c>
      <c r="G45" s="7" t="str">
        <f>IFERROR(VLOOKUP($F45,#REF!,3,0), ".")</f>
        <v>.</v>
      </c>
      <c r="H45" s="26" t="str">
        <f>IFERROR(VLOOKUP($F45,#REF!,17,0), ".")</f>
        <v>.</v>
      </c>
      <c r="I45" s="7" t="str">
        <f>IFERROR(VLOOKUP($F45,#REF!,12,0), ".")</f>
        <v>.</v>
      </c>
      <c r="J45" s="7" t="str">
        <f>IFERROR(VLOOKUP($F45,#REF!,6,0), ".")</f>
        <v>.</v>
      </c>
      <c r="K45" s="19" t="str">
        <f t="shared" si="6"/>
        <v/>
      </c>
      <c r="L45" s="19" t="str">
        <f t="shared" si="7"/>
        <v/>
      </c>
      <c r="M45" s="19" t="str">
        <f t="shared" si="8"/>
        <v/>
      </c>
      <c r="N45" s="19" t="str">
        <f t="shared" si="9"/>
        <v/>
      </c>
      <c r="O45" s="31" t="str">
        <f t="shared" si="5"/>
        <v/>
      </c>
      <c r="P45" s="19" t="str">
        <f>IFERROR(VLOOKUP($F45,#REF!,21,0), ".")</f>
        <v>.</v>
      </c>
      <c r="Q45" s="7" t="str">
        <f>IFERROR(VLOOKUP($F45,#REF!,8,0), ".")</f>
        <v>.</v>
      </c>
      <c r="R45" s="7" t="str">
        <f>IFERROR(VLOOKUP($F45,#REF!,20,0), ".")</f>
        <v>.</v>
      </c>
    </row>
    <row r="46" spans="1:19" x14ac:dyDescent="0.25">
      <c r="A46" s="12"/>
      <c r="B46" s="12"/>
      <c r="C46" s="12"/>
      <c r="D46" s="12"/>
      <c r="E46" s="7" t="str">
        <f>IFERROR(VLOOKUP($F46,#REF!,16,0), ".")</f>
        <v>.</v>
      </c>
      <c r="F46" s="25" t="s">
        <v>92</v>
      </c>
      <c r="G46" s="7" t="str">
        <f>IFERROR(VLOOKUP($F46,#REF!,3,0), ".")</f>
        <v>.</v>
      </c>
      <c r="H46" s="26" t="str">
        <f>IFERROR(VLOOKUP($F46,#REF!,17,0), ".")</f>
        <v>.</v>
      </c>
      <c r="I46" s="7" t="str">
        <f>IFERROR(VLOOKUP($F46,#REF!,12,0), ".")</f>
        <v>.</v>
      </c>
      <c r="J46" s="7" t="str">
        <f>IFERROR(VLOOKUP($F46,#REF!,6,0), ".")</f>
        <v>.</v>
      </c>
      <c r="K46" s="19" t="str">
        <f t="shared" si="6"/>
        <v/>
      </c>
      <c r="L46" s="19" t="str">
        <f t="shared" si="7"/>
        <v/>
      </c>
      <c r="M46" s="19" t="str">
        <f t="shared" si="8"/>
        <v/>
      </c>
      <c r="N46" s="19" t="str">
        <f t="shared" si="9"/>
        <v/>
      </c>
      <c r="O46" s="31" t="str">
        <f t="shared" si="5"/>
        <v/>
      </c>
      <c r="P46" s="19" t="str">
        <f>IFERROR(VLOOKUP($F46,#REF!,21,0), ".")</f>
        <v>.</v>
      </c>
      <c r="Q46" s="7" t="str">
        <f>IFERROR(VLOOKUP($F46,#REF!,8,0), ".")</f>
        <v>.</v>
      </c>
      <c r="R46" s="7" t="str">
        <f>IFERROR(VLOOKUP($F46,#REF!,20,0), ".")</f>
        <v>.</v>
      </c>
    </row>
    <row r="47" spans="1:19" x14ac:dyDescent="0.25">
      <c r="A47" s="12"/>
      <c r="B47" s="12"/>
      <c r="C47" s="12"/>
      <c r="D47" s="12"/>
      <c r="E47" s="7" t="str">
        <f>IFERROR(VLOOKUP($F47,#REF!,16,0), ".")</f>
        <v>.</v>
      </c>
      <c r="F47" s="25" t="s">
        <v>93</v>
      </c>
      <c r="G47" s="7" t="str">
        <f>IFERROR(VLOOKUP($F47,#REF!,3,0), ".")</f>
        <v>.</v>
      </c>
      <c r="H47" s="26" t="str">
        <f>IFERROR(VLOOKUP($F47,#REF!,17,0), ".")</f>
        <v>.</v>
      </c>
      <c r="I47" s="7" t="str">
        <f>IFERROR(VLOOKUP($F47,#REF!,12,0), ".")</f>
        <v>.</v>
      </c>
      <c r="J47" s="7" t="str">
        <f>IFERROR(VLOOKUP($F47,#REF!,6,0), ".")</f>
        <v>.</v>
      </c>
      <c r="K47" s="19" t="str">
        <f t="shared" si="6"/>
        <v/>
      </c>
      <c r="L47" s="19" t="str">
        <f t="shared" si="7"/>
        <v/>
      </c>
      <c r="M47" s="19" t="str">
        <f t="shared" si="8"/>
        <v/>
      </c>
      <c r="N47" s="19" t="str">
        <f t="shared" si="9"/>
        <v/>
      </c>
      <c r="O47" s="31" t="str">
        <f t="shared" si="5"/>
        <v/>
      </c>
      <c r="P47" s="19" t="str">
        <f>IFERROR(VLOOKUP($F47,#REF!,21,0), ".")</f>
        <v>.</v>
      </c>
      <c r="Q47" s="7" t="str">
        <f>IFERROR(VLOOKUP($F47,#REF!,8,0), ".")</f>
        <v>.</v>
      </c>
      <c r="R47" s="7" t="str">
        <f>IFERROR(VLOOKUP($F47,#REF!,20,0), ".")</f>
        <v>.</v>
      </c>
    </row>
    <row r="48" spans="1:19" x14ac:dyDescent="0.25">
      <c r="A48" s="12"/>
      <c r="B48" s="12"/>
      <c r="C48" s="12"/>
      <c r="D48" s="12"/>
      <c r="E48" s="7" t="str">
        <f>IFERROR(VLOOKUP($F48,#REF!,16,0), ".")</f>
        <v>.</v>
      </c>
      <c r="F48" s="25" t="s">
        <v>94</v>
      </c>
      <c r="G48" s="7" t="str">
        <f>IFERROR(VLOOKUP($F48,#REF!,3,0), ".")</f>
        <v>.</v>
      </c>
      <c r="H48" s="26" t="str">
        <f>IFERROR(VLOOKUP($F48,#REF!,17,0), ".")</f>
        <v>.</v>
      </c>
      <c r="I48" s="7" t="str">
        <f>IFERROR(VLOOKUP($F48,#REF!,12,0), ".")</f>
        <v>.</v>
      </c>
      <c r="J48" s="7" t="str">
        <f>IFERROR(VLOOKUP($F48,#REF!,6,0), ".")</f>
        <v>.</v>
      </c>
      <c r="K48" s="19" t="str">
        <f t="shared" si="6"/>
        <v/>
      </c>
      <c r="L48" s="19" t="str">
        <f t="shared" si="7"/>
        <v/>
      </c>
      <c r="M48" s="19" t="str">
        <f t="shared" si="8"/>
        <v/>
      </c>
      <c r="N48" s="19" t="str">
        <f t="shared" si="9"/>
        <v/>
      </c>
      <c r="O48" s="31" t="str">
        <f t="shared" si="5"/>
        <v/>
      </c>
      <c r="P48" s="19" t="str">
        <f>IFERROR(VLOOKUP($F48,#REF!,21,0), ".")</f>
        <v>.</v>
      </c>
      <c r="Q48" s="7" t="str">
        <f>IFERROR(VLOOKUP($F48,#REF!,8,0), ".")</f>
        <v>.</v>
      </c>
      <c r="R48" s="7" t="str">
        <f>IFERROR(VLOOKUP($F48,#REF!,20,0), ".")</f>
        <v>.</v>
      </c>
    </row>
    <row r="49" spans="1:18" x14ac:dyDescent="0.25">
      <c r="A49" s="12"/>
      <c r="B49" s="12"/>
      <c r="C49" s="12"/>
      <c r="D49" s="12"/>
      <c r="E49" s="7" t="str">
        <f>IFERROR(VLOOKUP($F49,#REF!,16,0), ".")</f>
        <v>.</v>
      </c>
      <c r="F49" s="25" t="s">
        <v>95</v>
      </c>
      <c r="G49" s="7" t="str">
        <f>IFERROR(VLOOKUP($F49,#REF!,3,0), ".")</f>
        <v>.</v>
      </c>
      <c r="H49" s="26" t="str">
        <f>IFERROR(VLOOKUP($F49,#REF!,17,0), ".")</f>
        <v>.</v>
      </c>
      <c r="I49" s="7" t="str">
        <f>IFERROR(VLOOKUP($F49,#REF!,12,0), ".")</f>
        <v>.</v>
      </c>
      <c r="J49" s="7" t="str">
        <f>IFERROR(VLOOKUP($F49,#REF!,6,0), ".")</f>
        <v>.</v>
      </c>
      <c r="K49" s="19" t="str">
        <f t="shared" si="6"/>
        <v/>
      </c>
      <c r="L49" s="19" t="str">
        <f t="shared" si="7"/>
        <v/>
      </c>
      <c r="M49" s="19" t="str">
        <f t="shared" si="8"/>
        <v/>
      </c>
      <c r="N49" s="19" t="str">
        <f t="shared" si="9"/>
        <v/>
      </c>
      <c r="O49" s="31" t="str">
        <f t="shared" si="5"/>
        <v/>
      </c>
      <c r="P49" s="19" t="str">
        <f>IFERROR(VLOOKUP($F49,#REF!,21,0), ".")</f>
        <v>.</v>
      </c>
      <c r="Q49" s="7" t="str">
        <f>IFERROR(VLOOKUP($F49,#REF!,8,0), ".")</f>
        <v>.</v>
      </c>
      <c r="R49" s="7" t="str">
        <f>IFERROR(VLOOKUP($F49,#REF!,20,0), ".")</f>
        <v>.</v>
      </c>
    </row>
    <row r="50" spans="1:18" x14ac:dyDescent="0.25">
      <c r="A50" s="12"/>
      <c r="B50" s="12"/>
      <c r="C50" s="12"/>
      <c r="D50" s="12"/>
      <c r="E50" s="7" t="str">
        <f>IFERROR(VLOOKUP($F50,#REF!,16,0), ".")</f>
        <v>.</v>
      </c>
      <c r="F50" s="25" t="s">
        <v>96</v>
      </c>
      <c r="G50" s="7" t="str">
        <f>IFERROR(VLOOKUP($F50,#REF!,3,0), ".")</f>
        <v>.</v>
      </c>
      <c r="H50" s="26" t="str">
        <f>IFERROR(VLOOKUP($F50,#REF!,17,0), ".")</f>
        <v>.</v>
      </c>
      <c r="I50" s="7" t="str">
        <f>IFERROR(VLOOKUP($F50,#REF!,12,0), ".")</f>
        <v>.</v>
      </c>
      <c r="J50" s="7" t="str">
        <f>IFERROR(VLOOKUP($F50,#REF!,6,0), ".")</f>
        <v>.</v>
      </c>
      <c r="K50" s="19" t="str">
        <f t="shared" si="6"/>
        <v/>
      </c>
      <c r="L50" s="19" t="str">
        <f t="shared" si="7"/>
        <v/>
      </c>
      <c r="M50" s="19" t="str">
        <f t="shared" si="8"/>
        <v/>
      </c>
      <c r="N50" s="19" t="str">
        <f t="shared" si="9"/>
        <v/>
      </c>
      <c r="O50" s="31" t="str">
        <f t="shared" si="5"/>
        <v/>
      </c>
      <c r="P50" s="19" t="str">
        <f>IFERROR(VLOOKUP($F50,#REF!,21,0), ".")</f>
        <v>.</v>
      </c>
      <c r="Q50" s="7" t="str">
        <f>IFERROR(VLOOKUP($F50,#REF!,8,0), ".")</f>
        <v>.</v>
      </c>
      <c r="R50" s="7" t="str">
        <f>IFERROR(VLOOKUP($F50,#REF!,20,0), ".")</f>
        <v>.</v>
      </c>
    </row>
    <row r="51" spans="1:18" x14ac:dyDescent="0.25">
      <c r="A51" s="12"/>
      <c r="B51" s="12"/>
      <c r="C51" s="12"/>
      <c r="D51" s="12"/>
      <c r="E51" s="7" t="str">
        <f>IFERROR(VLOOKUP($F51,#REF!,16,0), ".")</f>
        <v>.</v>
      </c>
      <c r="F51" s="25" t="s">
        <v>97</v>
      </c>
      <c r="G51" s="7" t="str">
        <f>IFERROR(VLOOKUP($F51,#REF!,3,0), ".")</f>
        <v>.</v>
      </c>
      <c r="H51" s="26" t="str">
        <f>IFERROR(VLOOKUP($F51,#REF!,17,0), ".")</f>
        <v>.</v>
      </c>
      <c r="I51" s="7" t="str">
        <f>IFERROR(VLOOKUP($F51,#REF!,12,0), ".")</f>
        <v>.</v>
      </c>
      <c r="J51" s="7" t="str">
        <f>IFERROR(VLOOKUP($F51,#REF!,6,0), ".")</f>
        <v>.</v>
      </c>
      <c r="K51" s="19" t="str">
        <f t="shared" si="6"/>
        <v/>
      </c>
      <c r="L51" s="19" t="str">
        <f t="shared" si="7"/>
        <v/>
      </c>
      <c r="M51" s="19" t="str">
        <f t="shared" si="8"/>
        <v/>
      </c>
      <c r="N51" s="19" t="str">
        <f t="shared" si="9"/>
        <v/>
      </c>
      <c r="O51" s="31" t="str">
        <f t="shared" si="5"/>
        <v/>
      </c>
      <c r="P51" s="19" t="str">
        <f>IFERROR(VLOOKUP($F51,#REF!,21,0), ".")</f>
        <v>.</v>
      </c>
      <c r="Q51" s="7" t="str">
        <f>IFERROR(VLOOKUP($F51,#REF!,8,0), ".")</f>
        <v>.</v>
      </c>
      <c r="R51" s="7" t="str">
        <f>IFERROR(VLOOKUP($F51,#REF!,20,0), ".")</f>
        <v>.</v>
      </c>
    </row>
    <row r="52" spans="1:18" x14ac:dyDescent="0.25">
      <c r="A52" s="12"/>
      <c r="B52" s="12"/>
      <c r="C52" s="12"/>
      <c r="D52" s="12"/>
      <c r="E52" s="7" t="str">
        <f>IFERROR(VLOOKUP($F52,#REF!,16,0), ".")</f>
        <v>.</v>
      </c>
      <c r="F52" s="25" t="s">
        <v>4100</v>
      </c>
      <c r="G52" s="7" t="str">
        <f>IFERROR(VLOOKUP($F52,#REF!,3,0), ".")</f>
        <v>.</v>
      </c>
      <c r="H52" s="26" t="str">
        <f>IFERROR(VLOOKUP($F52,#REF!,17,0), ".")</f>
        <v>.</v>
      </c>
      <c r="I52" s="7" t="str">
        <f>IFERROR(VLOOKUP($F52,#REF!,12,0), ".")</f>
        <v>.</v>
      </c>
      <c r="J52" s="7" t="str">
        <f>IFERROR(VLOOKUP($F52,#REF!,6,0), ".")</f>
        <v>.</v>
      </c>
      <c r="K52" s="19" t="str">
        <f t="shared" ref="K52" si="10">IF(A52="", "", A52*H52)</f>
        <v/>
      </c>
      <c r="L52" s="19" t="str">
        <f t="shared" ref="L52" si="11">IF(B52="", "", B52*H52)</f>
        <v/>
      </c>
      <c r="M52" s="19" t="str">
        <f t="shared" ref="M52" si="12">IF(C52="", "", C52*H52)</f>
        <v/>
      </c>
      <c r="N52" s="19" t="str">
        <f t="shared" ref="N52" si="13">IF(D52="", "", D52*H52)</f>
        <v/>
      </c>
      <c r="O52" s="31" t="str">
        <f t="shared" ref="O52" si="14">IF(SUM(K52:N52)=0, "", SUM(K52:N52))</f>
        <v/>
      </c>
      <c r="P52" s="19" t="str">
        <f>IFERROR(VLOOKUP($F52,#REF!,21,0), ".")</f>
        <v>.</v>
      </c>
      <c r="Q52" s="7" t="str">
        <f>IFERROR(VLOOKUP($F52,#REF!,8,0), ".")</f>
        <v>.</v>
      </c>
      <c r="R52" s="7" t="str">
        <f>IFERROR(VLOOKUP($F52,#REF!,20,0), ".")</f>
        <v>.</v>
      </c>
    </row>
    <row r="53" spans="1:18" x14ac:dyDescent="0.25">
      <c r="A53" s="12"/>
      <c r="B53" s="12"/>
      <c r="C53" s="12"/>
      <c r="D53" s="12"/>
      <c r="E53" s="7" t="str">
        <f>IFERROR(VLOOKUP($F56,#REF!,16,0), ".")</f>
        <v>.</v>
      </c>
      <c r="F53" s="68" t="s">
        <v>5592</v>
      </c>
      <c r="G53" s="7" t="str">
        <f>IFERROR(VLOOKUP($F53,#REF!,3,0), ".")</f>
        <v>.</v>
      </c>
      <c r="H53" s="26" t="str">
        <f>IFERROR(VLOOKUP($F53,#REF!,17,0), ".")</f>
        <v>.</v>
      </c>
      <c r="I53" s="7" t="str">
        <f>IFERROR(VLOOKUP($F53,#REF!,12,0), ".")</f>
        <v>.</v>
      </c>
      <c r="J53" s="7" t="str">
        <f>IFERROR(VLOOKUP($F53,#REF!,6,0), ".")</f>
        <v>.</v>
      </c>
      <c r="K53" s="19" t="str">
        <f t="shared" ref="K53" si="15">IF(A53="", "", A53*H53)</f>
        <v/>
      </c>
      <c r="L53" s="19" t="str">
        <f t="shared" ref="L53" si="16">IF(B53="", "", B53*H53)</f>
        <v/>
      </c>
      <c r="M53" s="19" t="str">
        <f t="shared" ref="M53" si="17">IF(C53="", "", C53*H53)</f>
        <v/>
      </c>
      <c r="N53" s="19" t="str">
        <f t="shared" ref="N53" si="18">IF(D53="", "", D53*H53)</f>
        <v/>
      </c>
      <c r="O53" s="31" t="str">
        <f t="shared" ref="O53" si="19">IF(SUM(K53:N53)=0, "", SUM(K53:N53))</f>
        <v/>
      </c>
      <c r="P53" s="19" t="str">
        <f>IFERROR(VLOOKUP($F53,#REF!,21,0), ".")</f>
        <v>.</v>
      </c>
      <c r="Q53" s="7" t="str">
        <f>IFERROR(VLOOKUP($F53,#REF!,8,0), ".")</f>
        <v>.</v>
      </c>
      <c r="R53" s="7" t="str">
        <f>IFERROR(VLOOKUP($F53,#REF!,20,0), ".")</f>
        <v>.</v>
      </c>
    </row>
    <row r="54" spans="1:18" x14ac:dyDescent="0.25">
      <c r="A54" s="12"/>
      <c r="B54" s="12"/>
      <c r="C54" s="12"/>
      <c r="D54" s="12"/>
      <c r="E54" s="7" t="str">
        <f>IFERROR(VLOOKUP($F55,#REF!,16,0), ".")</f>
        <v>.</v>
      </c>
      <c r="F54" s="68" t="s">
        <v>5605</v>
      </c>
      <c r="G54" s="7" t="str">
        <f>IFERROR(VLOOKUP($F54,#REF!,3,0), ".")</f>
        <v>.</v>
      </c>
      <c r="H54" s="26" t="str">
        <f>IFERROR(VLOOKUP($F54,#REF!,17,0), ".")</f>
        <v>.</v>
      </c>
      <c r="I54" s="7" t="str">
        <f>IFERROR(VLOOKUP($F54,#REF!,12,0), ".")</f>
        <v>.</v>
      </c>
      <c r="J54" s="7" t="str">
        <f>IFERROR(VLOOKUP($F54,#REF!,6,0), ".")</f>
        <v>.</v>
      </c>
      <c r="K54" s="19" t="str">
        <f t="shared" ref="K54" si="20">IF(A54="", "", A54*H54)</f>
        <v/>
      </c>
      <c r="L54" s="19" t="str">
        <f t="shared" ref="L54" si="21">IF(B54="", "", B54*H54)</f>
        <v/>
      </c>
      <c r="M54" s="19" t="str">
        <f t="shared" ref="M54" si="22">IF(C54="", "", C54*H54)</f>
        <v/>
      </c>
      <c r="N54" s="19" t="str">
        <f t="shared" ref="N54" si="23">IF(D54="", "", D54*H54)</f>
        <v/>
      </c>
      <c r="O54" s="31" t="str">
        <f t="shared" ref="O54" si="24">IF(SUM(K54:N54)=0, "", SUM(K54:N54))</f>
        <v/>
      </c>
      <c r="P54" s="19" t="str">
        <f>IFERROR(VLOOKUP($F54,#REF!,21,0), ".")</f>
        <v>.</v>
      </c>
      <c r="Q54" s="7" t="str">
        <f>IFERROR(VLOOKUP($F54,#REF!,8,0), ".")</f>
        <v>.</v>
      </c>
      <c r="R54" s="7" t="str">
        <f>IFERROR(VLOOKUP($F54,#REF!,20,0), ".")</f>
        <v>.</v>
      </c>
    </row>
    <row r="55" spans="1:18" x14ac:dyDescent="0.25">
      <c r="A55" s="12"/>
      <c r="B55" s="12"/>
      <c r="C55" s="12"/>
      <c r="D55" s="12"/>
      <c r="E55" s="7" t="str">
        <f>IFERROR(VLOOKUP($F55,#REF!,16,0), ".")</f>
        <v>.</v>
      </c>
      <c r="F55" s="25" t="s">
        <v>98</v>
      </c>
      <c r="G55" s="7" t="str">
        <f>IFERROR(VLOOKUP($F55,#REF!,3,0), ".")</f>
        <v>.</v>
      </c>
      <c r="H55" s="26" t="str">
        <f>IFERROR(VLOOKUP($F55,#REF!,17,0), ".")</f>
        <v>.</v>
      </c>
      <c r="I55" s="7" t="str">
        <f>IFERROR(VLOOKUP($F55,#REF!,12,0), ".")</f>
        <v>.</v>
      </c>
      <c r="J55" s="7" t="str">
        <f>IFERROR(VLOOKUP($F55,#REF!,6,0), ".")</f>
        <v>.</v>
      </c>
      <c r="K55" s="19" t="str">
        <f t="shared" si="6"/>
        <v/>
      </c>
      <c r="L55" s="19" t="str">
        <f t="shared" si="7"/>
        <v/>
      </c>
      <c r="M55" s="19" t="str">
        <f t="shared" si="8"/>
        <v/>
      </c>
      <c r="N55" s="19" t="str">
        <f t="shared" si="9"/>
        <v/>
      </c>
      <c r="O55" s="31" t="str">
        <f t="shared" si="5"/>
        <v/>
      </c>
      <c r="P55" s="19" t="str">
        <f>IFERROR(VLOOKUP($F55,#REF!,21,0), ".")</f>
        <v>.</v>
      </c>
      <c r="Q55" s="7" t="str">
        <f>IFERROR(VLOOKUP($F55,#REF!,8,0), ".")</f>
        <v>.</v>
      </c>
      <c r="R55" s="7" t="str">
        <f>IFERROR(VLOOKUP($F55,#REF!,20,0), ".")</f>
        <v>.</v>
      </c>
    </row>
    <row r="56" spans="1:18" x14ac:dyDescent="0.25">
      <c r="A56" s="12"/>
      <c r="B56" s="12"/>
      <c r="C56" s="12"/>
      <c r="D56" s="12"/>
      <c r="E56" s="7" t="str">
        <f>IFERROR(VLOOKUP($F56,#REF!,16,0), ".")</f>
        <v>.</v>
      </c>
      <c r="F56" s="25" t="s">
        <v>99</v>
      </c>
      <c r="G56" s="7" t="str">
        <f>IFERROR(VLOOKUP($F56,#REF!,3,0), ".")</f>
        <v>.</v>
      </c>
      <c r="H56" s="26" t="str">
        <f>IFERROR(VLOOKUP($F56,#REF!,17,0), ".")</f>
        <v>.</v>
      </c>
      <c r="I56" s="7" t="str">
        <f>IFERROR(VLOOKUP($F56,#REF!,12,0), ".")</f>
        <v>.</v>
      </c>
      <c r="J56" s="7" t="str">
        <f>IFERROR(VLOOKUP($F56,#REF!,6,0), ".")</f>
        <v>.</v>
      </c>
      <c r="K56" s="19" t="str">
        <f t="shared" si="6"/>
        <v/>
      </c>
      <c r="L56" s="19" t="str">
        <f t="shared" si="7"/>
        <v/>
      </c>
      <c r="M56" s="19" t="str">
        <f t="shared" si="8"/>
        <v/>
      </c>
      <c r="N56" s="19" t="str">
        <f t="shared" si="9"/>
        <v/>
      </c>
      <c r="O56" s="31" t="str">
        <f t="shared" si="5"/>
        <v/>
      </c>
      <c r="P56" s="19" t="str">
        <f>IFERROR(VLOOKUP($F56,#REF!,21,0), ".")</f>
        <v>.</v>
      </c>
      <c r="Q56" s="7" t="str">
        <f>IFERROR(VLOOKUP($F56,#REF!,8,0), ".")</f>
        <v>.</v>
      </c>
      <c r="R56" s="7" t="str">
        <f>IFERROR(VLOOKUP($F56,#REF!,20,0), ".")</f>
        <v>.</v>
      </c>
    </row>
    <row r="57" spans="1:18" x14ac:dyDescent="0.25">
      <c r="A57" s="12"/>
      <c r="B57" s="12"/>
      <c r="C57" s="12"/>
      <c r="D57" s="12"/>
      <c r="E57" s="7" t="str">
        <f>IFERROR(VLOOKUP($F57,#REF!,16,0), ".")</f>
        <v>.</v>
      </c>
      <c r="F57" s="25" t="s">
        <v>100</v>
      </c>
      <c r="G57" s="7" t="str">
        <f>IFERROR(VLOOKUP($F57,#REF!,3,0), ".")</f>
        <v>.</v>
      </c>
      <c r="H57" s="26" t="str">
        <f>IFERROR(VLOOKUP($F57,#REF!,17,0), ".")</f>
        <v>.</v>
      </c>
      <c r="I57" s="7" t="str">
        <f>IFERROR(VLOOKUP($F57,#REF!,12,0), ".")</f>
        <v>.</v>
      </c>
      <c r="J57" s="7" t="str">
        <f>IFERROR(VLOOKUP($F57,#REF!,6,0), ".")</f>
        <v>.</v>
      </c>
      <c r="K57" s="19" t="str">
        <f t="shared" si="6"/>
        <v/>
      </c>
      <c r="L57" s="19" t="str">
        <f t="shared" si="7"/>
        <v/>
      </c>
      <c r="M57" s="19" t="str">
        <f t="shared" si="8"/>
        <v/>
      </c>
      <c r="N57" s="19" t="str">
        <f t="shared" si="9"/>
        <v/>
      </c>
      <c r="O57" s="31" t="str">
        <f t="shared" si="5"/>
        <v/>
      </c>
      <c r="P57" s="19" t="str">
        <f>IFERROR(VLOOKUP($F57,#REF!,21,0), ".")</f>
        <v>.</v>
      </c>
      <c r="Q57" s="7" t="str">
        <f>IFERROR(VLOOKUP($F57,#REF!,8,0), ".")</f>
        <v>.</v>
      </c>
      <c r="R57" s="7" t="str">
        <f>IFERROR(VLOOKUP($F57,#REF!,20,0), ".")</f>
        <v>.</v>
      </c>
    </row>
    <row r="58" spans="1:18" x14ac:dyDescent="0.25">
      <c r="A58" s="12"/>
      <c r="B58" s="12"/>
      <c r="C58" s="12"/>
      <c r="D58" s="12"/>
      <c r="E58" s="7" t="str">
        <f>IFERROR(VLOOKUP($F58,#REF!,16,0), ".")</f>
        <v>.</v>
      </c>
      <c r="F58" s="25" t="s">
        <v>101</v>
      </c>
      <c r="G58" s="7" t="str">
        <f>IFERROR(VLOOKUP($F58,#REF!,3,0), ".")</f>
        <v>.</v>
      </c>
      <c r="H58" s="26" t="str">
        <f>IFERROR(VLOOKUP($F58,#REF!,17,0), ".")</f>
        <v>.</v>
      </c>
      <c r="I58" s="7" t="str">
        <f>IFERROR(VLOOKUP($F58,#REF!,12,0), ".")</f>
        <v>.</v>
      </c>
      <c r="J58" s="7" t="str">
        <f>IFERROR(VLOOKUP($F58,#REF!,6,0), ".")</f>
        <v>.</v>
      </c>
      <c r="K58" s="19" t="str">
        <f t="shared" si="6"/>
        <v/>
      </c>
      <c r="L58" s="19" t="str">
        <f t="shared" si="7"/>
        <v/>
      </c>
      <c r="M58" s="19" t="str">
        <f t="shared" si="8"/>
        <v/>
      </c>
      <c r="N58" s="19" t="str">
        <f t="shared" si="9"/>
        <v/>
      </c>
      <c r="O58" s="31" t="str">
        <f t="shared" si="5"/>
        <v/>
      </c>
      <c r="P58" s="19" t="str">
        <f>IFERROR(VLOOKUP($F58,#REF!,21,0), ".")</f>
        <v>.</v>
      </c>
      <c r="Q58" s="7" t="str">
        <f>IFERROR(VLOOKUP($F58,#REF!,8,0), ".")</f>
        <v>.</v>
      </c>
      <c r="R58" s="7" t="str">
        <f>IFERROR(VLOOKUP($F58,#REF!,20,0), ".")</f>
        <v>.</v>
      </c>
    </row>
    <row r="59" spans="1:18" x14ac:dyDescent="0.25">
      <c r="A59" s="12"/>
      <c r="B59" s="12"/>
      <c r="C59" s="12"/>
      <c r="D59" s="12"/>
      <c r="E59" s="7" t="str">
        <f>IFERROR(VLOOKUP($F59,#REF!,16,0), ".")</f>
        <v>.</v>
      </c>
      <c r="F59" s="25" t="s">
        <v>102</v>
      </c>
      <c r="G59" s="7" t="str">
        <f>IFERROR(VLOOKUP($F59,#REF!,3,0), ".")</f>
        <v>.</v>
      </c>
      <c r="H59" s="26" t="str">
        <f>IFERROR(VLOOKUP($F59,#REF!,17,0), ".")</f>
        <v>.</v>
      </c>
      <c r="I59" s="7" t="str">
        <f>IFERROR(VLOOKUP($F59,#REF!,12,0), ".")</f>
        <v>.</v>
      </c>
      <c r="J59" s="7" t="str">
        <f>IFERROR(VLOOKUP($F59,#REF!,6,0), ".")</f>
        <v>.</v>
      </c>
      <c r="K59" s="19" t="str">
        <f t="shared" si="6"/>
        <v/>
      </c>
      <c r="L59" s="19" t="str">
        <f t="shared" si="7"/>
        <v/>
      </c>
      <c r="M59" s="19" t="str">
        <f t="shared" si="8"/>
        <v/>
      </c>
      <c r="N59" s="19" t="str">
        <f t="shared" si="9"/>
        <v/>
      </c>
      <c r="O59" s="31" t="str">
        <f t="shared" si="5"/>
        <v/>
      </c>
      <c r="P59" s="19" t="str">
        <f>IFERROR(VLOOKUP($F59,#REF!,21,0), ".")</f>
        <v>.</v>
      </c>
      <c r="Q59" s="7" t="str">
        <f>IFERROR(VLOOKUP($F59,#REF!,8,0), ".")</f>
        <v>.</v>
      </c>
      <c r="R59" s="7" t="str">
        <f>IFERROR(VLOOKUP($F59,#REF!,20,0), ".")</f>
        <v>.</v>
      </c>
    </row>
    <row r="60" spans="1:18" x14ac:dyDescent="0.25">
      <c r="A60" s="12"/>
      <c r="B60" s="12"/>
      <c r="C60" s="12"/>
      <c r="D60" s="12"/>
      <c r="E60" s="7" t="str">
        <f>IFERROR(VLOOKUP($F60,#REF!,16,0), ".")</f>
        <v>.</v>
      </c>
      <c r="F60" s="25" t="s">
        <v>103</v>
      </c>
      <c r="G60" s="7" t="str">
        <f>IFERROR(VLOOKUP($F60,#REF!,3,0), ".")</f>
        <v>.</v>
      </c>
      <c r="H60" s="26" t="str">
        <f>IFERROR(VLOOKUP($F60,#REF!,17,0), ".")</f>
        <v>.</v>
      </c>
      <c r="I60" s="7" t="str">
        <f>IFERROR(VLOOKUP($F60,#REF!,12,0), ".")</f>
        <v>.</v>
      </c>
      <c r="J60" s="7" t="str">
        <f>IFERROR(VLOOKUP($F60,#REF!,6,0), ".")</f>
        <v>.</v>
      </c>
      <c r="K60" s="19" t="str">
        <f t="shared" si="6"/>
        <v/>
      </c>
      <c r="L60" s="19" t="str">
        <f t="shared" si="7"/>
        <v/>
      </c>
      <c r="M60" s="19" t="str">
        <f t="shared" si="8"/>
        <v/>
      </c>
      <c r="N60" s="19" t="str">
        <f t="shared" si="9"/>
        <v/>
      </c>
      <c r="O60" s="31" t="str">
        <f t="shared" ref="O60:O75" si="25">IF(SUM(K60:N60)=0, "", SUM(K60:N60))</f>
        <v/>
      </c>
      <c r="P60" s="19" t="str">
        <f>IFERROR(VLOOKUP($F60,#REF!,21,0), ".")</f>
        <v>.</v>
      </c>
      <c r="Q60" s="7" t="str">
        <f>IFERROR(VLOOKUP($F60,#REF!,8,0), ".")</f>
        <v>.</v>
      </c>
      <c r="R60" s="7" t="str">
        <f>IFERROR(VLOOKUP($F60,#REF!,20,0), ".")</f>
        <v>.</v>
      </c>
    </row>
    <row r="61" spans="1:18" x14ac:dyDescent="0.25">
      <c r="A61" s="12"/>
      <c r="B61" s="12"/>
      <c r="C61" s="12"/>
      <c r="D61" s="12"/>
      <c r="E61" s="7" t="str">
        <f>IFERROR(VLOOKUP($F61,#REF!,16,0), ".")</f>
        <v>.</v>
      </c>
      <c r="F61" s="25" t="s">
        <v>104</v>
      </c>
      <c r="G61" s="7" t="str">
        <f>IFERROR(VLOOKUP($F61,#REF!,3,0), ".")</f>
        <v>.</v>
      </c>
      <c r="H61" s="26" t="str">
        <f>IFERROR(VLOOKUP($F61,#REF!,17,0), ".")</f>
        <v>.</v>
      </c>
      <c r="I61" s="7" t="str">
        <f>IFERROR(VLOOKUP($F61,#REF!,12,0), ".")</f>
        <v>.</v>
      </c>
      <c r="J61" s="7" t="str">
        <f>IFERROR(VLOOKUP($F61,#REF!,6,0), ".")</f>
        <v>.</v>
      </c>
      <c r="K61" s="19" t="str">
        <f t="shared" si="6"/>
        <v/>
      </c>
      <c r="L61" s="19" t="str">
        <f t="shared" si="7"/>
        <v/>
      </c>
      <c r="M61" s="19" t="str">
        <f t="shared" si="8"/>
        <v/>
      </c>
      <c r="N61" s="19" t="str">
        <f t="shared" si="9"/>
        <v/>
      </c>
      <c r="O61" s="31" t="str">
        <f t="shared" si="25"/>
        <v/>
      </c>
      <c r="P61" s="19" t="str">
        <f>IFERROR(VLOOKUP($F61,#REF!,21,0), ".")</f>
        <v>.</v>
      </c>
      <c r="Q61" s="7" t="str">
        <f>IFERROR(VLOOKUP($F61,#REF!,8,0), ".")</f>
        <v>.</v>
      </c>
      <c r="R61" s="7" t="str">
        <f>IFERROR(VLOOKUP($F61,#REF!,20,0), ".")</f>
        <v>.</v>
      </c>
    </row>
    <row r="62" spans="1:18" x14ac:dyDescent="0.25">
      <c r="A62" s="12"/>
      <c r="B62" s="12"/>
      <c r="C62" s="12"/>
      <c r="D62" s="12"/>
      <c r="E62" s="7" t="str">
        <f>IFERROR(VLOOKUP($F62,#REF!,16,0), ".")</f>
        <v>.</v>
      </c>
      <c r="F62" s="25" t="s">
        <v>105</v>
      </c>
      <c r="G62" s="7" t="str">
        <f>IFERROR(VLOOKUP($F62,#REF!,3,0), ".")</f>
        <v>.</v>
      </c>
      <c r="H62" s="26" t="str">
        <f>IFERROR(VLOOKUP($F62,#REF!,17,0), ".")</f>
        <v>.</v>
      </c>
      <c r="I62" s="7" t="str">
        <f>IFERROR(VLOOKUP($F62,#REF!,12,0), ".")</f>
        <v>.</v>
      </c>
      <c r="J62" s="7" t="str">
        <f>IFERROR(VLOOKUP($F62,#REF!,6,0), ".")</f>
        <v>.</v>
      </c>
      <c r="K62" s="19" t="str">
        <f t="shared" si="6"/>
        <v/>
      </c>
      <c r="L62" s="19" t="str">
        <f t="shared" si="7"/>
        <v/>
      </c>
      <c r="M62" s="19" t="str">
        <f t="shared" si="8"/>
        <v/>
      </c>
      <c r="N62" s="19" t="str">
        <f t="shared" si="9"/>
        <v/>
      </c>
      <c r="O62" s="31" t="str">
        <f t="shared" si="25"/>
        <v/>
      </c>
      <c r="P62" s="19" t="str">
        <f>IFERROR(VLOOKUP($F62,#REF!,21,0), ".")</f>
        <v>.</v>
      </c>
      <c r="Q62" s="7" t="str">
        <f>IFERROR(VLOOKUP($F62,#REF!,8,0), ".")</f>
        <v>.</v>
      </c>
      <c r="R62" s="7" t="str">
        <f>IFERROR(VLOOKUP($F62,#REF!,20,0), ".")</f>
        <v>.</v>
      </c>
    </row>
    <row r="63" spans="1:18" x14ac:dyDescent="0.25">
      <c r="A63" s="12"/>
      <c r="B63" s="12"/>
      <c r="C63" s="12"/>
      <c r="D63" s="12"/>
      <c r="E63" s="7" t="str">
        <f>IFERROR(VLOOKUP($F63,#REF!,16,0), ".")</f>
        <v>.</v>
      </c>
      <c r="F63" s="25" t="s">
        <v>106</v>
      </c>
      <c r="G63" s="7" t="str">
        <f>IFERROR(VLOOKUP($F63,#REF!,3,0), ".")</f>
        <v>.</v>
      </c>
      <c r="H63" s="26" t="str">
        <f>IFERROR(VLOOKUP($F63,#REF!,17,0), ".")</f>
        <v>.</v>
      </c>
      <c r="I63" s="7" t="str">
        <f>IFERROR(VLOOKUP($F63,#REF!,12,0), ".")</f>
        <v>.</v>
      </c>
      <c r="J63" s="7" t="str">
        <f>IFERROR(VLOOKUP($F63,#REF!,6,0), ".")</f>
        <v>.</v>
      </c>
      <c r="K63" s="19" t="str">
        <f t="shared" si="6"/>
        <v/>
      </c>
      <c r="L63" s="19" t="str">
        <f t="shared" si="7"/>
        <v/>
      </c>
      <c r="M63" s="19" t="str">
        <f t="shared" si="8"/>
        <v/>
      </c>
      <c r="N63" s="19" t="str">
        <f t="shared" si="9"/>
        <v/>
      </c>
      <c r="O63" s="31" t="str">
        <f t="shared" si="25"/>
        <v/>
      </c>
      <c r="P63" s="19" t="str">
        <f>IFERROR(VLOOKUP($F63,#REF!,21,0), ".")</f>
        <v>.</v>
      </c>
      <c r="Q63" s="7" t="str">
        <f>IFERROR(VLOOKUP($F63,#REF!,8,0), ".")</f>
        <v>.</v>
      </c>
      <c r="R63" s="7" t="str">
        <f>IFERROR(VLOOKUP($F63,#REF!,20,0), ".")</f>
        <v>.</v>
      </c>
    </row>
    <row r="64" spans="1:18" x14ac:dyDescent="0.25">
      <c r="A64" s="12"/>
      <c r="B64" s="12"/>
      <c r="C64" s="12"/>
      <c r="D64" s="12"/>
      <c r="E64" s="7" t="str">
        <f>IFERROR(VLOOKUP($F64,#REF!,16,0), ".")</f>
        <v>.</v>
      </c>
      <c r="F64" s="25" t="s">
        <v>107</v>
      </c>
      <c r="G64" s="7" t="str">
        <f>IFERROR(VLOOKUP($F64,#REF!,3,0), ".")</f>
        <v>.</v>
      </c>
      <c r="H64" s="26" t="str">
        <f>IFERROR(VLOOKUP($F64,#REF!,17,0), ".")</f>
        <v>.</v>
      </c>
      <c r="I64" s="7" t="str">
        <f>IFERROR(VLOOKUP($F64,#REF!,12,0), ".")</f>
        <v>.</v>
      </c>
      <c r="J64" s="7" t="str">
        <f>IFERROR(VLOOKUP($F64,#REF!,6,0), ".")</f>
        <v>.</v>
      </c>
      <c r="K64" s="19" t="str">
        <f t="shared" si="6"/>
        <v/>
      </c>
      <c r="L64" s="19" t="str">
        <f t="shared" si="7"/>
        <v/>
      </c>
      <c r="M64" s="19" t="str">
        <f t="shared" si="8"/>
        <v/>
      </c>
      <c r="N64" s="19" t="str">
        <f t="shared" si="9"/>
        <v/>
      </c>
      <c r="O64" s="31" t="str">
        <f t="shared" si="25"/>
        <v/>
      </c>
      <c r="P64" s="19" t="str">
        <f>IFERROR(VLOOKUP($F64,#REF!,21,0), ".")</f>
        <v>.</v>
      </c>
      <c r="Q64" s="7" t="str">
        <f>IFERROR(VLOOKUP($F64,#REF!,8,0), ".")</f>
        <v>.</v>
      </c>
      <c r="R64" s="7" t="str">
        <f>IFERROR(VLOOKUP($F64,#REF!,20,0), ".")</f>
        <v>.</v>
      </c>
    </row>
    <row r="65" spans="1:18" x14ac:dyDescent="0.25">
      <c r="A65" s="12"/>
      <c r="B65" s="12"/>
      <c r="C65" s="12"/>
      <c r="D65" s="12"/>
      <c r="E65" s="7" t="str">
        <f>IFERROR(VLOOKUP($F65,#REF!,16,0), ".")</f>
        <v>.</v>
      </c>
      <c r="F65" s="25" t="s">
        <v>108</v>
      </c>
      <c r="G65" s="7" t="str">
        <f>IFERROR(VLOOKUP($F65,#REF!,3,0), ".")</f>
        <v>.</v>
      </c>
      <c r="H65" s="26" t="str">
        <f>IFERROR(VLOOKUP($F65,#REF!,17,0), ".")</f>
        <v>.</v>
      </c>
      <c r="I65" s="7" t="str">
        <f>IFERROR(VLOOKUP($F65,#REF!,12,0), ".")</f>
        <v>.</v>
      </c>
      <c r="J65" s="7" t="str">
        <f>IFERROR(VLOOKUP($F65,#REF!,6,0), ".")</f>
        <v>.</v>
      </c>
      <c r="K65" s="19" t="str">
        <f t="shared" si="6"/>
        <v/>
      </c>
      <c r="L65" s="19" t="str">
        <f t="shared" si="7"/>
        <v/>
      </c>
      <c r="M65" s="19" t="str">
        <f t="shared" si="8"/>
        <v/>
      </c>
      <c r="N65" s="19" t="str">
        <f t="shared" si="9"/>
        <v/>
      </c>
      <c r="O65" s="31" t="str">
        <f t="shared" si="25"/>
        <v/>
      </c>
      <c r="P65" s="19" t="str">
        <f>IFERROR(VLOOKUP($F65,#REF!,21,0), ".")</f>
        <v>.</v>
      </c>
      <c r="Q65" s="7" t="str">
        <f>IFERROR(VLOOKUP($F65,#REF!,8,0), ".")</f>
        <v>.</v>
      </c>
      <c r="R65" s="7" t="str">
        <f>IFERROR(VLOOKUP($F65,#REF!,20,0), ".")</f>
        <v>.</v>
      </c>
    </row>
    <row r="66" spans="1:18" x14ac:dyDescent="0.25">
      <c r="A66" s="12"/>
      <c r="B66" s="12"/>
      <c r="C66" s="12"/>
      <c r="D66" s="12"/>
      <c r="E66" s="7" t="str">
        <f>IFERROR(VLOOKUP($F66,#REF!,16,0), ".")</f>
        <v>.</v>
      </c>
      <c r="F66" s="25" t="s">
        <v>109</v>
      </c>
      <c r="G66" s="7" t="str">
        <f>IFERROR(VLOOKUP($F66,#REF!,3,0), ".")</f>
        <v>.</v>
      </c>
      <c r="H66" s="26" t="str">
        <f>IFERROR(VLOOKUP($F66,#REF!,17,0), ".")</f>
        <v>.</v>
      </c>
      <c r="I66" s="7" t="str">
        <f>IFERROR(VLOOKUP($F66,#REF!,12,0), ".")</f>
        <v>.</v>
      </c>
      <c r="J66" s="7" t="str">
        <f>IFERROR(VLOOKUP($F66,#REF!,6,0), ".")</f>
        <v>.</v>
      </c>
      <c r="K66" s="19" t="str">
        <f t="shared" si="6"/>
        <v/>
      </c>
      <c r="L66" s="19" t="str">
        <f t="shared" si="7"/>
        <v/>
      </c>
      <c r="M66" s="19" t="str">
        <f t="shared" si="8"/>
        <v/>
      </c>
      <c r="N66" s="19" t="str">
        <f t="shared" si="9"/>
        <v/>
      </c>
      <c r="O66" s="31" t="str">
        <f t="shared" si="25"/>
        <v/>
      </c>
      <c r="P66" s="19" t="str">
        <f>IFERROR(VLOOKUP($F66,#REF!,21,0), ".")</f>
        <v>.</v>
      </c>
      <c r="Q66" s="7" t="str">
        <f>IFERROR(VLOOKUP($F66,#REF!,8,0), ".")</f>
        <v>.</v>
      </c>
      <c r="R66" s="7" t="str">
        <f>IFERROR(VLOOKUP($F66,#REF!,20,0), ".")</f>
        <v>.</v>
      </c>
    </row>
    <row r="67" spans="1:18" x14ac:dyDescent="0.25">
      <c r="A67" s="12"/>
      <c r="B67" s="12"/>
      <c r="C67" s="12"/>
      <c r="D67" s="12"/>
      <c r="E67" s="7" t="str">
        <f>IFERROR(VLOOKUP($F67,#REF!,16,0), ".")</f>
        <v>.</v>
      </c>
      <c r="F67" s="25" t="s">
        <v>110</v>
      </c>
      <c r="G67" s="7" t="str">
        <f>IFERROR(VLOOKUP($F67,#REF!,3,0), ".")</f>
        <v>.</v>
      </c>
      <c r="H67" s="26" t="str">
        <f>IFERROR(VLOOKUP($F67,#REF!,17,0), ".")</f>
        <v>.</v>
      </c>
      <c r="I67" s="7" t="str">
        <f>IFERROR(VLOOKUP($F67,#REF!,12,0), ".")</f>
        <v>.</v>
      </c>
      <c r="J67" s="7" t="str">
        <f>IFERROR(VLOOKUP($F67,#REF!,6,0), ".")</f>
        <v>.</v>
      </c>
      <c r="K67" s="19" t="str">
        <f t="shared" si="6"/>
        <v/>
      </c>
      <c r="L67" s="19" t="str">
        <f t="shared" si="7"/>
        <v/>
      </c>
      <c r="M67" s="19" t="str">
        <f t="shared" si="8"/>
        <v/>
      </c>
      <c r="N67" s="19" t="str">
        <f t="shared" si="9"/>
        <v/>
      </c>
      <c r="O67" s="31" t="str">
        <f t="shared" si="25"/>
        <v/>
      </c>
      <c r="P67" s="19" t="str">
        <f>IFERROR(VLOOKUP($F67,#REF!,21,0), ".")</f>
        <v>.</v>
      </c>
      <c r="Q67" s="7" t="str">
        <f>IFERROR(VLOOKUP($F67,#REF!,8,0), ".")</f>
        <v>.</v>
      </c>
      <c r="R67" s="7" t="str">
        <f>IFERROR(VLOOKUP($F67,#REF!,20,0), ".")</f>
        <v>.</v>
      </c>
    </row>
    <row r="68" spans="1:18" x14ac:dyDescent="0.25">
      <c r="A68" s="12"/>
      <c r="B68" s="12"/>
      <c r="C68" s="12"/>
      <c r="D68" s="12"/>
      <c r="E68" s="7" t="str">
        <f>IFERROR(VLOOKUP($F68,#REF!,16,0), ".")</f>
        <v>.</v>
      </c>
      <c r="F68" s="25" t="s">
        <v>111</v>
      </c>
      <c r="G68" s="7" t="str">
        <f>IFERROR(VLOOKUP($F68,#REF!,3,0), ".")</f>
        <v>.</v>
      </c>
      <c r="H68" s="26" t="str">
        <f>IFERROR(VLOOKUP($F68,#REF!,17,0), ".")</f>
        <v>.</v>
      </c>
      <c r="I68" s="7" t="str">
        <f>IFERROR(VLOOKUP($F68,#REF!,12,0), ".")</f>
        <v>.</v>
      </c>
      <c r="J68" s="7" t="str">
        <f>IFERROR(VLOOKUP($F68,#REF!,6,0), ".")</f>
        <v>.</v>
      </c>
      <c r="K68" s="19" t="str">
        <f t="shared" si="6"/>
        <v/>
      </c>
      <c r="L68" s="19" t="str">
        <f t="shared" si="7"/>
        <v/>
      </c>
      <c r="M68" s="19" t="str">
        <f t="shared" si="8"/>
        <v/>
      </c>
      <c r="N68" s="19" t="str">
        <f t="shared" si="9"/>
        <v/>
      </c>
      <c r="O68" s="31" t="str">
        <f t="shared" si="25"/>
        <v/>
      </c>
      <c r="P68" s="19" t="str">
        <f>IFERROR(VLOOKUP($F68,#REF!,21,0), ".")</f>
        <v>.</v>
      </c>
      <c r="Q68" s="7" t="str">
        <f>IFERROR(VLOOKUP($F68,#REF!,8,0), ".")</f>
        <v>.</v>
      </c>
      <c r="R68" s="7" t="str">
        <f>IFERROR(VLOOKUP($F68,#REF!,20,0), ".")</f>
        <v>.</v>
      </c>
    </row>
    <row r="69" spans="1:18" x14ac:dyDescent="0.25">
      <c r="A69" s="12"/>
      <c r="B69" s="12"/>
      <c r="C69" s="12"/>
      <c r="D69" s="12"/>
      <c r="E69" s="7" t="str">
        <f>IFERROR(VLOOKUP($F69,#REF!,16,0), ".")</f>
        <v>.</v>
      </c>
      <c r="F69" s="25" t="s">
        <v>112</v>
      </c>
      <c r="G69" s="7" t="str">
        <f>IFERROR(VLOOKUP($F69,#REF!,3,0), ".")</f>
        <v>.</v>
      </c>
      <c r="H69" s="26" t="str">
        <f>IFERROR(VLOOKUP($F69,#REF!,17,0), ".")</f>
        <v>.</v>
      </c>
      <c r="I69" s="7" t="str">
        <f>IFERROR(VLOOKUP($F69,#REF!,12,0), ".")</f>
        <v>.</v>
      </c>
      <c r="J69" s="7" t="str">
        <f>IFERROR(VLOOKUP($F69,#REF!,6,0), ".")</f>
        <v>.</v>
      </c>
      <c r="K69" s="19" t="str">
        <f t="shared" ref="K69:K100" si="26">IF(A69="", "", A69*H69)</f>
        <v/>
      </c>
      <c r="L69" s="19" t="str">
        <f t="shared" ref="L69:L100" si="27">IF(B69="", "", B69*H69)</f>
        <v/>
      </c>
      <c r="M69" s="19" t="str">
        <f t="shared" ref="M69:M100" si="28">IF(C69="", "", C69*H69)</f>
        <v/>
      </c>
      <c r="N69" s="19" t="str">
        <f t="shared" ref="N69:N100" si="29">IF(D69="", "", D69*H69)</f>
        <v/>
      </c>
      <c r="O69" s="31" t="str">
        <f t="shared" si="25"/>
        <v/>
      </c>
      <c r="P69" s="19" t="str">
        <f>IFERROR(VLOOKUP($F69,#REF!,21,0), ".")</f>
        <v>.</v>
      </c>
      <c r="Q69" s="7" t="str">
        <f>IFERROR(VLOOKUP($F69,#REF!,8,0), ".")</f>
        <v>.</v>
      </c>
      <c r="R69" s="7" t="str">
        <f>IFERROR(VLOOKUP($F69,#REF!,20,0), ".")</f>
        <v>.</v>
      </c>
    </row>
    <row r="70" spans="1:18" x14ac:dyDescent="0.25">
      <c r="A70" s="12"/>
      <c r="B70" s="12"/>
      <c r="C70" s="12"/>
      <c r="D70" s="12"/>
      <c r="E70" s="7" t="str">
        <f>IFERROR(VLOOKUP($F70,#REF!,16,0), ".")</f>
        <v>.</v>
      </c>
      <c r="F70" s="25" t="s">
        <v>113</v>
      </c>
      <c r="G70" s="7" t="str">
        <f>IFERROR(VLOOKUP($F70,#REF!,3,0), ".")</f>
        <v>.</v>
      </c>
      <c r="H70" s="26" t="str">
        <f>IFERROR(VLOOKUP($F70,#REF!,17,0), ".")</f>
        <v>.</v>
      </c>
      <c r="I70" s="7" t="str">
        <f>IFERROR(VLOOKUP($F70,#REF!,12,0), ".")</f>
        <v>.</v>
      </c>
      <c r="J70" s="7" t="str">
        <f>IFERROR(VLOOKUP($F70,#REF!,6,0), ".")</f>
        <v>.</v>
      </c>
      <c r="K70" s="19" t="str">
        <f t="shared" si="26"/>
        <v/>
      </c>
      <c r="L70" s="19" t="str">
        <f t="shared" si="27"/>
        <v/>
      </c>
      <c r="M70" s="19" t="str">
        <f t="shared" si="28"/>
        <v/>
      </c>
      <c r="N70" s="19" t="str">
        <f t="shared" si="29"/>
        <v/>
      </c>
      <c r="O70" s="31" t="str">
        <f t="shared" si="25"/>
        <v/>
      </c>
      <c r="P70" s="19" t="str">
        <f>IFERROR(VLOOKUP($F70,#REF!,21,0), ".")</f>
        <v>.</v>
      </c>
      <c r="Q70" s="7" t="str">
        <f>IFERROR(VLOOKUP($F70,#REF!,8,0), ".")</f>
        <v>.</v>
      </c>
      <c r="R70" s="7" t="str">
        <f>IFERROR(VLOOKUP($F70,#REF!,20,0), ".")</f>
        <v>.</v>
      </c>
    </row>
    <row r="71" spans="1:18" x14ac:dyDescent="0.25">
      <c r="A71" s="12"/>
      <c r="B71" s="12"/>
      <c r="C71" s="12"/>
      <c r="D71" s="12"/>
      <c r="E71" s="7" t="str">
        <f>IFERROR(VLOOKUP($F71,#REF!,16,0), ".")</f>
        <v>.</v>
      </c>
      <c r="F71" s="25" t="s">
        <v>114</v>
      </c>
      <c r="G71" s="7" t="str">
        <f>IFERROR(VLOOKUP($F71,#REF!,3,0), ".")</f>
        <v>.</v>
      </c>
      <c r="H71" s="26" t="str">
        <f>IFERROR(VLOOKUP($F71,#REF!,17,0), ".")</f>
        <v>.</v>
      </c>
      <c r="I71" s="7" t="str">
        <f>IFERROR(VLOOKUP($F71,#REF!,12,0), ".")</f>
        <v>.</v>
      </c>
      <c r="J71" s="7" t="str">
        <f>IFERROR(VLOOKUP($F71,#REF!,6,0), ".")</f>
        <v>.</v>
      </c>
      <c r="K71" s="19" t="str">
        <f t="shared" si="26"/>
        <v/>
      </c>
      <c r="L71" s="19" t="str">
        <f t="shared" si="27"/>
        <v/>
      </c>
      <c r="M71" s="19" t="str">
        <f t="shared" si="28"/>
        <v/>
      </c>
      <c r="N71" s="19" t="str">
        <f t="shared" si="29"/>
        <v/>
      </c>
      <c r="O71" s="31" t="str">
        <f t="shared" si="25"/>
        <v/>
      </c>
      <c r="P71" s="19" t="str">
        <f>IFERROR(VLOOKUP($F71,#REF!,21,0), ".")</f>
        <v>.</v>
      </c>
      <c r="Q71" s="7" t="str">
        <f>IFERROR(VLOOKUP($F71,#REF!,8,0), ".")</f>
        <v>.</v>
      </c>
      <c r="R71" s="7" t="str">
        <f>IFERROR(VLOOKUP($F71,#REF!,20,0), ".")</f>
        <v>.</v>
      </c>
    </row>
    <row r="72" spans="1:18" x14ac:dyDescent="0.25">
      <c r="A72" s="12"/>
      <c r="B72" s="12"/>
      <c r="C72" s="12"/>
      <c r="D72" s="12"/>
      <c r="E72" s="7" t="str">
        <f>IFERROR(VLOOKUP($F72,#REF!,16,0), ".")</f>
        <v>.</v>
      </c>
      <c r="F72" s="25" t="s">
        <v>115</v>
      </c>
      <c r="G72" s="7" t="str">
        <f>IFERROR(VLOOKUP($F72,#REF!,3,0), ".")</f>
        <v>.</v>
      </c>
      <c r="H72" s="26" t="str">
        <f>IFERROR(VLOOKUP($F72,#REF!,17,0), ".")</f>
        <v>.</v>
      </c>
      <c r="I72" s="7" t="str">
        <f>IFERROR(VLOOKUP($F72,#REF!,12,0), ".")</f>
        <v>.</v>
      </c>
      <c r="J72" s="7" t="str">
        <f>IFERROR(VLOOKUP($F72,#REF!,6,0), ".")</f>
        <v>.</v>
      </c>
      <c r="K72" s="19" t="str">
        <f t="shared" si="26"/>
        <v/>
      </c>
      <c r="L72" s="19" t="str">
        <f t="shared" si="27"/>
        <v/>
      </c>
      <c r="M72" s="19" t="str">
        <f t="shared" si="28"/>
        <v/>
      </c>
      <c r="N72" s="19" t="str">
        <f t="shared" si="29"/>
        <v/>
      </c>
      <c r="O72" s="31" t="str">
        <f t="shared" si="25"/>
        <v/>
      </c>
      <c r="P72" s="19" t="str">
        <f>IFERROR(VLOOKUP($F72,#REF!,21,0), ".")</f>
        <v>.</v>
      </c>
      <c r="Q72" s="7" t="str">
        <f>IFERROR(VLOOKUP($F72,#REF!,8,0), ".")</f>
        <v>.</v>
      </c>
      <c r="R72" s="7" t="str">
        <f>IFERROR(VLOOKUP($F72,#REF!,20,0), ".")</f>
        <v>.</v>
      </c>
    </row>
    <row r="73" spans="1:18" x14ac:dyDescent="0.25">
      <c r="A73" s="12"/>
      <c r="B73" s="12"/>
      <c r="C73" s="12"/>
      <c r="D73" s="12"/>
      <c r="E73" s="7" t="str">
        <f>IFERROR(VLOOKUP($F73,#REF!,16,0), ".")</f>
        <v>.</v>
      </c>
      <c r="F73" s="25" t="s">
        <v>116</v>
      </c>
      <c r="G73" s="7" t="str">
        <f>IFERROR(VLOOKUP($F73,#REF!,3,0), ".")</f>
        <v>.</v>
      </c>
      <c r="H73" s="26" t="str">
        <f>IFERROR(VLOOKUP($F73,#REF!,17,0), ".")</f>
        <v>.</v>
      </c>
      <c r="I73" s="7" t="str">
        <f>IFERROR(VLOOKUP($F73,#REF!,12,0), ".")</f>
        <v>.</v>
      </c>
      <c r="J73" s="7" t="str">
        <f>IFERROR(VLOOKUP($F73,#REF!,6,0), ".")</f>
        <v>.</v>
      </c>
      <c r="K73" s="19" t="str">
        <f t="shared" si="26"/>
        <v/>
      </c>
      <c r="L73" s="19" t="str">
        <f t="shared" si="27"/>
        <v/>
      </c>
      <c r="M73" s="19" t="str">
        <f t="shared" si="28"/>
        <v/>
      </c>
      <c r="N73" s="19" t="str">
        <f t="shared" si="29"/>
        <v/>
      </c>
      <c r="O73" s="31" t="str">
        <f t="shared" si="25"/>
        <v/>
      </c>
      <c r="P73" s="19" t="str">
        <f>IFERROR(VLOOKUP($F73,#REF!,21,0), ".")</f>
        <v>.</v>
      </c>
      <c r="Q73" s="7" t="str">
        <f>IFERROR(VLOOKUP($F73,#REF!,8,0), ".")</f>
        <v>.</v>
      </c>
      <c r="R73" s="7" t="str">
        <f>IFERROR(VLOOKUP($F73,#REF!,20,0), ".")</f>
        <v>.</v>
      </c>
    </row>
    <row r="74" spans="1:18" x14ac:dyDescent="0.25">
      <c r="A74" s="12"/>
      <c r="B74" s="12"/>
      <c r="C74" s="12"/>
      <c r="D74" s="12"/>
      <c r="E74" s="7" t="str">
        <f>IFERROR(VLOOKUP($F74,#REF!,16,0), ".")</f>
        <v>.</v>
      </c>
      <c r="F74" s="25" t="s">
        <v>117</v>
      </c>
      <c r="G74" s="7" t="str">
        <f>IFERROR(VLOOKUP($F74,#REF!,3,0), ".")</f>
        <v>.</v>
      </c>
      <c r="H74" s="26" t="str">
        <f>IFERROR(VLOOKUP($F74,#REF!,17,0), ".")</f>
        <v>.</v>
      </c>
      <c r="I74" s="7" t="str">
        <f>IFERROR(VLOOKUP($F74,#REF!,12,0), ".")</f>
        <v>.</v>
      </c>
      <c r="J74" s="7" t="str">
        <f>IFERROR(VLOOKUP($F74,#REF!,6,0), ".")</f>
        <v>.</v>
      </c>
      <c r="K74" s="19" t="str">
        <f t="shared" si="26"/>
        <v/>
      </c>
      <c r="L74" s="19" t="str">
        <f t="shared" si="27"/>
        <v/>
      </c>
      <c r="M74" s="19" t="str">
        <f t="shared" si="28"/>
        <v/>
      </c>
      <c r="N74" s="19" t="str">
        <f t="shared" si="29"/>
        <v/>
      </c>
      <c r="O74" s="31" t="str">
        <f t="shared" si="25"/>
        <v/>
      </c>
      <c r="P74" s="19" t="str">
        <f>IFERROR(VLOOKUP($F74,#REF!,21,0), ".")</f>
        <v>.</v>
      </c>
      <c r="Q74" s="7" t="str">
        <f>IFERROR(VLOOKUP($F74,#REF!,8,0), ".")</f>
        <v>.</v>
      </c>
      <c r="R74" s="7" t="str">
        <f>IFERROR(VLOOKUP($F74,#REF!,20,0), ".")</f>
        <v>.</v>
      </c>
    </row>
    <row r="75" spans="1:18" x14ac:dyDescent="0.25">
      <c r="A75" s="12"/>
      <c r="B75" s="12"/>
      <c r="C75" s="12"/>
      <c r="D75" s="12"/>
      <c r="E75" s="7" t="str">
        <f>IFERROR(VLOOKUP($F75,#REF!,16,0), ".")</f>
        <v>.</v>
      </c>
      <c r="F75" s="25" t="s">
        <v>118</v>
      </c>
      <c r="G75" s="7" t="str">
        <f>IFERROR(VLOOKUP($F75,#REF!,3,0), ".")</f>
        <v>.</v>
      </c>
      <c r="H75" s="26" t="str">
        <f>IFERROR(VLOOKUP($F75,#REF!,17,0), ".")</f>
        <v>.</v>
      </c>
      <c r="I75" s="7" t="str">
        <f>IFERROR(VLOOKUP($F75,#REF!,12,0), ".")</f>
        <v>.</v>
      </c>
      <c r="J75" s="7" t="str">
        <f>IFERROR(VLOOKUP($F75,#REF!,6,0), ".")</f>
        <v>.</v>
      </c>
      <c r="K75" s="19" t="str">
        <f t="shared" si="26"/>
        <v/>
      </c>
      <c r="L75" s="19" t="str">
        <f t="shared" si="27"/>
        <v/>
      </c>
      <c r="M75" s="19" t="str">
        <f t="shared" si="28"/>
        <v/>
      </c>
      <c r="N75" s="19" t="str">
        <f t="shared" si="29"/>
        <v/>
      </c>
      <c r="O75" s="31" t="str">
        <f t="shared" si="25"/>
        <v/>
      </c>
      <c r="P75" s="19" t="str">
        <f>IFERROR(VLOOKUP($F75,#REF!,21,0), ".")</f>
        <v>.</v>
      </c>
      <c r="Q75" s="7" t="str">
        <f>IFERROR(VLOOKUP($F75,#REF!,8,0), ".")</f>
        <v>.</v>
      </c>
      <c r="R75" s="7" t="str">
        <f>IFERROR(VLOOKUP($F75,#REF!,20,0), ".")</f>
        <v>.</v>
      </c>
    </row>
    <row r="76" spans="1:18" x14ac:dyDescent="0.25">
      <c r="A76" s="12"/>
      <c r="B76" s="12"/>
      <c r="C76" s="12"/>
      <c r="D76" s="12"/>
      <c r="E76" s="7" t="str">
        <f>IFERROR(VLOOKUP($F76,#REF!,16,0), ".")</f>
        <v>.</v>
      </c>
      <c r="F76" s="25" t="s">
        <v>119</v>
      </c>
      <c r="G76" s="7" t="str">
        <f>IFERROR(VLOOKUP($F76,#REF!,3,0), ".")</f>
        <v>.</v>
      </c>
      <c r="H76" s="26" t="str">
        <f>IFERROR(VLOOKUP($F76,#REF!,17,0), ".")</f>
        <v>.</v>
      </c>
      <c r="I76" s="7" t="str">
        <f>IFERROR(VLOOKUP($F76,#REF!,12,0), ".")</f>
        <v>.</v>
      </c>
      <c r="J76" s="7" t="str">
        <f>IFERROR(VLOOKUP($F76,#REF!,6,0), ".")</f>
        <v>.</v>
      </c>
      <c r="K76" s="19" t="str">
        <f t="shared" si="26"/>
        <v/>
      </c>
      <c r="L76" s="19" t="str">
        <f t="shared" si="27"/>
        <v/>
      </c>
      <c r="M76" s="19" t="str">
        <f t="shared" si="28"/>
        <v/>
      </c>
      <c r="N76" s="19" t="str">
        <f t="shared" si="29"/>
        <v/>
      </c>
      <c r="O76" s="31" t="str">
        <f t="shared" ref="O76:O85" si="30">IF(SUM(K76:N76)=0, "", SUM(K76:N76))</f>
        <v/>
      </c>
      <c r="P76" s="19" t="str">
        <f>IFERROR(VLOOKUP($F76,#REF!,21,0), ".")</f>
        <v>.</v>
      </c>
      <c r="Q76" s="7" t="str">
        <f>IFERROR(VLOOKUP($F76,#REF!,8,0), ".")</f>
        <v>.</v>
      </c>
      <c r="R76" s="7" t="str">
        <f>IFERROR(VLOOKUP($F76,#REF!,20,0), ".")</f>
        <v>.</v>
      </c>
    </row>
    <row r="77" spans="1:18" x14ac:dyDescent="0.25">
      <c r="A77" s="12"/>
      <c r="B77" s="12"/>
      <c r="C77" s="12"/>
      <c r="D77" s="12"/>
      <c r="E77" s="7" t="str">
        <f>IFERROR(VLOOKUP($F77,#REF!,16,0), ".")</f>
        <v>.</v>
      </c>
      <c r="F77" s="25" t="s">
        <v>120</v>
      </c>
      <c r="G77" s="7" t="str">
        <f>IFERROR(VLOOKUP($F77,#REF!,3,0), ".")</f>
        <v>.</v>
      </c>
      <c r="H77" s="26" t="str">
        <f>IFERROR(VLOOKUP($F77,#REF!,17,0), ".")</f>
        <v>.</v>
      </c>
      <c r="I77" s="7" t="str">
        <f>IFERROR(VLOOKUP($F77,#REF!,12,0), ".")</f>
        <v>.</v>
      </c>
      <c r="J77" s="7" t="str">
        <f>IFERROR(VLOOKUP($F77,#REF!,6,0), ".")</f>
        <v>.</v>
      </c>
      <c r="K77" s="19" t="str">
        <f t="shared" si="26"/>
        <v/>
      </c>
      <c r="L77" s="19" t="str">
        <f t="shared" si="27"/>
        <v/>
      </c>
      <c r="M77" s="19" t="str">
        <f t="shared" si="28"/>
        <v/>
      </c>
      <c r="N77" s="19" t="str">
        <f t="shared" si="29"/>
        <v/>
      </c>
      <c r="O77" s="31" t="str">
        <f t="shared" si="30"/>
        <v/>
      </c>
      <c r="P77" s="19" t="str">
        <f>IFERROR(VLOOKUP($F77,#REF!,21,0), ".")</f>
        <v>.</v>
      </c>
      <c r="Q77" s="7" t="str">
        <f>IFERROR(VLOOKUP($F77,#REF!,8,0), ".")</f>
        <v>.</v>
      </c>
      <c r="R77" s="7" t="str">
        <f>IFERROR(VLOOKUP($F77,#REF!,20,0), ".")</f>
        <v>.</v>
      </c>
    </row>
    <row r="78" spans="1:18" x14ac:dyDescent="0.25">
      <c r="A78" s="12"/>
      <c r="B78" s="12"/>
      <c r="C78" s="12"/>
      <c r="D78" s="12"/>
      <c r="E78" s="7" t="str">
        <f>IFERROR(VLOOKUP($F78,#REF!,16,0), ".")</f>
        <v>.</v>
      </c>
      <c r="F78" s="25" t="s">
        <v>121</v>
      </c>
      <c r="G78" s="7" t="str">
        <f>IFERROR(VLOOKUP($F78,#REF!,3,0), ".")</f>
        <v>.</v>
      </c>
      <c r="H78" s="26" t="str">
        <f>IFERROR(VLOOKUP($F78,#REF!,17,0), ".")</f>
        <v>.</v>
      </c>
      <c r="I78" s="7" t="str">
        <f>IFERROR(VLOOKUP($F78,#REF!,12,0), ".")</f>
        <v>.</v>
      </c>
      <c r="J78" s="7" t="str">
        <f>IFERROR(VLOOKUP($F78,#REF!,6,0), ".")</f>
        <v>.</v>
      </c>
      <c r="K78" s="19" t="str">
        <f t="shared" si="26"/>
        <v/>
      </c>
      <c r="L78" s="19" t="str">
        <f t="shared" si="27"/>
        <v/>
      </c>
      <c r="M78" s="19" t="str">
        <f t="shared" si="28"/>
        <v/>
      </c>
      <c r="N78" s="19" t="str">
        <f t="shared" si="29"/>
        <v/>
      </c>
      <c r="O78" s="31" t="str">
        <f t="shared" si="30"/>
        <v/>
      </c>
      <c r="P78" s="19" t="str">
        <f>IFERROR(VLOOKUP($F78,#REF!,21,0), ".")</f>
        <v>.</v>
      </c>
      <c r="Q78" s="7" t="str">
        <f>IFERROR(VLOOKUP($F78,#REF!,8,0), ".")</f>
        <v>.</v>
      </c>
      <c r="R78" s="7" t="str">
        <f>IFERROR(VLOOKUP($F78,#REF!,20,0), ".")</f>
        <v>.</v>
      </c>
    </row>
    <row r="79" spans="1:18" x14ac:dyDescent="0.25">
      <c r="A79" s="12"/>
      <c r="B79" s="12"/>
      <c r="C79" s="12"/>
      <c r="D79" s="12"/>
      <c r="E79" s="7" t="str">
        <f>IFERROR(VLOOKUP($F79,#REF!,16,0), ".")</f>
        <v>.</v>
      </c>
      <c r="F79" s="25" t="s">
        <v>122</v>
      </c>
      <c r="G79" s="7" t="str">
        <f>IFERROR(VLOOKUP($F79,#REF!,3,0), ".")</f>
        <v>.</v>
      </c>
      <c r="H79" s="26" t="str">
        <f>IFERROR(VLOOKUP($F79,#REF!,17,0), ".")</f>
        <v>.</v>
      </c>
      <c r="I79" s="7" t="str">
        <f>IFERROR(VLOOKUP($F79,#REF!,12,0), ".")</f>
        <v>.</v>
      </c>
      <c r="J79" s="7" t="str">
        <f>IFERROR(VLOOKUP($F79,#REF!,6,0), ".")</f>
        <v>.</v>
      </c>
      <c r="K79" s="19" t="str">
        <f t="shared" si="26"/>
        <v/>
      </c>
      <c r="L79" s="19" t="str">
        <f t="shared" si="27"/>
        <v/>
      </c>
      <c r="M79" s="19" t="str">
        <f t="shared" si="28"/>
        <v/>
      </c>
      <c r="N79" s="19" t="str">
        <f t="shared" si="29"/>
        <v/>
      </c>
      <c r="O79" s="31" t="str">
        <f t="shared" si="30"/>
        <v/>
      </c>
      <c r="P79" s="19" t="str">
        <f>IFERROR(VLOOKUP($F79,#REF!,21,0), ".")</f>
        <v>.</v>
      </c>
      <c r="Q79" s="7" t="str">
        <f>IFERROR(VLOOKUP($F79,#REF!,8,0), ".")</f>
        <v>.</v>
      </c>
      <c r="R79" s="7" t="str">
        <f>IFERROR(VLOOKUP($F79,#REF!,20,0), ".")</f>
        <v>.</v>
      </c>
    </row>
    <row r="80" spans="1:18" x14ac:dyDescent="0.25">
      <c r="A80" s="12"/>
      <c r="B80" s="12"/>
      <c r="C80" s="12"/>
      <c r="D80" s="12"/>
      <c r="E80" s="7" t="str">
        <f>IFERROR(VLOOKUP($F80,#REF!,16,0), ".")</f>
        <v>.</v>
      </c>
      <c r="F80" s="25" t="s">
        <v>123</v>
      </c>
      <c r="G80" s="7" t="str">
        <f>IFERROR(VLOOKUP($F80,#REF!,3,0), ".")</f>
        <v>.</v>
      </c>
      <c r="H80" s="26" t="str">
        <f>IFERROR(VLOOKUP($F80,#REF!,17,0), ".")</f>
        <v>.</v>
      </c>
      <c r="I80" s="7" t="str">
        <f>IFERROR(VLOOKUP($F80,#REF!,12,0), ".")</f>
        <v>.</v>
      </c>
      <c r="J80" s="7" t="str">
        <f>IFERROR(VLOOKUP($F80,#REF!,6,0), ".")</f>
        <v>.</v>
      </c>
      <c r="K80" s="19" t="str">
        <f t="shared" si="26"/>
        <v/>
      </c>
      <c r="L80" s="19" t="str">
        <f t="shared" si="27"/>
        <v/>
      </c>
      <c r="M80" s="19" t="str">
        <f t="shared" si="28"/>
        <v/>
      </c>
      <c r="N80" s="19" t="str">
        <f t="shared" si="29"/>
        <v/>
      </c>
      <c r="O80" s="31" t="str">
        <f t="shared" si="30"/>
        <v/>
      </c>
      <c r="P80" s="19" t="str">
        <f>IFERROR(VLOOKUP($F80,#REF!,21,0), ".")</f>
        <v>.</v>
      </c>
      <c r="Q80" s="7" t="str">
        <f>IFERROR(VLOOKUP($F80,#REF!,8,0), ".")</f>
        <v>.</v>
      </c>
      <c r="R80" s="7" t="str">
        <f>IFERROR(VLOOKUP($F80,#REF!,20,0), ".")</f>
        <v>.</v>
      </c>
    </row>
    <row r="81" spans="1:18" x14ac:dyDescent="0.25">
      <c r="A81" s="12"/>
      <c r="B81" s="12"/>
      <c r="C81" s="12"/>
      <c r="D81" s="12"/>
      <c r="E81" s="7" t="str">
        <f>IFERROR(VLOOKUP($F81,#REF!,16,0), ".")</f>
        <v>.</v>
      </c>
      <c r="F81" s="25" t="s">
        <v>124</v>
      </c>
      <c r="G81" s="7" t="str">
        <f>IFERROR(VLOOKUP($F81,#REF!,3,0), ".")</f>
        <v>.</v>
      </c>
      <c r="H81" s="26" t="str">
        <f>IFERROR(VLOOKUP($F81,#REF!,17,0), ".")</f>
        <v>.</v>
      </c>
      <c r="I81" s="7" t="str">
        <f>IFERROR(VLOOKUP($F81,#REF!,12,0), ".")</f>
        <v>.</v>
      </c>
      <c r="J81" s="7" t="str">
        <f>IFERROR(VLOOKUP($F81,#REF!,6,0), ".")</f>
        <v>.</v>
      </c>
      <c r="K81" s="19" t="str">
        <f t="shared" si="26"/>
        <v/>
      </c>
      <c r="L81" s="19" t="str">
        <f t="shared" si="27"/>
        <v/>
      </c>
      <c r="M81" s="19" t="str">
        <f t="shared" si="28"/>
        <v/>
      </c>
      <c r="N81" s="19" t="str">
        <f t="shared" si="29"/>
        <v/>
      </c>
      <c r="O81" s="31" t="str">
        <f t="shared" si="30"/>
        <v/>
      </c>
      <c r="P81" s="19" t="str">
        <f>IFERROR(VLOOKUP($F81,#REF!,21,0), ".")</f>
        <v>.</v>
      </c>
      <c r="Q81" s="7" t="str">
        <f>IFERROR(VLOOKUP($F81,#REF!,8,0), ".")</f>
        <v>.</v>
      </c>
      <c r="R81" s="7" t="str">
        <f>IFERROR(VLOOKUP($F81,#REF!,20,0), ".")</f>
        <v>.</v>
      </c>
    </row>
    <row r="82" spans="1:18" x14ac:dyDescent="0.25">
      <c r="A82" s="12"/>
      <c r="B82" s="12"/>
      <c r="C82" s="12"/>
      <c r="D82" s="12"/>
      <c r="E82" s="7" t="str">
        <f>IFERROR(VLOOKUP($F82,#REF!,16,0), ".")</f>
        <v>.</v>
      </c>
      <c r="F82" s="25" t="s">
        <v>125</v>
      </c>
      <c r="G82" s="7" t="str">
        <f>IFERROR(VLOOKUP($F82,#REF!,3,0), ".")</f>
        <v>.</v>
      </c>
      <c r="H82" s="26" t="str">
        <f>IFERROR(VLOOKUP($F82,#REF!,17,0), ".")</f>
        <v>.</v>
      </c>
      <c r="I82" s="7" t="str">
        <f>IFERROR(VLOOKUP($F82,#REF!,12,0), ".")</f>
        <v>.</v>
      </c>
      <c r="J82" s="7" t="str">
        <f>IFERROR(VLOOKUP($F82,#REF!,6,0), ".")</f>
        <v>.</v>
      </c>
      <c r="K82" s="19" t="str">
        <f t="shared" si="26"/>
        <v/>
      </c>
      <c r="L82" s="19" t="str">
        <f t="shared" si="27"/>
        <v/>
      </c>
      <c r="M82" s="19" t="str">
        <f t="shared" si="28"/>
        <v/>
      </c>
      <c r="N82" s="19" t="str">
        <f t="shared" si="29"/>
        <v/>
      </c>
      <c r="O82" s="31" t="str">
        <f t="shared" si="30"/>
        <v/>
      </c>
      <c r="P82" s="19" t="str">
        <f>IFERROR(VLOOKUP($F82,#REF!,21,0), ".")</f>
        <v>.</v>
      </c>
      <c r="Q82" s="7" t="str">
        <f>IFERROR(VLOOKUP($F82,#REF!,8,0), ".")</f>
        <v>.</v>
      </c>
      <c r="R82" s="7" t="str">
        <f>IFERROR(VLOOKUP($F82,#REF!,20,0), ".")</f>
        <v>.</v>
      </c>
    </row>
    <row r="83" spans="1:18" x14ac:dyDescent="0.25">
      <c r="A83" s="12"/>
      <c r="B83" s="12"/>
      <c r="C83" s="12"/>
      <c r="D83" s="12"/>
      <c r="E83" s="7" t="str">
        <f>IFERROR(VLOOKUP($F83,#REF!,16,0), ".")</f>
        <v>.</v>
      </c>
      <c r="F83" s="25" t="s">
        <v>126</v>
      </c>
      <c r="G83" s="7" t="str">
        <f>IFERROR(VLOOKUP($F83,#REF!,3,0), ".")</f>
        <v>.</v>
      </c>
      <c r="H83" s="26" t="str">
        <f>IFERROR(VLOOKUP($F83,#REF!,17,0), ".")</f>
        <v>.</v>
      </c>
      <c r="I83" s="7" t="str">
        <f>IFERROR(VLOOKUP($F83,#REF!,12,0), ".")</f>
        <v>.</v>
      </c>
      <c r="J83" s="7" t="str">
        <f>IFERROR(VLOOKUP($F83,#REF!,6,0), ".")</f>
        <v>.</v>
      </c>
      <c r="K83" s="19" t="str">
        <f t="shared" si="26"/>
        <v/>
      </c>
      <c r="L83" s="19" t="str">
        <f t="shared" si="27"/>
        <v/>
      </c>
      <c r="M83" s="19" t="str">
        <f t="shared" si="28"/>
        <v/>
      </c>
      <c r="N83" s="19" t="str">
        <f t="shared" si="29"/>
        <v/>
      </c>
      <c r="O83" s="31" t="str">
        <f t="shared" si="30"/>
        <v/>
      </c>
      <c r="P83" s="19" t="str">
        <f>IFERROR(VLOOKUP($F83,#REF!,21,0), ".")</f>
        <v>.</v>
      </c>
      <c r="Q83" s="7" t="str">
        <f>IFERROR(VLOOKUP($F83,#REF!,8,0), ".")</f>
        <v>.</v>
      </c>
      <c r="R83" s="7" t="str">
        <f>IFERROR(VLOOKUP($F83,#REF!,20,0), ".")</f>
        <v>.</v>
      </c>
    </row>
    <row r="84" spans="1:18" x14ac:dyDescent="0.25">
      <c r="A84" s="12"/>
      <c r="B84" s="12"/>
      <c r="C84" s="12"/>
      <c r="D84" s="12"/>
      <c r="E84" s="7" t="str">
        <f>IFERROR(VLOOKUP($F84,#REF!,16,0), ".")</f>
        <v>.</v>
      </c>
      <c r="F84" s="25" t="s">
        <v>127</v>
      </c>
      <c r="G84" s="7" t="str">
        <f>IFERROR(VLOOKUP($F84,#REF!,3,0), ".")</f>
        <v>.</v>
      </c>
      <c r="H84" s="26" t="str">
        <f>IFERROR(VLOOKUP($F84,#REF!,17,0), ".")</f>
        <v>.</v>
      </c>
      <c r="I84" s="7" t="str">
        <f>IFERROR(VLOOKUP($F84,#REF!,12,0), ".")</f>
        <v>.</v>
      </c>
      <c r="J84" s="7" t="str">
        <f>IFERROR(VLOOKUP($F84,#REF!,6,0), ".")</f>
        <v>.</v>
      </c>
      <c r="K84" s="19" t="str">
        <f t="shared" si="26"/>
        <v/>
      </c>
      <c r="L84" s="19" t="str">
        <f t="shared" si="27"/>
        <v/>
      </c>
      <c r="M84" s="19" t="str">
        <f t="shared" si="28"/>
        <v/>
      </c>
      <c r="N84" s="19" t="str">
        <f t="shared" si="29"/>
        <v/>
      </c>
      <c r="O84" s="31" t="str">
        <f t="shared" si="30"/>
        <v/>
      </c>
      <c r="P84" s="19" t="str">
        <f>IFERROR(VLOOKUP($F84,#REF!,21,0), ".")</f>
        <v>.</v>
      </c>
      <c r="Q84" s="7" t="str">
        <f>IFERROR(VLOOKUP($F84,#REF!,8,0), ".")</f>
        <v>.</v>
      </c>
      <c r="R84" s="7" t="str">
        <f>IFERROR(VLOOKUP($F84,#REF!,20,0), ".")</f>
        <v>.</v>
      </c>
    </row>
    <row r="85" spans="1:18" x14ac:dyDescent="0.25">
      <c r="A85" s="12"/>
      <c r="B85" s="12"/>
      <c r="C85" s="12"/>
      <c r="D85" s="12"/>
      <c r="E85" s="7" t="str">
        <f>IFERROR(VLOOKUP($F85,#REF!,16,0), ".")</f>
        <v>.</v>
      </c>
      <c r="F85" s="25" t="s">
        <v>128</v>
      </c>
      <c r="G85" s="7" t="str">
        <f>IFERROR(VLOOKUP($F85,#REF!,3,0), ".")</f>
        <v>.</v>
      </c>
      <c r="H85" s="26" t="str">
        <f>IFERROR(VLOOKUP($F85,#REF!,17,0), ".")</f>
        <v>.</v>
      </c>
      <c r="I85" s="7" t="str">
        <f>IFERROR(VLOOKUP($F85,#REF!,12,0), ".")</f>
        <v>.</v>
      </c>
      <c r="J85" s="7" t="str">
        <f>IFERROR(VLOOKUP($F85,#REF!,6,0), ".")</f>
        <v>.</v>
      </c>
      <c r="K85" s="19" t="str">
        <f t="shared" si="26"/>
        <v/>
      </c>
      <c r="L85" s="19" t="str">
        <f t="shared" si="27"/>
        <v/>
      </c>
      <c r="M85" s="19" t="str">
        <f t="shared" si="28"/>
        <v/>
      </c>
      <c r="N85" s="19" t="str">
        <f t="shared" si="29"/>
        <v/>
      </c>
      <c r="O85" s="31" t="str">
        <f t="shared" si="30"/>
        <v/>
      </c>
      <c r="P85" s="19" t="str">
        <f>IFERROR(VLOOKUP($F85,#REF!,21,0), ".")</f>
        <v>.</v>
      </c>
      <c r="Q85" s="7" t="str">
        <f>IFERROR(VLOOKUP($F85,#REF!,8,0), ".")</f>
        <v>.</v>
      </c>
      <c r="R85" s="7" t="str">
        <f>IFERROR(VLOOKUP($F85,#REF!,20,0), ".")</f>
        <v>.</v>
      </c>
    </row>
    <row r="86" spans="1:18" x14ac:dyDescent="0.25">
      <c r="A86" s="12"/>
      <c r="B86" s="12"/>
      <c r="C86" s="12"/>
      <c r="D86" s="12"/>
      <c r="E86" s="7" t="str">
        <f>IFERROR(VLOOKUP($F86,#REF!,16,0), ".")</f>
        <v>.</v>
      </c>
      <c r="F86" s="25" t="s">
        <v>129</v>
      </c>
      <c r="G86" s="7" t="str">
        <f>IFERROR(VLOOKUP($F86,#REF!,3,0), ".")</f>
        <v>.</v>
      </c>
      <c r="H86" s="26" t="str">
        <f>IFERROR(VLOOKUP($F86,#REF!,17,0), ".")</f>
        <v>.</v>
      </c>
      <c r="I86" s="7" t="str">
        <f>IFERROR(VLOOKUP($F86,#REF!,12,0), ".")</f>
        <v>.</v>
      </c>
      <c r="J86" s="7" t="str">
        <f>IFERROR(VLOOKUP($F86,#REF!,6,0), ".")</f>
        <v>.</v>
      </c>
      <c r="K86" s="19" t="str">
        <f t="shared" si="26"/>
        <v/>
      </c>
      <c r="L86" s="19" t="str">
        <f t="shared" si="27"/>
        <v/>
      </c>
      <c r="M86" s="19" t="str">
        <f t="shared" si="28"/>
        <v/>
      </c>
      <c r="N86" s="19" t="str">
        <f t="shared" si="29"/>
        <v/>
      </c>
      <c r="O86" s="31" t="str">
        <f t="shared" ref="O86" si="31">IF(SUM(K86:N86)=0, "", SUM(K86:N86))</f>
        <v/>
      </c>
      <c r="P86" s="19" t="str">
        <f>IFERROR(VLOOKUP($F86,#REF!,21,0), ".")</f>
        <v>.</v>
      </c>
      <c r="Q86" s="7" t="str">
        <f>IFERROR(VLOOKUP($F86,#REF!,8,0), ".")</f>
        <v>.</v>
      </c>
      <c r="R86" s="7" t="str">
        <f>IFERROR(VLOOKUP($F86,#REF!,20,0), ".")</f>
        <v>.</v>
      </c>
    </row>
    <row r="87" spans="1:18" x14ac:dyDescent="0.25">
      <c r="A87" s="12"/>
      <c r="B87" s="12"/>
      <c r="C87" s="12"/>
      <c r="D87" s="12"/>
      <c r="E87" s="7" t="str">
        <f>IFERROR(VLOOKUP($F87,#REF!,16,0), ".")</f>
        <v>.</v>
      </c>
      <c r="F87" s="25" t="s">
        <v>98</v>
      </c>
      <c r="G87" s="7" t="str">
        <f>IFERROR(VLOOKUP($F87,#REF!,3,0), ".")</f>
        <v>.</v>
      </c>
      <c r="H87" s="26" t="str">
        <f>IFERROR(VLOOKUP($F87,#REF!,17,0), ".")</f>
        <v>.</v>
      </c>
      <c r="I87" s="7" t="str">
        <f>IFERROR(VLOOKUP($F87,#REF!,12,0), ".")</f>
        <v>.</v>
      </c>
      <c r="J87" s="7" t="str">
        <f>IFERROR(VLOOKUP($F87,#REF!,6,0), ".")</f>
        <v>.</v>
      </c>
      <c r="K87" s="19" t="str">
        <f t="shared" si="26"/>
        <v/>
      </c>
      <c r="L87" s="19" t="str">
        <f t="shared" si="27"/>
        <v/>
      </c>
      <c r="M87" s="19" t="str">
        <f t="shared" si="28"/>
        <v/>
      </c>
      <c r="N87" s="19" t="str">
        <f t="shared" si="29"/>
        <v/>
      </c>
      <c r="O87" s="31" t="str">
        <f t="shared" ref="O87" si="32">IF(SUM(K87:N87)=0, "", SUM(K87:N87))</f>
        <v/>
      </c>
      <c r="P87" s="19" t="str">
        <f>IFERROR(VLOOKUP($F87,#REF!,21,0), ".")</f>
        <v>.</v>
      </c>
      <c r="Q87" s="7" t="str">
        <f>IFERROR(VLOOKUP($F87,#REF!,8,0), ".")</f>
        <v>.</v>
      </c>
      <c r="R87" s="7" t="str">
        <f>IFERROR(VLOOKUP($F87,#REF!,20,0), ".")</f>
        <v>.</v>
      </c>
    </row>
    <row r="88" spans="1:18" x14ac:dyDescent="0.25">
      <c r="A88" s="12"/>
      <c r="B88" s="12"/>
      <c r="C88" s="12"/>
      <c r="D88" s="12"/>
      <c r="E88" s="7" t="str">
        <f>IFERROR(VLOOKUP($F88,#REF!,16,0), ".")</f>
        <v>.</v>
      </c>
      <c r="F88" s="25" t="s">
        <v>130</v>
      </c>
      <c r="G88" s="7" t="str">
        <f>IFERROR(VLOOKUP($F88,#REF!,3,0), ".")</f>
        <v>.</v>
      </c>
      <c r="H88" s="26" t="str">
        <f>IFERROR(VLOOKUP($F88,#REF!,17,0), ".")</f>
        <v>.</v>
      </c>
      <c r="I88" s="7" t="str">
        <f>IFERROR(VLOOKUP($F88,#REF!,12,0), ".")</f>
        <v>.</v>
      </c>
      <c r="J88" s="7" t="str">
        <f>IFERROR(VLOOKUP($F88,#REF!,6,0), ".")</f>
        <v>.</v>
      </c>
      <c r="K88" s="19" t="str">
        <f t="shared" si="26"/>
        <v/>
      </c>
      <c r="L88" s="19" t="str">
        <f t="shared" si="27"/>
        <v/>
      </c>
      <c r="M88" s="19" t="str">
        <f t="shared" si="28"/>
        <v/>
      </c>
      <c r="N88" s="19" t="str">
        <f t="shared" si="29"/>
        <v/>
      </c>
      <c r="O88" s="31" t="str">
        <f t="shared" ref="O88" si="33">IF(SUM(K88:N88)=0, "", SUM(K88:N88))</f>
        <v/>
      </c>
      <c r="P88" s="19" t="str">
        <f>IFERROR(VLOOKUP($F88,#REF!,21,0), ".")</f>
        <v>.</v>
      </c>
      <c r="Q88" s="7" t="str">
        <f>IFERROR(VLOOKUP($F88,#REF!,8,0), ".")</f>
        <v>.</v>
      </c>
      <c r="R88" s="7" t="str">
        <f>IFERROR(VLOOKUP($F88,#REF!,20,0), ".")</f>
        <v>.</v>
      </c>
    </row>
    <row r="89" spans="1:18" x14ac:dyDescent="0.25">
      <c r="A89" s="12"/>
      <c r="B89" s="12"/>
      <c r="C89" s="12"/>
      <c r="D89" s="12"/>
      <c r="E89" s="7" t="str">
        <f>IFERROR(VLOOKUP($F89,#REF!,16,0), ".")</f>
        <v>.</v>
      </c>
      <c r="F89" s="25" t="s">
        <v>131</v>
      </c>
      <c r="G89" s="7" t="str">
        <f>IFERROR(VLOOKUP($F89,#REF!,3,0), ".")</f>
        <v>.</v>
      </c>
      <c r="H89" s="26" t="str">
        <f>IFERROR(VLOOKUP($F89,#REF!,17,0), ".")</f>
        <v>.</v>
      </c>
      <c r="I89" s="7" t="str">
        <f>IFERROR(VLOOKUP($F89,#REF!,12,0), ".")</f>
        <v>.</v>
      </c>
      <c r="J89" s="7" t="str">
        <f>IFERROR(VLOOKUP($F89,#REF!,6,0), ".")</f>
        <v>.</v>
      </c>
      <c r="K89" s="19" t="str">
        <f t="shared" si="26"/>
        <v/>
      </c>
      <c r="L89" s="19" t="str">
        <f t="shared" si="27"/>
        <v/>
      </c>
      <c r="M89" s="19" t="str">
        <f t="shared" si="28"/>
        <v/>
      </c>
      <c r="N89" s="19" t="str">
        <f t="shared" si="29"/>
        <v/>
      </c>
      <c r="O89" s="31" t="str">
        <f t="shared" ref="O89:O100" si="34">IF(SUM(K89:N89)=0, "", SUM(K89:N89))</f>
        <v/>
      </c>
      <c r="P89" s="19" t="str">
        <f>IFERROR(VLOOKUP($F89,#REF!,21,0), ".")</f>
        <v>.</v>
      </c>
      <c r="Q89" s="7" t="str">
        <f>IFERROR(VLOOKUP($F89,#REF!,8,0), ".")</f>
        <v>.</v>
      </c>
      <c r="R89" s="7" t="str">
        <f>IFERROR(VLOOKUP($F89,#REF!,20,0), ".")</f>
        <v>.</v>
      </c>
    </row>
    <row r="90" spans="1:18" x14ac:dyDescent="0.25">
      <c r="A90" s="12"/>
      <c r="B90" s="12"/>
      <c r="C90" s="12"/>
      <c r="D90" s="12"/>
      <c r="E90" s="7" t="str">
        <f>IFERROR(VLOOKUP($F90,#REF!,16,0), ".")</f>
        <v>.</v>
      </c>
      <c r="F90" s="25" t="s">
        <v>99</v>
      </c>
      <c r="G90" s="7" t="str">
        <f>IFERROR(VLOOKUP($F90,#REF!,3,0), ".")</f>
        <v>.</v>
      </c>
      <c r="H90" s="26" t="str">
        <f>IFERROR(VLOOKUP($F90,#REF!,17,0), ".")</f>
        <v>.</v>
      </c>
      <c r="I90" s="7" t="str">
        <f>IFERROR(VLOOKUP($F90,#REF!,12,0), ".")</f>
        <v>.</v>
      </c>
      <c r="J90" s="7" t="str">
        <f>IFERROR(VLOOKUP($F90,#REF!,6,0), ".")</f>
        <v>.</v>
      </c>
      <c r="K90" s="19" t="str">
        <f t="shared" si="26"/>
        <v/>
      </c>
      <c r="L90" s="19" t="str">
        <f t="shared" si="27"/>
        <v/>
      </c>
      <c r="M90" s="19" t="str">
        <f t="shared" si="28"/>
        <v/>
      </c>
      <c r="N90" s="19" t="str">
        <f t="shared" si="29"/>
        <v/>
      </c>
      <c r="O90" s="31" t="str">
        <f t="shared" si="34"/>
        <v/>
      </c>
      <c r="P90" s="19" t="str">
        <f>IFERROR(VLOOKUP($F90,#REF!,21,0), ".")</f>
        <v>.</v>
      </c>
      <c r="Q90" s="7" t="str">
        <f>IFERROR(VLOOKUP($F90,#REF!,8,0), ".")</f>
        <v>.</v>
      </c>
      <c r="R90" s="7" t="str">
        <f>IFERROR(VLOOKUP($F90,#REF!,20,0), ".")</f>
        <v>.</v>
      </c>
    </row>
    <row r="91" spans="1:18" x14ac:dyDescent="0.25">
      <c r="A91" s="12"/>
      <c r="B91" s="12"/>
      <c r="C91" s="12"/>
      <c r="D91" s="12"/>
      <c r="E91" s="7" t="str">
        <f>IFERROR(VLOOKUP($F91,#REF!,16,0), ".")</f>
        <v>.</v>
      </c>
      <c r="F91" s="25" t="s">
        <v>100</v>
      </c>
      <c r="G91" s="7" t="str">
        <f>IFERROR(VLOOKUP($F91,#REF!,3,0), ".")</f>
        <v>.</v>
      </c>
      <c r="H91" s="26" t="str">
        <f>IFERROR(VLOOKUP($F91,#REF!,17,0), ".")</f>
        <v>.</v>
      </c>
      <c r="I91" s="7" t="str">
        <f>IFERROR(VLOOKUP($F91,#REF!,12,0), ".")</f>
        <v>.</v>
      </c>
      <c r="J91" s="7" t="str">
        <f>IFERROR(VLOOKUP($F91,#REF!,6,0), ".")</f>
        <v>.</v>
      </c>
      <c r="K91" s="19" t="str">
        <f t="shared" si="26"/>
        <v/>
      </c>
      <c r="L91" s="19" t="str">
        <f t="shared" si="27"/>
        <v/>
      </c>
      <c r="M91" s="19" t="str">
        <f t="shared" si="28"/>
        <v/>
      </c>
      <c r="N91" s="19" t="str">
        <f t="shared" si="29"/>
        <v/>
      </c>
      <c r="O91" s="31" t="str">
        <f t="shared" si="34"/>
        <v/>
      </c>
      <c r="P91" s="19" t="str">
        <f>IFERROR(VLOOKUP($F91,#REF!,21,0), ".")</f>
        <v>.</v>
      </c>
      <c r="Q91" s="7" t="str">
        <f>IFERROR(VLOOKUP($F91,#REF!,8,0), ".")</f>
        <v>.</v>
      </c>
      <c r="R91" s="7" t="str">
        <f>IFERROR(VLOOKUP($F91,#REF!,20,0), ".")</f>
        <v>.</v>
      </c>
    </row>
    <row r="92" spans="1:18" x14ac:dyDescent="0.25">
      <c r="A92" s="12"/>
      <c r="B92" s="12"/>
      <c r="C92" s="12"/>
      <c r="D92" s="12"/>
      <c r="E92" s="7" t="str">
        <f>IFERROR(VLOOKUP($F92,#REF!,16,0), ".")</f>
        <v>.</v>
      </c>
      <c r="F92" s="25" t="s">
        <v>101</v>
      </c>
      <c r="G92" s="7" t="str">
        <f>IFERROR(VLOOKUP($F92,#REF!,3,0), ".")</f>
        <v>.</v>
      </c>
      <c r="H92" s="26" t="str">
        <f>IFERROR(VLOOKUP($F92,#REF!,17,0), ".")</f>
        <v>.</v>
      </c>
      <c r="I92" s="7" t="str">
        <f>IFERROR(VLOOKUP($F92,#REF!,12,0), ".")</f>
        <v>.</v>
      </c>
      <c r="J92" s="7" t="str">
        <f>IFERROR(VLOOKUP($F92,#REF!,6,0), ".")</f>
        <v>.</v>
      </c>
      <c r="K92" s="19" t="str">
        <f t="shared" si="26"/>
        <v/>
      </c>
      <c r="L92" s="19" t="str">
        <f t="shared" si="27"/>
        <v/>
      </c>
      <c r="M92" s="19" t="str">
        <f t="shared" si="28"/>
        <v/>
      </c>
      <c r="N92" s="19" t="str">
        <f t="shared" si="29"/>
        <v/>
      </c>
      <c r="O92" s="31" t="str">
        <f t="shared" si="34"/>
        <v/>
      </c>
      <c r="P92" s="19" t="str">
        <f>IFERROR(VLOOKUP($F92,#REF!,21,0), ".")</f>
        <v>.</v>
      </c>
      <c r="Q92" s="7" t="str">
        <f>IFERROR(VLOOKUP($F92,#REF!,8,0), ".")</f>
        <v>.</v>
      </c>
      <c r="R92" s="7" t="str">
        <f>IFERROR(VLOOKUP($F92,#REF!,20,0), ".")</f>
        <v>.</v>
      </c>
    </row>
    <row r="93" spans="1:18" x14ac:dyDescent="0.25">
      <c r="A93" s="12"/>
      <c r="B93" s="12"/>
      <c r="C93" s="12"/>
      <c r="D93" s="12"/>
      <c r="E93" s="7" t="str">
        <f>IFERROR(VLOOKUP($F93,#REF!,16,0), ".")</f>
        <v>.</v>
      </c>
      <c r="F93" s="25" t="s">
        <v>132</v>
      </c>
      <c r="G93" s="7" t="str">
        <f>IFERROR(VLOOKUP($F93,#REF!,3,0), ".")</f>
        <v>.</v>
      </c>
      <c r="H93" s="26" t="str">
        <f>IFERROR(VLOOKUP($F93,#REF!,17,0), ".")</f>
        <v>.</v>
      </c>
      <c r="I93" s="7" t="str">
        <f>IFERROR(VLOOKUP($F93,#REF!,12,0), ".")</f>
        <v>.</v>
      </c>
      <c r="J93" s="7" t="str">
        <f>IFERROR(VLOOKUP($F93,#REF!,6,0), ".")</f>
        <v>.</v>
      </c>
      <c r="K93" s="19" t="str">
        <f t="shared" si="26"/>
        <v/>
      </c>
      <c r="L93" s="19" t="str">
        <f t="shared" si="27"/>
        <v/>
      </c>
      <c r="M93" s="19" t="str">
        <f t="shared" si="28"/>
        <v/>
      </c>
      <c r="N93" s="19" t="str">
        <f t="shared" si="29"/>
        <v/>
      </c>
      <c r="O93" s="31" t="str">
        <f t="shared" si="34"/>
        <v/>
      </c>
      <c r="P93" s="19" t="str">
        <f>IFERROR(VLOOKUP($F93,#REF!,21,0), ".")</f>
        <v>.</v>
      </c>
      <c r="Q93" s="7" t="str">
        <f>IFERROR(VLOOKUP($F93,#REF!,8,0), ".")</f>
        <v>.</v>
      </c>
      <c r="R93" s="7" t="str">
        <f>IFERROR(VLOOKUP($F93,#REF!,20,0), ".")</f>
        <v>.</v>
      </c>
    </row>
    <row r="94" spans="1:18" x14ac:dyDescent="0.25">
      <c r="A94" s="12"/>
      <c r="B94" s="12"/>
      <c r="C94" s="12"/>
      <c r="D94" s="12"/>
      <c r="E94" s="7" t="str">
        <f>IFERROR(VLOOKUP($F94,#REF!,16,0), ".")</f>
        <v>.</v>
      </c>
      <c r="F94" s="25" t="s">
        <v>102</v>
      </c>
      <c r="G94" s="7" t="str">
        <f>IFERROR(VLOOKUP($F94,#REF!,3,0), ".")</f>
        <v>.</v>
      </c>
      <c r="H94" s="26" t="str">
        <f>IFERROR(VLOOKUP($F94,#REF!,17,0), ".")</f>
        <v>.</v>
      </c>
      <c r="I94" s="7" t="str">
        <f>IFERROR(VLOOKUP($F94,#REF!,12,0), ".")</f>
        <v>.</v>
      </c>
      <c r="J94" s="7" t="str">
        <f>IFERROR(VLOOKUP($F94,#REF!,6,0), ".")</f>
        <v>.</v>
      </c>
      <c r="K94" s="19" t="str">
        <f t="shared" si="26"/>
        <v/>
      </c>
      <c r="L94" s="19" t="str">
        <f t="shared" si="27"/>
        <v/>
      </c>
      <c r="M94" s="19" t="str">
        <f t="shared" si="28"/>
        <v/>
      </c>
      <c r="N94" s="19" t="str">
        <f t="shared" si="29"/>
        <v/>
      </c>
      <c r="O94" s="31" t="str">
        <f t="shared" si="34"/>
        <v/>
      </c>
      <c r="P94" s="19" t="str">
        <f>IFERROR(VLOOKUP($F94,#REF!,21,0), ".")</f>
        <v>.</v>
      </c>
      <c r="Q94" s="7" t="str">
        <f>IFERROR(VLOOKUP($F94,#REF!,8,0), ".")</f>
        <v>.</v>
      </c>
      <c r="R94" s="7" t="str">
        <f>IFERROR(VLOOKUP($F94,#REF!,20,0), ".")</f>
        <v>.</v>
      </c>
    </row>
    <row r="95" spans="1:18" x14ac:dyDescent="0.25">
      <c r="A95" s="12"/>
      <c r="B95" s="12"/>
      <c r="C95" s="12"/>
      <c r="D95" s="12"/>
      <c r="E95" s="7" t="str">
        <f>IFERROR(VLOOKUP($F95,#REF!,16,0), ".")</f>
        <v>.</v>
      </c>
      <c r="F95" s="25" t="s">
        <v>103</v>
      </c>
      <c r="G95" s="7" t="str">
        <f>IFERROR(VLOOKUP($F95,#REF!,3,0), ".")</f>
        <v>.</v>
      </c>
      <c r="H95" s="26" t="str">
        <f>IFERROR(VLOOKUP($F95,#REF!,17,0), ".")</f>
        <v>.</v>
      </c>
      <c r="I95" s="7" t="str">
        <f>IFERROR(VLOOKUP($F95,#REF!,12,0), ".")</f>
        <v>.</v>
      </c>
      <c r="J95" s="7" t="str">
        <f>IFERROR(VLOOKUP($F95,#REF!,6,0), ".")</f>
        <v>.</v>
      </c>
      <c r="K95" s="19" t="str">
        <f t="shared" si="26"/>
        <v/>
      </c>
      <c r="L95" s="19" t="str">
        <f t="shared" si="27"/>
        <v/>
      </c>
      <c r="M95" s="19" t="str">
        <f t="shared" si="28"/>
        <v/>
      </c>
      <c r="N95" s="19" t="str">
        <f t="shared" si="29"/>
        <v/>
      </c>
      <c r="O95" s="31" t="str">
        <f t="shared" si="34"/>
        <v/>
      </c>
      <c r="P95" s="19" t="str">
        <f>IFERROR(VLOOKUP($F95,#REF!,21,0), ".")</f>
        <v>.</v>
      </c>
      <c r="Q95" s="7" t="str">
        <f>IFERROR(VLOOKUP($F95,#REF!,8,0), ".")</f>
        <v>.</v>
      </c>
      <c r="R95" s="7" t="str">
        <f>IFERROR(VLOOKUP($F95,#REF!,20,0), ".")</f>
        <v>.</v>
      </c>
    </row>
    <row r="96" spans="1:18" x14ac:dyDescent="0.25">
      <c r="A96" s="12"/>
      <c r="B96" s="12"/>
      <c r="C96" s="12"/>
      <c r="D96" s="12"/>
      <c r="E96" s="7" t="str">
        <f>IFERROR(VLOOKUP($F96,#REF!,16,0), ".")</f>
        <v>.</v>
      </c>
      <c r="F96" s="25" t="s">
        <v>104</v>
      </c>
      <c r="G96" s="7" t="str">
        <f>IFERROR(VLOOKUP($F96,#REF!,3,0), ".")</f>
        <v>.</v>
      </c>
      <c r="H96" s="26" t="str">
        <f>IFERROR(VLOOKUP($F96,#REF!,17,0), ".")</f>
        <v>.</v>
      </c>
      <c r="I96" s="7" t="str">
        <f>IFERROR(VLOOKUP($F96,#REF!,12,0), ".")</f>
        <v>.</v>
      </c>
      <c r="J96" s="7" t="str">
        <f>IFERROR(VLOOKUP($F96,#REF!,6,0), ".")</f>
        <v>.</v>
      </c>
      <c r="K96" s="19" t="str">
        <f t="shared" si="26"/>
        <v/>
      </c>
      <c r="L96" s="19" t="str">
        <f t="shared" si="27"/>
        <v/>
      </c>
      <c r="M96" s="19" t="str">
        <f t="shared" si="28"/>
        <v/>
      </c>
      <c r="N96" s="19" t="str">
        <f t="shared" si="29"/>
        <v/>
      </c>
      <c r="O96" s="31" t="str">
        <f t="shared" si="34"/>
        <v/>
      </c>
      <c r="P96" s="19" t="str">
        <f>IFERROR(VLOOKUP($F96,#REF!,21,0), ".")</f>
        <v>.</v>
      </c>
      <c r="Q96" s="7" t="str">
        <f>IFERROR(VLOOKUP($F96,#REF!,8,0), ".")</f>
        <v>.</v>
      </c>
      <c r="R96" s="7" t="str">
        <f>IFERROR(VLOOKUP($F96,#REF!,20,0), ".")</f>
        <v>.</v>
      </c>
    </row>
    <row r="97" spans="1:18" x14ac:dyDescent="0.25">
      <c r="A97" s="12"/>
      <c r="B97" s="12"/>
      <c r="C97" s="12"/>
      <c r="D97" s="12"/>
      <c r="E97" s="7" t="str">
        <f>IFERROR(VLOOKUP($F97,#REF!,16,0), ".")</f>
        <v>.</v>
      </c>
      <c r="F97" s="25" t="s">
        <v>105</v>
      </c>
      <c r="G97" s="7" t="str">
        <f>IFERROR(VLOOKUP($F97,#REF!,3,0), ".")</f>
        <v>.</v>
      </c>
      <c r="H97" s="26" t="str">
        <f>IFERROR(VLOOKUP($F97,#REF!,17,0), ".")</f>
        <v>.</v>
      </c>
      <c r="I97" s="7" t="str">
        <f>IFERROR(VLOOKUP($F97,#REF!,12,0), ".")</f>
        <v>.</v>
      </c>
      <c r="J97" s="7" t="str">
        <f>IFERROR(VLOOKUP($F97,#REF!,6,0), ".")</f>
        <v>.</v>
      </c>
      <c r="K97" s="19" t="str">
        <f t="shared" si="26"/>
        <v/>
      </c>
      <c r="L97" s="19" t="str">
        <f t="shared" si="27"/>
        <v/>
      </c>
      <c r="M97" s="19" t="str">
        <f t="shared" si="28"/>
        <v/>
      </c>
      <c r="N97" s="19" t="str">
        <f t="shared" si="29"/>
        <v/>
      </c>
      <c r="O97" s="31" t="str">
        <f t="shared" si="34"/>
        <v/>
      </c>
      <c r="P97" s="19" t="str">
        <f>IFERROR(VLOOKUP($F97,#REF!,21,0), ".")</f>
        <v>.</v>
      </c>
      <c r="Q97" s="7" t="str">
        <f>IFERROR(VLOOKUP($F97,#REF!,8,0), ".")</f>
        <v>.</v>
      </c>
      <c r="R97" s="7" t="str">
        <f>IFERROR(VLOOKUP($F97,#REF!,20,0), ".")</f>
        <v>.</v>
      </c>
    </row>
    <row r="98" spans="1:18" x14ac:dyDescent="0.25">
      <c r="A98" s="12"/>
      <c r="B98" s="12"/>
      <c r="C98" s="12"/>
      <c r="D98" s="12"/>
      <c r="E98" s="7" t="str">
        <f>IFERROR(VLOOKUP($F98,#REF!,16,0), ".")</f>
        <v>.</v>
      </c>
      <c r="F98" s="25" t="s">
        <v>106</v>
      </c>
      <c r="G98" s="7" t="str">
        <f>IFERROR(VLOOKUP($F98,#REF!,3,0), ".")</f>
        <v>.</v>
      </c>
      <c r="H98" s="26" t="str">
        <f>IFERROR(VLOOKUP($F98,#REF!,17,0), ".")</f>
        <v>.</v>
      </c>
      <c r="I98" s="7" t="str">
        <f>IFERROR(VLOOKUP($F98,#REF!,12,0), ".")</f>
        <v>.</v>
      </c>
      <c r="J98" s="7" t="str">
        <f>IFERROR(VLOOKUP($F98,#REF!,6,0), ".")</f>
        <v>.</v>
      </c>
      <c r="K98" s="19" t="str">
        <f t="shared" si="26"/>
        <v/>
      </c>
      <c r="L98" s="19" t="str">
        <f t="shared" si="27"/>
        <v/>
      </c>
      <c r="M98" s="19" t="str">
        <f t="shared" si="28"/>
        <v/>
      </c>
      <c r="N98" s="19" t="str">
        <f t="shared" si="29"/>
        <v/>
      </c>
      <c r="O98" s="31" t="str">
        <f t="shared" si="34"/>
        <v/>
      </c>
      <c r="P98" s="19" t="str">
        <f>IFERROR(VLOOKUP($F98,#REF!,21,0), ".")</f>
        <v>.</v>
      </c>
      <c r="Q98" s="7" t="str">
        <f>IFERROR(VLOOKUP($F98,#REF!,8,0), ".")</f>
        <v>.</v>
      </c>
      <c r="R98" s="7" t="str">
        <f>IFERROR(VLOOKUP($F98,#REF!,20,0), ".")</f>
        <v>.</v>
      </c>
    </row>
    <row r="99" spans="1:18" x14ac:dyDescent="0.25">
      <c r="A99" s="12"/>
      <c r="B99" s="12"/>
      <c r="C99" s="12"/>
      <c r="D99" s="12"/>
      <c r="E99" s="7" t="str">
        <f>IFERROR(VLOOKUP($F99,#REF!,16,0), ".")</f>
        <v>.</v>
      </c>
      <c r="F99" s="25" t="s">
        <v>133</v>
      </c>
      <c r="G99" s="7" t="str">
        <f>IFERROR(VLOOKUP($F99,#REF!,3,0), ".")</f>
        <v>.</v>
      </c>
      <c r="H99" s="26" t="str">
        <f>IFERROR(VLOOKUP($F99,#REF!,17,0), ".")</f>
        <v>.</v>
      </c>
      <c r="I99" s="7" t="str">
        <f>IFERROR(VLOOKUP($F99,#REF!,12,0), ".")</f>
        <v>.</v>
      </c>
      <c r="J99" s="7" t="str">
        <f>IFERROR(VLOOKUP($F99,#REF!,6,0), ".")</f>
        <v>.</v>
      </c>
      <c r="K99" s="19" t="str">
        <f t="shared" si="26"/>
        <v/>
      </c>
      <c r="L99" s="19" t="str">
        <f t="shared" si="27"/>
        <v/>
      </c>
      <c r="M99" s="19" t="str">
        <f t="shared" si="28"/>
        <v/>
      </c>
      <c r="N99" s="19" t="str">
        <f t="shared" si="29"/>
        <v/>
      </c>
      <c r="O99" s="31" t="str">
        <f t="shared" si="34"/>
        <v/>
      </c>
      <c r="P99" s="19" t="str">
        <f>IFERROR(VLOOKUP($F99,#REF!,21,0), ".")</f>
        <v>.</v>
      </c>
      <c r="Q99" s="7" t="str">
        <f>IFERROR(VLOOKUP($F99,#REF!,8,0), ".")</f>
        <v>.</v>
      </c>
      <c r="R99" s="7" t="str">
        <f>IFERROR(VLOOKUP($F99,#REF!,20,0), ".")</f>
        <v>.</v>
      </c>
    </row>
    <row r="100" spans="1:18" x14ac:dyDescent="0.25">
      <c r="A100" s="12"/>
      <c r="B100" s="12"/>
      <c r="C100" s="12"/>
      <c r="D100" s="12"/>
      <c r="E100" s="7" t="str">
        <f>IFERROR(VLOOKUP($F100,#REF!,16,0), ".")</f>
        <v>.</v>
      </c>
      <c r="F100" s="25" t="s">
        <v>107</v>
      </c>
      <c r="G100" s="7" t="str">
        <f>IFERROR(VLOOKUP($F100,#REF!,3,0), ".")</f>
        <v>.</v>
      </c>
      <c r="H100" s="26" t="str">
        <f>IFERROR(VLOOKUP($F100,#REF!,17,0), ".")</f>
        <v>.</v>
      </c>
      <c r="I100" s="7" t="str">
        <f>IFERROR(VLOOKUP($F100,#REF!,12,0), ".")</f>
        <v>.</v>
      </c>
      <c r="J100" s="7" t="str">
        <f>IFERROR(VLOOKUP($F100,#REF!,6,0), ".")</f>
        <v>.</v>
      </c>
      <c r="K100" s="19" t="str">
        <f t="shared" si="26"/>
        <v/>
      </c>
      <c r="L100" s="19" t="str">
        <f t="shared" si="27"/>
        <v/>
      </c>
      <c r="M100" s="19" t="str">
        <f t="shared" si="28"/>
        <v/>
      </c>
      <c r="N100" s="19" t="str">
        <f t="shared" si="29"/>
        <v/>
      </c>
      <c r="O100" s="31" t="str">
        <f t="shared" si="34"/>
        <v/>
      </c>
      <c r="P100" s="19" t="str">
        <f>IFERROR(VLOOKUP($F100,#REF!,21,0), ".")</f>
        <v>.</v>
      </c>
      <c r="Q100" s="7" t="str">
        <f>IFERROR(VLOOKUP($F100,#REF!,8,0), ".")</f>
        <v>.</v>
      </c>
      <c r="R100" s="7" t="str">
        <f>IFERROR(VLOOKUP($F100,#REF!,20,0), ".")</f>
        <v>.</v>
      </c>
    </row>
    <row r="101" spans="1:18" x14ac:dyDescent="0.25">
      <c r="A101" s="47"/>
      <c r="B101" s="47"/>
      <c r="C101" s="47"/>
      <c r="D101" s="47"/>
      <c r="E101" s="47"/>
      <c r="F101" s="47"/>
      <c r="G101" s="47"/>
      <c r="H101" s="47"/>
      <c r="I101" s="47"/>
      <c r="J101" s="47"/>
      <c r="K101" s="47"/>
      <c r="L101" s="47"/>
      <c r="M101" s="47"/>
      <c r="N101" s="47"/>
      <c r="O101" s="47"/>
      <c r="P101" s="47"/>
      <c r="Q101" s="47"/>
      <c r="R101" s="47"/>
    </row>
  </sheetData>
  <autoFilter ref="A3:W87" xr:uid="{1FC2ABEF-EAB5-4FD3-9B2E-C47AE4E1DED1}"/>
  <mergeCells count="1">
    <mergeCell ref="D1:R1"/>
  </mergeCells>
  <phoneticPr fontId="15" type="noConversion"/>
  <conditionalFormatting sqref="I4:I100">
    <cfRule type="cellIs" dxfId="130" priority="2" operator="equal">
      <formula>"Uitloop"</formula>
    </cfRule>
    <cfRule type="cellIs" dxfId="129" priority="3" operator="equal">
      <formula>"Vervallen"</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4">
    <tabColor theme="9" tint="-0.499984740745262"/>
  </sheetPr>
  <dimension ref="A1:F823"/>
  <sheetViews>
    <sheetView workbookViewId="0">
      <pane xSplit="2" ySplit="1" topLeftCell="C2" activePane="bottomRight" state="frozen"/>
      <selection pane="topRight" activeCell="C1" sqref="C1"/>
      <selection pane="bottomLeft" activeCell="A2" sqref="A2"/>
      <selection pane="bottomRight" activeCell="E1" sqref="E1:I1048576"/>
    </sheetView>
  </sheetViews>
  <sheetFormatPr defaultRowHeight="15" x14ac:dyDescent="0.25"/>
  <cols>
    <col min="1" max="1" width="19.42578125" style="12" bestFit="1" customWidth="1"/>
    <col min="2" max="2" width="43.85546875" style="27" bestFit="1" customWidth="1"/>
    <col min="3" max="3" width="10.42578125" style="30" bestFit="1" customWidth="1"/>
    <col min="4" max="4" width="33" bestFit="1" customWidth="1"/>
    <col min="5" max="5" width="90.42578125" bestFit="1" customWidth="1"/>
  </cols>
  <sheetData>
    <row r="1" spans="1:5" x14ac:dyDescent="0.25">
      <c r="A1" s="51" t="s">
        <v>22</v>
      </c>
      <c r="B1" s="19" t="s">
        <v>23</v>
      </c>
      <c r="C1" s="55" t="s">
        <v>134</v>
      </c>
      <c r="D1" s="19" t="s">
        <v>135</v>
      </c>
      <c r="E1" s="19" t="s">
        <v>29</v>
      </c>
    </row>
    <row r="2" spans="1:5" x14ac:dyDescent="0.25">
      <c r="A2" s="12">
        <v>20000294</v>
      </c>
      <c r="B2" s="27" t="s">
        <v>317</v>
      </c>
      <c r="C2" s="30">
        <v>43888</v>
      </c>
      <c r="D2" t="s">
        <v>136</v>
      </c>
    </row>
    <row r="3" spans="1:5" x14ac:dyDescent="0.25">
      <c r="A3" s="12">
        <v>20000374</v>
      </c>
      <c r="B3" s="27" t="s">
        <v>331</v>
      </c>
      <c r="C3" s="30">
        <v>43888</v>
      </c>
      <c r="D3" t="s">
        <v>136</v>
      </c>
    </row>
    <row r="4" spans="1:5" x14ac:dyDescent="0.25">
      <c r="A4" s="12">
        <v>20000375</v>
      </c>
      <c r="B4" s="27" t="s">
        <v>332</v>
      </c>
      <c r="C4" s="30">
        <v>43888</v>
      </c>
      <c r="D4" t="s">
        <v>136</v>
      </c>
    </row>
    <row r="5" spans="1:5" x14ac:dyDescent="0.25">
      <c r="A5" s="12">
        <v>20000496</v>
      </c>
      <c r="B5" s="27" t="s">
        <v>346</v>
      </c>
      <c r="C5" s="30">
        <v>43888</v>
      </c>
      <c r="D5" t="s">
        <v>136</v>
      </c>
    </row>
    <row r="6" spans="1:5" x14ac:dyDescent="0.25">
      <c r="A6" s="12">
        <v>20000944</v>
      </c>
      <c r="B6" s="27" t="s">
        <v>396</v>
      </c>
      <c r="C6" s="30">
        <v>43888</v>
      </c>
      <c r="D6" t="s">
        <v>136</v>
      </c>
    </row>
    <row r="7" spans="1:5" x14ac:dyDescent="0.25">
      <c r="A7" s="12">
        <v>20000955</v>
      </c>
      <c r="B7" s="27" t="s">
        <v>401</v>
      </c>
      <c r="C7" s="30">
        <v>43888</v>
      </c>
      <c r="D7" t="s">
        <v>136</v>
      </c>
    </row>
    <row r="8" spans="1:5" x14ac:dyDescent="0.25">
      <c r="A8" s="12">
        <v>20000973</v>
      </c>
      <c r="B8" s="27" t="s">
        <v>404</v>
      </c>
      <c r="C8" s="30">
        <v>43888</v>
      </c>
      <c r="D8" t="s">
        <v>136</v>
      </c>
    </row>
    <row r="9" spans="1:5" x14ac:dyDescent="0.25">
      <c r="A9" s="12">
        <v>20000978</v>
      </c>
      <c r="B9" s="27" t="s">
        <v>405</v>
      </c>
      <c r="C9" s="30">
        <v>43888</v>
      </c>
      <c r="D9" t="s">
        <v>136</v>
      </c>
    </row>
    <row r="10" spans="1:5" x14ac:dyDescent="0.25">
      <c r="A10" s="12">
        <v>20000983</v>
      </c>
      <c r="B10" s="27" t="s">
        <v>408</v>
      </c>
      <c r="C10" s="30">
        <v>43888</v>
      </c>
      <c r="D10" t="s">
        <v>136</v>
      </c>
    </row>
    <row r="11" spans="1:5" x14ac:dyDescent="0.25">
      <c r="A11" s="12">
        <v>20000984</v>
      </c>
      <c r="B11" s="27" t="s">
        <v>409</v>
      </c>
      <c r="C11" s="30">
        <v>43888</v>
      </c>
      <c r="D11" t="s">
        <v>136</v>
      </c>
    </row>
    <row r="12" spans="1:5" x14ac:dyDescent="0.25">
      <c r="A12" s="12">
        <v>20000986</v>
      </c>
      <c r="B12" s="27" t="s">
        <v>410</v>
      </c>
      <c r="C12" s="30">
        <v>43888</v>
      </c>
      <c r="D12" t="s">
        <v>136</v>
      </c>
    </row>
    <row r="13" spans="1:5" x14ac:dyDescent="0.25">
      <c r="A13" s="12">
        <v>20001006</v>
      </c>
      <c r="B13" s="27" t="s">
        <v>412</v>
      </c>
      <c r="C13" s="30">
        <v>43888</v>
      </c>
      <c r="D13" t="s">
        <v>136</v>
      </c>
    </row>
    <row r="14" spans="1:5" x14ac:dyDescent="0.25">
      <c r="A14" s="12">
        <v>20001011</v>
      </c>
      <c r="B14" s="27" t="s">
        <v>11324</v>
      </c>
      <c r="C14" s="30">
        <v>43888</v>
      </c>
      <c r="D14" t="s">
        <v>136</v>
      </c>
    </row>
    <row r="15" spans="1:5" x14ac:dyDescent="0.25">
      <c r="A15" s="12">
        <v>20001012</v>
      </c>
      <c r="B15" s="27" t="s">
        <v>11325</v>
      </c>
      <c r="C15" s="30">
        <v>43888</v>
      </c>
      <c r="D15" t="s">
        <v>136</v>
      </c>
    </row>
    <row r="16" spans="1:5" x14ac:dyDescent="0.25">
      <c r="A16" s="12">
        <v>20001013</v>
      </c>
      <c r="B16" s="27" t="s">
        <v>413</v>
      </c>
      <c r="C16" s="30">
        <v>43888</v>
      </c>
      <c r="D16" t="s">
        <v>136</v>
      </c>
    </row>
    <row r="17" spans="1:4" x14ac:dyDescent="0.25">
      <c r="A17" s="12">
        <v>20001028</v>
      </c>
      <c r="B17" s="27" t="s">
        <v>415</v>
      </c>
      <c r="C17" s="30">
        <v>43888</v>
      </c>
      <c r="D17" t="s">
        <v>136</v>
      </c>
    </row>
    <row r="18" spans="1:4" x14ac:dyDescent="0.25">
      <c r="A18" s="12">
        <v>20001036</v>
      </c>
      <c r="B18" s="27" t="s">
        <v>420</v>
      </c>
      <c r="C18" s="30">
        <v>43888</v>
      </c>
      <c r="D18" t="s">
        <v>136</v>
      </c>
    </row>
    <row r="19" spans="1:4" x14ac:dyDescent="0.25">
      <c r="A19" s="12">
        <v>20001038</v>
      </c>
      <c r="B19" s="27" t="s">
        <v>421</v>
      </c>
      <c r="C19" s="30">
        <v>43888</v>
      </c>
      <c r="D19" t="s">
        <v>136</v>
      </c>
    </row>
    <row r="20" spans="1:4" x14ac:dyDescent="0.25">
      <c r="A20" s="12">
        <v>20001039</v>
      </c>
      <c r="B20" s="27" t="s">
        <v>422</v>
      </c>
      <c r="C20" s="30">
        <v>43888</v>
      </c>
      <c r="D20" t="s">
        <v>136</v>
      </c>
    </row>
    <row r="21" spans="1:4" x14ac:dyDescent="0.25">
      <c r="A21" s="12">
        <v>20001040</v>
      </c>
      <c r="B21" s="27" t="s">
        <v>423</v>
      </c>
      <c r="C21" s="30">
        <v>43888</v>
      </c>
      <c r="D21" t="s">
        <v>136</v>
      </c>
    </row>
    <row r="22" spans="1:4" x14ac:dyDescent="0.25">
      <c r="A22" s="12">
        <v>20001041</v>
      </c>
      <c r="B22" s="27" t="s">
        <v>424</v>
      </c>
      <c r="C22" s="30">
        <v>43888</v>
      </c>
      <c r="D22" t="s">
        <v>136</v>
      </c>
    </row>
    <row r="23" spans="1:4" x14ac:dyDescent="0.25">
      <c r="A23" s="12">
        <v>20001042</v>
      </c>
      <c r="B23" s="27" t="s">
        <v>425</v>
      </c>
      <c r="C23" s="30">
        <v>43888</v>
      </c>
      <c r="D23" t="s">
        <v>136</v>
      </c>
    </row>
    <row r="24" spans="1:4" x14ac:dyDescent="0.25">
      <c r="A24" s="12">
        <v>20001047</v>
      </c>
      <c r="B24" s="27" t="s">
        <v>430</v>
      </c>
      <c r="C24" s="30">
        <v>43888</v>
      </c>
      <c r="D24" t="s">
        <v>136</v>
      </c>
    </row>
    <row r="25" spans="1:4" x14ac:dyDescent="0.25">
      <c r="A25" s="12">
        <v>20001050</v>
      </c>
      <c r="B25" s="27" t="s">
        <v>432</v>
      </c>
      <c r="C25" s="30">
        <v>43888</v>
      </c>
      <c r="D25" t="s">
        <v>136</v>
      </c>
    </row>
    <row r="26" spans="1:4" x14ac:dyDescent="0.25">
      <c r="A26" s="12">
        <v>20001055</v>
      </c>
      <c r="B26" s="27" t="s">
        <v>434</v>
      </c>
      <c r="C26" s="30">
        <v>43888</v>
      </c>
      <c r="D26" t="s">
        <v>136</v>
      </c>
    </row>
    <row r="27" spans="1:4" x14ac:dyDescent="0.25">
      <c r="A27" s="12">
        <v>20001099</v>
      </c>
      <c r="B27" s="27" t="s">
        <v>446</v>
      </c>
      <c r="C27" s="30">
        <v>43888</v>
      </c>
      <c r="D27" t="s">
        <v>136</v>
      </c>
    </row>
    <row r="28" spans="1:4" x14ac:dyDescent="0.25">
      <c r="A28" s="12">
        <v>20001101</v>
      </c>
      <c r="B28" s="27" t="s">
        <v>447</v>
      </c>
      <c r="C28" s="30">
        <v>43888</v>
      </c>
      <c r="D28" t="s">
        <v>136</v>
      </c>
    </row>
    <row r="29" spans="1:4" x14ac:dyDescent="0.25">
      <c r="A29" s="12">
        <v>20001104</v>
      </c>
      <c r="B29" s="27" t="s">
        <v>449</v>
      </c>
      <c r="C29" s="30">
        <v>43888</v>
      </c>
      <c r="D29" t="s">
        <v>136</v>
      </c>
    </row>
    <row r="30" spans="1:4" x14ac:dyDescent="0.25">
      <c r="A30" s="12">
        <v>20001106</v>
      </c>
      <c r="B30" s="27" t="s">
        <v>451</v>
      </c>
      <c r="C30" s="30">
        <v>43888</v>
      </c>
      <c r="D30" t="s">
        <v>136</v>
      </c>
    </row>
    <row r="31" spans="1:4" x14ac:dyDescent="0.25">
      <c r="A31" s="12">
        <v>20001113</v>
      </c>
      <c r="B31" s="27" t="s">
        <v>456</v>
      </c>
      <c r="C31" s="30">
        <v>43888</v>
      </c>
      <c r="D31" t="s">
        <v>136</v>
      </c>
    </row>
    <row r="32" spans="1:4" x14ac:dyDescent="0.25">
      <c r="A32" s="12">
        <v>20001118</v>
      </c>
      <c r="B32" s="27" t="s">
        <v>460</v>
      </c>
      <c r="C32" s="30">
        <v>43888</v>
      </c>
      <c r="D32" t="s">
        <v>136</v>
      </c>
    </row>
    <row r="33" spans="1:4" x14ac:dyDescent="0.25">
      <c r="A33" s="12">
        <v>20001119</v>
      </c>
      <c r="B33" s="27" t="s">
        <v>461</v>
      </c>
      <c r="C33" s="30">
        <v>43888</v>
      </c>
      <c r="D33" t="s">
        <v>136</v>
      </c>
    </row>
    <row r="34" spans="1:4" x14ac:dyDescent="0.25">
      <c r="A34" s="12">
        <v>20001847</v>
      </c>
      <c r="B34" s="27" t="s">
        <v>715</v>
      </c>
      <c r="C34" s="30">
        <v>43888</v>
      </c>
      <c r="D34" t="s">
        <v>136</v>
      </c>
    </row>
    <row r="35" spans="1:4" x14ac:dyDescent="0.25">
      <c r="A35" s="12">
        <v>20001848</v>
      </c>
      <c r="B35" s="27" t="s">
        <v>716</v>
      </c>
      <c r="C35" s="30">
        <v>43888</v>
      </c>
      <c r="D35" t="s">
        <v>136</v>
      </c>
    </row>
    <row r="36" spans="1:4" x14ac:dyDescent="0.25">
      <c r="A36" s="12">
        <v>20001849</v>
      </c>
      <c r="B36" s="27" t="s">
        <v>717</v>
      </c>
      <c r="C36" s="30">
        <v>43888</v>
      </c>
      <c r="D36" t="s">
        <v>136</v>
      </c>
    </row>
    <row r="37" spans="1:4" x14ac:dyDescent="0.25">
      <c r="A37" s="12">
        <v>20001850</v>
      </c>
      <c r="B37" s="27" t="s">
        <v>718</v>
      </c>
      <c r="C37" s="30">
        <v>43888</v>
      </c>
      <c r="D37" t="s">
        <v>136</v>
      </c>
    </row>
    <row r="38" spans="1:4" x14ac:dyDescent="0.25">
      <c r="A38" s="12">
        <v>20001851</v>
      </c>
      <c r="B38" s="27" t="s">
        <v>719</v>
      </c>
      <c r="C38" s="30">
        <v>43888</v>
      </c>
      <c r="D38" t="s">
        <v>136</v>
      </c>
    </row>
    <row r="39" spans="1:4" x14ac:dyDescent="0.25">
      <c r="A39" s="12">
        <v>20004134</v>
      </c>
      <c r="B39" s="27" t="s">
        <v>914</v>
      </c>
      <c r="C39" s="30">
        <v>43888</v>
      </c>
      <c r="D39" t="s">
        <v>136</v>
      </c>
    </row>
    <row r="40" spans="1:4" x14ac:dyDescent="0.25">
      <c r="A40" s="12">
        <v>20004336</v>
      </c>
      <c r="B40" s="27" t="s">
        <v>916</v>
      </c>
      <c r="C40" s="30">
        <v>43888</v>
      </c>
      <c r="D40" t="s">
        <v>136</v>
      </c>
    </row>
    <row r="41" spans="1:4" x14ac:dyDescent="0.25">
      <c r="A41" s="12">
        <v>20004474</v>
      </c>
      <c r="B41" s="27" t="s">
        <v>930</v>
      </c>
      <c r="C41" s="30">
        <v>43888</v>
      </c>
      <c r="D41" t="s">
        <v>136</v>
      </c>
    </row>
    <row r="42" spans="1:4" x14ac:dyDescent="0.25">
      <c r="A42" s="12">
        <v>20004862</v>
      </c>
      <c r="B42" s="27" t="s">
        <v>932</v>
      </c>
      <c r="C42" s="30">
        <v>43888</v>
      </c>
      <c r="D42" t="s">
        <v>136</v>
      </c>
    </row>
    <row r="43" spans="1:4" x14ac:dyDescent="0.25">
      <c r="A43" s="12">
        <v>20005037</v>
      </c>
      <c r="B43" s="27" t="s">
        <v>939</v>
      </c>
      <c r="C43" s="30">
        <v>43888</v>
      </c>
      <c r="D43" t="s">
        <v>136</v>
      </c>
    </row>
    <row r="44" spans="1:4" x14ac:dyDescent="0.25">
      <c r="A44" s="12">
        <v>20005038</v>
      </c>
      <c r="B44" s="27" t="s">
        <v>940</v>
      </c>
      <c r="C44" s="30">
        <v>43888</v>
      </c>
      <c r="D44" t="s">
        <v>136</v>
      </c>
    </row>
    <row r="45" spans="1:4" x14ac:dyDescent="0.25">
      <c r="A45" s="12">
        <v>20005201</v>
      </c>
      <c r="B45" s="27" t="s">
        <v>953</v>
      </c>
      <c r="C45" s="30">
        <v>43888</v>
      </c>
      <c r="D45" t="s">
        <v>136</v>
      </c>
    </row>
    <row r="46" spans="1:4" x14ac:dyDescent="0.25">
      <c r="A46" s="12">
        <v>20005257</v>
      </c>
      <c r="B46" s="27" t="s">
        <v>966</v>
      </c>
      <c r="C46" s="30">
        <v>43888</v>
      </c>
      <c r="D46" t="s">
        <v>136</v>
      </c>
    </row>
    <row r="47" spans="1:4" x14ac:dyDescent="0.25">
      <c r="A47" s="12">
        <v>20005263</v>
      </c>
      <c r="B47" s="27" t="s">
        <v>969</v>
      </c>
      <c r="C47" s="30">
        <v>43888</v>
      </c>
      <c r="D47" t="s">
        <v>136</v>
      </c>
    </row>
    <row r="48" spans="1:4" x14ac:dyDescent="0.25">
      <c r="A48" s="12">
        <v>20005264</v>
      </c>
      <c r="B48" s="27" t="s">
        <v>970</v>
      </c>
      <c r="C48" s="30">
        <v>43888</v>
      </c>
      <c r="D48" t="s">
        <v>136</v>
      </c>
    </row>
    <row r="49" spans="1:4" x14ac:dyDescent="0.25">
      <c r="A49" s="12">
        <v>20005266</v>
      </c>
      <c r="B49" s="27" t="s">
        <v>971</v>
      </c>
      <c r="C49" s="30">
        <v>43888</v>
      </c>
      <c r="D49" t="s">
        <v>136</v>
      </c>
    </row>
    <row r="50" spans="1:4" x14ac:dyDescent="0.25">
      <c r="A50" s="12">
        <v>20005296</v>
      </c>
      <c r="B50" s="27" t="s">
        <v>975</v>
      </c>
      <c r="C50" s="30">
        <v>43888</v>
      </c>
      <c r="D50" t="s">
        <v>136</v>
      </c>
    </row>
    <row r="51" spans="1:4" x14ac:dyDescent="0.25">
      <c r="A51" s="12">
        <v>20005450</v>
      </c>
      <c r="B51" s="27" t="s">
        <v>984</v>
      </c>
      <c r="C51" s="30">
        <v>43888</v>
      </c>
      <c r="D51" t="s">
        <v>136</v>
      </c>
    </row>
    <row r="52" spans="1:4" x14ac:dyDescent="0.25">
      <c r="A52" s="12">
        <v>20005459</v>
      </c>
      <c r="B52" s="27" t="s">
        <v>986</v>
      </c>
      <c r="C52" s="30">
        <v>43888</v>
      </c>
      <c r="D52" t="s">
        <v>136</v>
      </c>
    </row>
    <row r="53" spans="1:4" x14ac:dyDescent="0.25">
      <c r="A53" s="12">
        <v>20005493</v>
      </c>
      <c r="B53" s="27" t="s">
        <v>992</v>
      </c>
      <c r="C53" s="30">
        <v>43888</v>
      </c>
      <c r="D53" t="s">
        <v>136</v>
      </c>
    </row>
    <row r="54" spans="1:4" x14ac:dyDescent="0.25">
      <c r="A54" s="12">
        <v>20005499</v>
      </c>
      <c r="B54" s="27" t="s">
        <v>994</v>
      </c>
      <c r="C54" s="30">
        <v>43888</v>
      </c>
      <c r="D54" t="s">
        <v>136</v>
      </c>
    </row>
    <row r="55" spans="1:4" x14ac:dyDescent="0.25">
      <c r="A55" s="12">
        <v>20005551</v>
      </c>
      <c r="B55" s="27" t="s">
        <v>997</v>
      </c>
      <c r="C55" s="30">
        <v>43888</v>
      </c>
      <c r="D55" t="s">
        <v>136</v>
      </c>
    </row>
    <row r="56" spans="1:4" x14ac:dyDescent="0.25">
      <c r="A56" s="12">
        <v>20005555</v>
      </c>
      <c r="B56" s="27" t="s">
        <v>998</v>
      </c>
      <c r="C56" s="30">
        <v>43888</v>
      </c>
      <c r="D56" t="s">
        <v>136</v>
      </c>
    </row>
    <row r="57" spans="1:4" x14ac:dyDescent="0.25">
      <c r="A57" s="12">
        <v>20006086</v>
      </c>
      <c r="B57" s="27" t="s">
        <v>1031</v>
      </c>
      <c r="C57" s="30">
        <v>43888</v>
      </c>
      <c r="D57" t="s">
        <v>136</v>
      </c>
    </row>
    <row r="58" spans="1:4" x14ac:dyDescent="0.25">
      <c r="A58" s="12">
        <v>20006091</v>
      </c>
      <c r="B58" s="27" t="s">
        <v>1034</v>
      </c>
      <c r="C58" s="30">
        <v>43888</v>
      </c>
      <c r="D58" t="s">
        <v>136</v>
      </c>
    </row>
    <row r="59" spans="1:4" x14ac:dyDescent="0.25">
      <c r="A59" s="12">
        <v>20006176</v>
      </c>
      <c r="B59" s="27" t="s">
        <v>1037</v>
      </c>
      <c r="C59" s="30">
        <v>43888</v>
      </c>
      <c r="D59" t="s">
        <v>136</v>
      </c>
    </row>
    <row r="60" spans="1:4" x14ac:dyDescent="0.25">
      <c r="A60" s="12">
        <v>20009217</v>
      </c>
      <c r="B60" s="27" t="s">
        <v>1176</v>
      </c>
      <c r="C60" s="30">
        <v>43888</v>
      </c>
      <c r="D60" t="s">
        <v>136</v>
      </c>
    </row>
    <row r="61" spans="1:4" x14ac:dyDescent="0.25">
      <c r="A61" s="12">
        <v>20009635</v>
      </c>
      <c r="B61" s="27" t="s">
        <v>1186</v>
      </c>
      <c r="C61" s="30">
        <v>43888</v>
      </c>
      <c r="D61" t="s">
        <v>136</v>
      </c>
    </row>
    <row r="62" spans="1:4" x14ac:dyDescent="0.25">
      <c r="A62" s="12">
        <v>20009637</v>
      </c>
      <c r="B62" s="27" t="s">
        <v>1187</v>
      </c>
      <c r="C62" s="30">
        <v>43888</v>
      </c>
      <c r="D62" t="s">
        <v>136</v>
      </c>
    </row>
    <row r="63" spans="1:4" x14ac:dyDescent="0.25">
      <c r="A63" s="12">
        <v>20009692</v>
      </c>
      <c r="B63" s="27" t="s">
        <v>1189</v>
      </c>
      <c r="C63" s="30">
        <v>43888</v>
      </c>
      <c r="D63" t="s">
        <v>136</v>
      </c>
    </row>
    <row r="64" spans="1:4" x14ac:dyDescent="0.25">
      <c r="A64" s="12">
        <v>20009964</v>
      </c>
      <c r="B64" s="27" t="s">
        <v>1225</v>
      </c>
      <c r="C64" s="30">
        <v>43888</v>
      </c>
      <c r="D64" t="s">
        <v>136</v>
      </c>
    </row>
    <row r="65" spans="1:4" x14ac:dyDescent="0.25">
      <c r="A65" s="12">
        <v>20009967</v>
      </c>
      <c r="B65" s="27" t="s">
        <v>1227</v>
      </c>
      <c r="C65" s="30">
        <v>43888</v>
      </c>
      <c r="D65" t="s">
        <v>136</v>
      </c>
    </row>
    <row r="66" spans="1:4" x14ac:dyDescent="0.25">
      <c r="A66" s="12">
        <v>20009991</v>
      </c>
      <c r="B66" s="27" t="s">
        <v>1235</v>
      </c>
      <c r="C66" s="30">
        <v>43888</v>
      </c>
      <c r="D66" t="s">
        <v>136</v>
      </c>
    </row>
    <row r="67" spans="1:4" x14ac:dyDescent="0.25">
      <c r="A67" s="12">
        <v>20010456</v>
      </c>
      <c r="B67" s="27" t="s">
        <v>1249</v>
      </c>
      <c r="C67" s="30">
        <v>43888</v>
      </c>
      <c r="D67" t="s">
        <v>136</v>
      </c>
    </row>
    <row r="68" spans="1:4" x14ac:dyDescent="0.25">
      <c r="A68" s="12">
        <v>20010987</v>
      </c>
      <c r="B68" s="27" t="s">
        <v>1262</v>
      </c>
      <c r="C68" s="30">
        <v>43888</v>
      </c>
      <c r="D68" t="s">
        <v>136</v>
      </c>
    </row>
    <row r="69" spans="1:4" x14ac:dyDescent="0.25">
      <c r="A69" s="12">
        <v>20011051</v>
      </c>
      <c r="B69" s="27" t="s">
        <v>1273</v>
      </c>
      <c r="C69" s="30">
        <v>43888</v>
      </c>
      <c r="D69" t="s">
        <v>136</v>
      </c>
    </row>
    <row r="70" spans="1:4" x14ac:dyDescent="0.25">
      <c r="A70" s="12">
        <v>20011063</v>
      </c>
      <c r="B70" s="27" t="s">
        <v>1276</v>
      </c>
      <c r="C70" s="30">
        <v>43888</v>
      </c>
      <c r="D70" t="s">
        <v>136</v>
      </c>
    </row>
    <row r="71" spans="1:4" x14ac:dyDescent="0.25">
      <c r="A71" s="12">
        <v>20011412</v>
      </c>
      <c r="B71" s="27" t="s">
        <v>1302</v>
      </c>
      <c r="C71" s="30">
        <v>43888</v>
      </c>
      <c r="D71" t="s">
        <v>136</v>
      </c>
    </row>
    <row r="72" spans="1:4" x14ac:dyDescent="0.25">
      <c r="A72" s="12">
        <v>20011456</v>
      </c>
      <c r="B72" s="27" t="s">
        <v>1304</v>
      </c>
      <c r="C72" s="30">
        <v>43888</v>
      </c>
      <c r="D72" t="s">
        <v>136</v>
      </c>
    </row>
    <row r="73" spans="1:4" x14ac:dyDescent="0.25">
      <c r="A73" s="12">
        <v>20016066</v>
      </c>
      <c r="B73" s="27" t="s">
        <v>1435</v>
      </c>
      <c r="C73" s="30">
        <v>43888</v>
      </c>
      <c r="D73" t="s">
        <v>136</v>
      </c>
    </row>
    <row r="74" spans="1:4" x14ac:dyDescent="0.25">
      <c r="A74" s="12">
        <v>20016067</v>
      </c>
      <c r="B74" s="27" t="s">
        <v>1436</v>
      </c>
      <c r="C74" s="30">
        <v>43888</v>
      </c>
      <c r="D74" t="s">
        <v>136</v>
      </c>
    </row>
    <row r="75" spans="1:4" x14ac:dyDescent="0.25">
      <c r="A75" s="12">
        <v>20016859</v>
      </c>
      <c r="B75" s="27" t="s">
        <v>1485</v>
      </c>
      <c r="C75" s="30">
        <v>43888</v>
      </c>
      <c r="D75" t="s">
        <v>136</v>
      </c>
    </row>
    <row r="76" spans="1:4" x14ac:dyDescent="0.25">
      <c r="A76" s="12">
        <v>20016876</v>
      </c>
      <c r="B76" s="27" t="s">
        <v>1487</v>
      </c>
      <c r="C76" s="30">
        <v>43888</v>
      </c>
      <c r="D76" t="s">
        <v>136</v>
      </c>
    </row>
    <row r="77" spans="1:4" x14ac:dyDescent="0.25">
      <c r="A77" s="12">
        <v>20017533</v>
      </c>
      <c r="B77" s="27" t="s">
        <v>1495</v>
      </c>
      <c r="C77" s="30">
        <v>43888</v>
      </c>
      <c r="D77" t="s">
        <v>136</v>
      </c>
    </row>
    <row r="78" spans="1:4" x14ac:dyDescent="0.25">
      <c r="A78" s="12">
        <v>20017561</v>
      </c>
      <c r="B78" s="27" t="s">
        <v>1499</v>
      </c>
      <c r="C78" s="30">
        <v>43888</v>
      </c>
      <c r="D78" t="s">
        <v>136</v>
      </c>
    </row>
    <row r="79" spans="1:4" x14ac:dyDescent="0.25">
      <c r="A79" s="12">
        <v>20017758</v>
      </c>
      <c r="B79" s="27" t="s">
        <v>1503</v>
      </c>
      <c r="C79" s="30">
        <v>43888</v>
      </c>
      <c r="D79" t="s">
        <v>136</v>
      </c>
    </row>
    <row r="80" spans="1:4" x14ac:dyDescent="0.25">
      <c r="A80" s="12">
        <v>20017761</v>
      </c>
      <c r="B80" s="27" t="s">
        <v>1504</v>
      </c>
      <c r="C80" s="30">
        <v>43888</v>
      </c>
      <c r="D80" t="s">
        <v>136</v>
      </c>
    </row>
    <row r="81" spans="1:4" x14ac:dyDescent="0.25">
      <c r="A81" s="12">
        <v>20017766</v>
      </c>
      <c r="B81" s="27" t="s">
        <v>1507</v>
      </c>
      <c r="C81" s="30">
        <v>43888</v>
      </c>
      <c r="D81" t="s">
        <v>136</v>
      </c>
    </row>
    <row r="82" spans="1:4" x14ac:dyDescent="0.25">
      <c r="A82" s="12">
        <v>20017767</v>
      </c>
      <c r="B82" s="27" t="s">
        <v>1508</v>
      </c>
      <c r="C82" s="30">
        <v>43888</v>
      </c>
      <c r="D82" t="s">
        <v>136</v>
      </c>
    </row>
    <row r="83" spans="1:4" x14ac:dyDescent="0.25">
      <c r="A83" s="12">
        <v>20017768</v>
      </c>
      <c r="B83" s="27" t="s">
        <v>1509</v>
      </c>
      <c r="C83" s="30">
        <v>43888</v>
      </c>
      <c r="D83" t="s">
        <v>136</v>
      </c>
    </row>
    <row r="84" spans="1:4" x14ac:dyDescent="0.25">
      <c r="A84" s="12">
        <v>20017789</v>
      </c>
      <c r="B84" s="27" t="s">
        <v>1511</v>
      </c>
      <c r="C84" s="30">
        <v>43888</v>
      </c>
      <c r="D84" t="s">
        <v>136</v>
      </c>
    </row>
    <row r="85" spans="1:4" x14ac:dyDescent="0.25">
      <c r="A85" s="12">
        <v>20017790</v>
      </c>
      <c r="B85" s="27" t="s">
        <v>1512</v>
      </c>
      <c r="C85" s="30">
        <v>43888</v>
      </c>
      <c r="D85" t="s">
        <v>136</v>
      </c>
    </row>
    <row r="86" spans="1:4" x14ac:dyDescent="0.25">
      <c r="A86" s="12">
        <v>20017791</v>
      </c>
      <c r="B86" s="27" t="s">
        <v>1513</v>
      </c>
      <c r="C86" s="30">
        <v>43888</v>
      </c>
      <c r="D86" t="s">
        <v>136</v>
      </c>
    </row>
    <row r="87" spans="1:4" x14ac:dyDescent="0.25">
      <c r="A87" s="12">
        <v>20017803</v>
      </c>
      <c r="B87" s="27" t="s">
        <v>1514</v>
      </c>
      <c r="C87" s="30">
        <v>43888</v>
      </c>
      <c r="D87" t="s">
        <v>136</v>
      </c>
    </row>
    <row r="88" spans="1:4" x14ac:dyDescent="0.25">
      <c r="A88" s="12">
        <v>20018004</v>
      </c>
      <c r="B88" s="27" t="s">
        <v>1521</v>
      </c>
      <c r="C88" s="30">
        <v>43888</v>
      </c>
      <c r="D88" t="s">
        <v>136</v>
      </c>
    </row>
    <row r="89" spans="1:4" x14ac:dyDescent="0.25">
      <c r="A89" s="12">
        <v>20018032</v>
      </c>
      <c r="B89" s="27" t="s">
        <v>1525</v>
      </c>
      <c r="C89" s="30">
        <v>43888</v>
      </c>
      <c r="D89" t="s">
        <v>136</v>
      </c>
    </row>
    <row r="90" spans="1:4" x14ac:dyDescent="0.25">
      <c r="A90" s="12">
        <v>20018075</v>
      </c>
      <c r="B90" s="27" t="s">
        <v>1527</v>
      </c>
      <c r="C90" s="30">
        <v>43888</v>
      </c>
      <c r="D90" t="s">
        <v>136</v>
      </c>
    </row>
    <row r="91" spans="1:4" x14ac:dyDescent="0.25">
      <c r="A91" s="12">
        <v>20018076</v>
      </c>
      <c r="B91" s="27" t="s">
        <v>1528</v>
      </c>
      <c r="C91" s="30">
        <v>43888</v>
      </c>
      <c r="D91" t="s">
        <v>136</v>
      </c>
    </row>
    <row r="92" spans="1:4" x14ac:dyDescent="0.25">
      <c r="A92" s="12">
        <v>20018077</v>
      </c>
      <c r="B92" s="27" t="s">
        <v>1529</v>
      </c>
      <c r="C92" s="30">
        <v>43888</v>
      </c>
      <c r="D92" t="s">
        <v>136</v>
      </c>
    </row>
    <row r="93" spans="1:4" x14ac:dyDescent="0.25">
      <c r="A93" s="12">
        <v>20018078</v>
      </c>
      <c r="B93" s="27" t="s">
        <v>1530</v>
      </c>
      <c r="C93" s="30">
        <v>43888</v>
      </c>
      <c r="D93" t="s">
        <v>136</v>
      </c>
    </row>
    <row r="94" spans="1:4" x14ac:dyDescent="0.25">
      <c r="A94" s="12">
        <v>20018081</v>
      </c>
      <c r="B94" s="27" t="s">
        <v>1532</v>
      </c>
      <c r="C94" s="30">
        <v>43888</v>
      </c>
      <c r="D94" t="s">
        <v>136</v>
      </c>
    </row>
    <row r="95" spans="1:4" x14ac:dyDescent="0.25">
      <c r="A95" s="12">
        <v>20018082</v>
      </c>
      <c r="B95" s="27" t="s">
        <v>1533</v>
      </c>
      <c r="C95" s="30">
        <v>43888</v>
      </c>
      <c r="D95" t="s">
        <v>136</v>
      </c>
    </row>
    <row r="96" spans="1:4" x14ac:dyDescent="0.25">
      <c r="A96" s="12">
        <v>20018085</v>
      </c>
      <c r="B96" s="27" t="s">
        <v>1536</v>
      </c>
      <c r="C96" s="30">
        <v>43888</v>
      </c>
      <c r="D96" t="s">
        <v>136</v>
      </c>
    </row>
    <row r="97" spans="1:4" x14ac:dyDescent="0.25">
      <c r="A97" s="12">
        <v>20018086</v>
      </c>
      <c r="B97" s="27" t="s">
        <v>1537</v>
      </c>
      <c r="C97" s="30">
        <v>43888</v>
      </c>
      <c r="D97" t="s">
        <v>136</v>
      </c>
    </row>
    <row r="98" spans="1:4" x14ac:dyDescent="0.25">
      <c r="A98" s="12">
        <v>20018087</v>
      </c>
      <c r="B98" s="27" t="s">
        <v>1538</v>
      </c>
      <c r="C98" s="30">
        <v>43888</v>
      </c>
      <c r="D98" t="s">
        <v>136</v>
      </c>
    </row>
    <row r="99" spans="1:4" x14ac:dyDescent="0.25">
      <c r="A99" s="12">
        <v>20018102</v>
      </c>
      <c r="B99" s="27" t="s">
        <v>1540</v>
      </c>
      <c r="C99" s="30">
        <v>43888</v>
      </c>
      <c r="D99" t="s">
        <v>136</v>
      </c>
    </row>
    <row r="100" spans="1:4" x14ac:dyDescent="0.25">
      <c r="A100" s="12">
        <v>20018103</v>
      </c>
      <c r="B100" s="27" t="s">
        <v>1541</v>
      </c>
      <c r="C100" s="30">
        <v>43888</v>
      </c>
      <c r="D100" t="s">
        <v>136</v>
      </c>
    </row>
    <row r="101" spans="1:4" x14ac:dyDescent="0.25">
      <c r="A101" s="12">
        <v>20018105</v>
      </c>
      <c r="B101" s="27" t="s">
        <v>1542</v>
      </c>
      <c r="C101" s="30">
        <v>43888</v>
      </c>
      <c r="D101" t="s">
        <v>136</v>
      </c>
    </row>
    <row r="102" spans="1:4" x14ac:dyDescent="0.25">
      <c r="A102" s="12">
        <v>20018148</v>
      </c>
      <c r="B102" s="27" t="s">
        <v>1548</v>
      </c>
      <c r="C102" s="30">
        <v>43888</v>
      </c>
      <c r="D102" t="s">
        <v>136</v>
      </c>
    </row>
    <row r="103" spans="1:4" x14ac:dyDescent="0.25">
      <c r="A103" s="12">
        <v>20018161</v>
      </c>
      <c r="B103" s="27" t="s">
        <v>1552</v>
      </c>
      <c r="C103" s="30">
        <v>43888</v>
      </c>
      <c r="D103" t="s">
        <v>136</v>
      </c>
    </row>
    <row r="104" spans="1:4" x14ac:dyDescent="0.25">
      <c r="A104" s="12">
        <v>20018164</v>
      </c>
      <c r="B104" s="27" t="s">
        <v>1554</v>
      </c>
      <c r="C104" s="30">
        <v>43888</v>
      </c>
      <c r="D104" t="s">
        <v>136</v>
      </c>
    </row>
    <row r="105" spans="1:4" x14ac:dyDescent="0.25">
      <c r="A105" s="12">
        <v>20018196</v>
      </c>
      <c r="B105" s="27" t="s">
        <v>11599</v>
      </c>
      <c r="C105" s="30">
        <v>43888</v>
      </c>
      <c r="D105" t="s">
        <v>136</v>
      </c>
    </row>
    <row r="106" spans="1:4" x14ac:dyDescent="0.25">
      <c r="A106" s="12">
        <v>20019026</v>
      </c>
      <c r="B106" s="27" t="s">
        <v>1568</v>
      </c>
      <c r="C106" s="30">
        <v>43888</v>
      </c>
      <c r="D106" t="s">
        <v>136</v>
      </c>
    </row>
    <row r="107" spans="1:4" x14ac:dyDescent="0.25">
      <c r="A107" s="12">
        <v>20019144</v>
      </c>
      <c r="B107" s="27" t="s">
        <v>1572</v>
      </c>
      <c r="C107" s="30">
        <v>43888</v>
      </c>
      <c r="D107" t="s">
        <v>136</v>
      </c>
    </row>
    <row r="108" spans="1:4" x14ac:dyDescent="0.25">
      <c r="A108" s="12">
        <v>20019149</v>
      </c>
      <c r="B108" s="27" t="s">
        <v>1575</v>
      </c>
      <c r="C108" s="30">
        <v>43888</v>
      </c>
      <c r="D108" t="s">
        <v>136</v>
      </c>
    </row>
    <row r="109" spans="1:4" x14ac:dyDescent="0.25">
      <c r="A109" s="12">
        <v>20019150</v>
      </c>
      <c r="B109" s="27" t="s">
        <v>1576</v>
      </c>
      <c r="C109" s="30">
        <v>43888</v>
      </c>
      <c r="D109" t="s">
        <v>136</v>
      </c>
    </row>
    <row r="110" spans="1:4" x14ac:dyDescent="0.25">
      <c r="A110" s="12">
        <v>20019177</v>
      </c>
      <c r="B110" s="27" t="s">
        <v>1581</v>
      </c>
      <c r="C110" s="30">
        <v>43888</v>
      </c>
      <c r="D110" t="s">
        <v>136</v>
      </c>
    </row>
    <row r="111" spans="1:4" x14ac:dyDescent="0.25">
      <c r="A111" s="12">
        <v>20019483</v>
      </c>
      <c r="B111" s="27" t="s">
        <v>1586</v>
      </c>
      <c r="C111" s="30">
        <v>43888</v>
      </c>
      <c r="D111" t="s">
        <v>136</v>
      </c>
    </row>
    <row r="112" spans="1:4" x14ac:dyDescent="0.25">
      <c r="A112" s="12">
        <v>20019484</v>
      </c>
      <c r="B112" s="27" t="s">
        <v>1587</v>
      </c>
      <c r="C112" s="30">
        <v>43888</v>
      </c>
      <c r="D112" t="s">
        <v>136</v>
      </c>
    </row>
    <row r="113" spans="1:4" x14ac:dyDescent="0.25">
      <c r="A113" s="12">
        <v>20019485</v>
      </c>
      <c r="B113" s="27" t="s">
        <v>1588</v>
      </c>
      <c r="C113" s="30">
        <v>43888</v>
      </c>
      <c r="D113" t="s">
        <v>136</v>
      </c>
    </row>
    <row r="114" spans="1:4" x14ac:dyDescent="0.25">
      <c r="A114" s="12">
        <v>20019509</v>
      </c>
      <c r="B114" s="27" t="s">
        <v>1599</v>
      </c>
      <c r="C114" s="30">
        <v>43888</v>
      </c>
      <c r="D114" t="s">
        <v>136</v>
      </c>
    </row>
    <row r="115" spans="1:4" x14ac:dyDescent="0.25">
      <c r="A115" s="12">
        <v>20019515</v>
      </c>
      <c r="B115" s="27" t="s">
        <v>1603</v>
      </c>
      <c r="C115" s="30">
        <v>43888</v>
      </c>
      <c r="D115" t="s">
        <v>136</v>
      </c>
    </row>
    <row r="116" spans="1:4" x14ac:dyDescent="0.25">
      <c r="A116" s="12">
        <v>20019516</v>
      </c>
      <c r="B116" s="27" t="s">
        <v>1604</v>
      </c>
      <c r="C116" s="30">
        <v>43888</v>
      </c>
      <c r="D116" t="s">
        <v>136</v>
      </c>
    </row>
    <row r="117" spans="1:4" x14ac:dyDescent="0.25">
      <c r="A117" s="12">
        <v>20019614</v>
      </c>
      <c r="B117" s="27" t="s">
        <v>1622</v>
      </c>
      <c r="C117" s="30">
        <v>43888</v>
      </c>
      <c r="D117" t="s">
        <v>136</v>
      </c>
    </row>
    <row r="118" spans="1:4" x14ac:dyDescent="0.25">
      <c r="A118" s="12">
        <v>20019625</v>
      </c>
      <c r="B118" s="27" t="s">
        <v>1623</v>
      </c>
      <c r="C118" s="30">
        <v>43888</v>
      </c>
      <c r="D118" t="s">
        <v>136</v>
      </c>
    </row>
    <row r="119" spans="1:4" x14ac:dyDescent="0.25">
      <c r="A119" s="12">
        <v>20019626</v>
      </c>
      <c r="B119" s="27" t="s">
        <v>1624</v>
      </c>
      <c r="C119" s="30">
        <v>43888</v>
      </c>
      <c r="D119" t="s">
        <v>136</v>
      </c>
    </row>
    <row r="120" spans="1:4" x14ac:dyDescent="0.25">
      <c r="A120" s="12">
        <v>20019629</v>
      </c>
      <c r="B120" s="27" t="s">
        <v>1626</v>
      </c>
      <c r="C120" s="30">
        <v>43888</v>
      </c>
      <c r="D120" t="s">
        <v>136</v>
      </c>
    </row>
    <row r="121" spans="1:4" x14ac:dyDescent="0.25">
      <c r="A121" s="12">
        <v>20019643</v>
      </c>
      <c r="B121" s="27" t="s">
        <v>1631</v>
      </c>
      <c r="C121" s="30">
        <v>43888</v>
      </c>
      <c r="D121" t="s">
        <v>136</v>
      </c>
    </row>
    <row r="122" spans="1:4" x14ac:dyDescent="0.25">
      <c r="A122" s="12">
        <v>20019885</v>
      </c>
      <c r="B122" s="27" t="s">
        <v>1637</v>
      </c>
      <c r="C122" s="30">
        <v>43888</v>
      </c>
      <c r="D122" t="s">
        <v>136</v>
      </c>
    </row>
    <row r="123" spans="1:4" x14ac:dyDescent="0.25">
      <c r="A123" s="12">
        <v>20020038</v>
      </c>
      <c r="B123" s="27" t="s">
        <v>1657</v>
      </c>
      <c r="C123" s="30">
        <v>43888</v>
      </c>
      <c r="D123" t="s">
        <v>136</v>
      </c>
    </row>
    <row r="124" spans="1:4" x14ac:dyDescent="0.25">
      <c r="A124" s="12">
        <v>20020042</v>
      </c>
      <c r="B124" s="27" t="s">
        <v>1658</v>
      </c>
      <c r="C124" s="30">
        <v>43888</v>
      </c>
      <c r="D124" t="s">
        <v>136</v>
      </c>
    </row>
    <row r="125" spans="1:4" x14ac:dyDescent="0.25">
      <c r="A125" s="12">
        <v>20020048</v>
      </c>
      <c r="B125" s="27" t="s">
        <v>1659</v>
      </c>
      <c r="C125" s="30">
        <v>43888</v>
      </c>
      <c r="D125" t="s">
        <v>136</v>
      </c>
    </row>
    <row r="126" spans="1:4" x14ac:dyDescent="0.25">
      <c r="A126" s="12">
        <v>20020069</v>
      </c>
      <c r="B126" s="27" t="s">
        <v>1662</v>
      </c>
      <c r="C126" s="30">
        <v>43888</v>
      </c>
      <c r="D126" t="s">
        <v>136</v>
      </c>
    </row>
    <row r="127" spans="1:4" x14ac:dyDescent="0.25">
      <c r="A127" s="12">
        <v>20020070</v>
      </c>
      <c r="B127" s="27" t="s">
        <v>1663</v>
      </c>
      <c r="C127" s="30">
        <v>43888</v>
      </c>
      <c r="D127" t="s">
        <v>136</v>
      </c>
    </row>
    <row r="128" spans="1:4" x14ac:dyDescent="0.25">
      <c r="A128" s="12">
        <v>20021084</v>
      </c>
      <c r="B128" s="27" t="s">
        <v>1716</v>
      </c>
      <c r="C128" s="30">
        <v>43888</v>
      </c>
      <c r="D128" t="s">
        <v>136</v>
      </c>
    </row>
    <row r="129" spans="1:4" x14ac:dyDescent="0.25">
      <c r="A129" s="12">
        <v>20023988</v>
      </c>
      <c r="B129" s="27" t="s">
        <v>1827</v>
      </c>
      <c r="C129" s="30">
        <v>43888</v>
      </c>
      <c r="D129" t="s">
        <v>136</v>
      </c>
    </row>
    <row r="130" spans="1:4" x14ac:dyDescent="0.25">
      <c r="A130" s="12">
        <v>20023990</v>
      </c>
      <c r="B130" s="27" t="s">
        <v>1828</v>
      </c>
      <c r="C130" s="30">
        <v>43888</v>
      </c>
      <c r="D130" t="s">
        <v>136</v>
      </c>
    </row>
    <row r="131" spans="1:4" x14ac:dyDescent="0.25">
      <c r="A131" s="12">
        <v>20023991</v>
      </c>
      <c r="B131" s="27" t="s">
        <v>1829</v>
      </c>
      <c r="C131" s="30">
        <v>43888</v>
      </c>
      <c r="D131" t="s">
        <v>136</v>
      </c>
    </row>
    <row r="132" spans="1:4" x14ac:dyDescent="0.25">
      <c r="A132" s="12">
        <v>20023996</v>
      </c>
      <c r="B132" s="27" t="s">
        <v>1831</v>
      </c>
      <c r="C132" s="30">
        <v>43888</v>
      </c>
      <c r="D132" t="s">
        <v>136</v>
      </c>
    </row>
    <row r="133" spans="1:4" x14ac:dyDescent="0.25">
      <c r="A133" s="12">
        <v>20024633</v>
      </c>
      <c r="B133" s="27" t="s">
        <v>1833</v>
      </c>
      <c r="C133" s="30">
        <v>43888</v>
      </c>
      <c r="D133" t="s">
        <v>136</v>
      </c>
    </row>
    <row r="134" spans="1:4" x14ac:dyDescent="0.25">
      <c r="A134" s="12">
        <v>20024856</v>
      </c>
      <c r="B134" s="27" t="s">
        <v>1836</v>
      </c>
      <c r="C134" s="30">
        <v>43888</v>
      </c>
      <c r="D134" t="s">
        <v>136</v>
      </c>
    </row>
    <row r="135" spans="1:4" x14ac:dyDescent="0.25">
      <c r="A135" s="12">
        <v>20024857</v>
      </c>
      <c r="B135" s="27" t="s">
        <v>1837</v>
      </c>
      <c r="C135" s="30">
        <v>43888</v>
      </c>
      <c r="D135" t="s">
        <v>136</v>
      </c>
    </row>
    <row r="136" spans="1:4" x14ac:dyDescent="0.25">
      <c r="A136" s="12">
        <v>20026894</v>
      </c>
      <c r="B136" s="27" t="s">
        <v>1863</v>
      </c>
      <c r="C136" s="30">
        <v>43888</v>
      </c>
      <c r="D136" t="s">
        <v>136</v>
      </c>
    </row>
    <row r="137" spans="1:4" x14ac:dyDescent="0.25">
      <c r="A137" s="12">
        <v>20026895</v>
      </c>
      <c r="B137" s="27" t="s">
        <v>1864</v>
      </c>
      <c r="C137" s="30">
        <v>43888</v>
      </c>
      <c r="D137" t="s">
        <v>136</v>
      </c>
    </row>
    <row r="138" spans="1:4" x14ac:dyDescent="0.25">
      <c r="A138" s="12">
        <v>20026896</v>
      </c>
      <c r="B138" s="27" t="s">
        <v>1865</v>
      </c>
      <c r="C138" s="30">
        <v>43888</v>
      </c>
      <c r="D138" t="s">
        <v>136</v>
      </c>
    </row>
    <row r="139" spans="1:4" x14ac:dyDescent="0.25">
      <c r="A139" s="12">
        <v>20027905</v>
      </c>
      <c r="B139" s="27" t="s">
        <v>1883</v>
      </c>
      <c r="C139" s="30">
        <v>43888</v>
      </c>
      <c r="D139" t="s">
        <v>136</v>
      </c>
    </row>
    <row r="140" spans="1:4" x14ac:dyDescent="0.25">
      <c r="A140" s="12">
        <v>20027989</v>
      </c>
      <c r="B140" s="27" t="s">
        <v>1886</v>
      </c>
      <c r="C140" s="30">
        <v>43888</v>
      </c>
      <c r="D140" t="s">
        <v>136</v>
      </c>
    </row>
    <row r="141" spans="1:4" x14ac:dyDescent="0.25">
      <c r="A141" s="12">
        <v>20027992</v>
      </c>
      <c r="B141" s="27" t="s">
        <v>1887</v>
      </c>
      <c r="C141" s="30">
        <v>43888</v>
      </c>
      <c r="D141" t="s">
        <v>136</v>
      </c>
    </row>
    <row r="142" spans="1:4" x14ac:dyDescent="0.25">
      <c r="A142" s="12">
        <v>20028108</v>
      </c>
      <c r="B142" s="27" t="s">
        <v>1904</v>
      </c>
      <c r="C142" s="30">
        <v>43888</v>
      </c>
      <c r="D142" t="s">
        <v>136</v>
      </c>
    </row>
    <row r="143" spans="1:4" x14ac:dyDescent="0.25">
      <c r="A143" s="12">
        <v>20028640</v>
      </c>
      <c r="B143" s="27" t="s">
        <v>1944</v>
      </c>
      <c r="C143" s="30">
        <v>43888</v>
      </c>
      <c r="D143" t="s">
        <v>136</v>
      </c>
    </row>
    <row r="144" spans="1:4" x14ac:dyDescent="0.25">
      <c r="A144" s="12">
        <v>20028838</v>
      </c>
      <c r="B144" s="27" t="s">
        <v>1952</v>
      </c>
      <c r="C144" s="30">
        <v>43888</v>
      </c>
      <c r="D144" t="s">
        <v>136</v>
      </c>
    </row>
    <row r="145" spans="1:4" x14ac:dyDescent="0.25">
      <c r="A145" s="12">
        <v>20028839</v>
      </c>
      <c r="B145" s="27" t="s">
        <v>1953</v>
      </c>
      <c r="C145" s="30">
        <v>43888</v>
      </c>
      <c r="D145" t="s">
        <v>136</v>
      </c>
    </row>
    <row r="146" spans="1:4" x14ac:dyDescent="0.25">
      <c r="A146" s="12">
        <v>20029214</v>
      </c>
      <c r="B146" s="27" t="s">
        <v>1970</v>
      </c>
      <c r="C146" s="30">
        <v>43888</v>
      </c>
      <c r="D146" t="s">
        <v>136</v>
      </c>
    </row>
    <row r="147" spans="1:4" x14ac:dyDescent="0.25">
      <c r="A147" s="12">
        <v>20029219</v>
      </c>
      <c r="B147" s="27" t="s">
        <v>1974</v>
      </c>
      <c r="C147" s="30">
        <v>43888</v>
      </c>
      <c r="D147" t="s">
        <v>136</v>
      </c>
    </row>
    <row r="148" spans="1:4" x14ac:dyDescent="0.25">
      <c r="A148" s="12">
        <v>20029235</v>
      </c>
      <c r="B148" s="27" t="s">
        <v>1987</v>
      </c>
      <c r="C148" s="30">
        <v>43888</v>
      </c>
      <c r="D148" t="s">
        <v>136</v>
      </c>
    </row>
    <row r="149" spans="1:4" x14ac:dyDescent="0.25">
      <c r="A149" s="12">
        <v>20029241</v>
      </c>
      <c r="B149" s="27" t="s">
        <v>1991</v>
      </c>
      <c r="C149" s="30">
        <v>43888</v>
      </c>
      <c r="D149" t="s">
        <v>136</v>
      </c>
    </row>
    <row r="150" spans="1:4" x14ac:dyDescent="0.25">
      <c r="A150" s="12">
        <v>20029269</v>
      </c>
      <c r="B150" s="27" t="s">
        <v>2006</v>
      </c>
      <c r="C150" s="30">
        <v>43888</v>
      </c>
      <c r="D150" t="s">
        <v>136</v>
      </c>
    </row>
    <row r="151" spans="1:4" x14ac:dyDescent="0.25">
      <c r="A151" s="12">
        <v>20029270</v>
      </c>
      <c r="B151" s="27" t="s">
        <v>2007</v>
      </c>
      <c r="C151" s="30">
        <v>43888</v>
      </c>
      <c r="D151" t="s">
        <v>136</v>
      </c>
    </row>
    <row r="152" spans="1:4" x14ac:dyDescent="0.25">
      <c r="A152" s="12">
        <v>20029272</v>
      </c>
      <c r="B152" s="27" t="s">
        <v>2008</v>
      </c>
      <c r="C152" s="30">
        <v>43888</v>
      </c>
      <c r="D152" t="s">
        <v>136</v>
      </c>
    </row>
    <row r="153" spans="1:4" x14ac:dyDescent="0.25">
      <c r="A153" s="12">
        <v>20029278</v>
      </c>
      <c r="B153" s="27" t="s">
        <v>2011</v>
      </c>
      <c r="C153" s="30">
        <v>43888</v>
      </c>
      <c r="D153" t="s">
        <v>136</v>
      </c>
    </row>
    <row r="154" spans="1:4" x14ac:dyDescent="0.25">
      <c r="A154" s="12">
        <v>20029280</v>
      </c>
      <c r="B154" s="27" t="s">
        <v>2013</v>
      </c>
      <c r="C154" s="30">
        <v>43888</v>
      </c>
      <c r="D154" t="s">
        <v>136</v>
      </c>
    </row>
    <row r="155" spans="1:4" x14ac:dyDescent="0.25">
      <c r="A155" s="12">
        <v>20029285</v>
      </c>
      <c r="B155" s="27" t="s">
        <v>2017</v>
      </c>
      <c r="C155" s="30">
        <v>43888</v>
      </c>
      <c r="D155" t="s">
        <v>136</v>
      </c>
    </row>
    <row r="156" spans="1:4" x14ac:dyDescent="0.25">
      <c r="A156" s="12">
        <v>20029289</v>
      </c>
      <c r="B156" s="27" t="s">
        <v>2021</v>
      </c>
      <c r="C156" s="30">
        <v>43888</v>
      </c>
      <c r="D156" t="s">
        <v>136</v>
      </c>
    </row>
    <row r="157" spans="1:4" x14ac:dyDescent="0.25">
      <c r="A157" s="12">
        <v>20029295</v>
      </c>
      <c r="B157" s="27" t="s">
        <v>2027</v>
      </c>
      <c r="C157" s="30">
        <v>43888</v>
      </c>
      <c r="D157" t="s">
        <v>136</v>
      </c>
    </row>
    <row r="158" spans="1:4" x14ac:dyDescent="0.25">
      <c r="A158" s="12">
        <v>20029298</v>
      </c>
      <c r="B158" s="27" t="s">
        <v>2029</v>
      </c>
      <c r="C158" s="30">
        <v>43888</v>
      </c>
      <c r="D158" t="s">
        <v>136</v>
      </c>
    </row>
    <row r="159" spans="1:4" x14ac:dyDescent="0.25">
      <c r="A159" s="12">
        <v>20029300</v>
      </c>
      <c r="B159" s="27" t="s">
        <v>2031</v>
      </c>
      <c r="C159" s="30">
        <v>43888</v>
      </c>
      <c r="D159" t="s">
        <v>136</v>
      </c>
    </row>
    <row r="160" spans="1:4" x14ac:dyDescent="0.25">
      <c r="A160" s="12">
        <v>20029302</v>
      </c>
      <c r="B160" s="27" t="s">
        <v>2033</v>
      </c>
      <c r="C160" s="30">
        <v>43888</v>
      </c>
      <c r="D160" t="s">
        <v>136</v>
      </c>
    </row>
    <row r="161" spans="1:4" x14ac:dyDescent="0.25">
      <c r="A161" s="12">
        <v>20029304</v>
      </c>
      <c r="B161" s="27" t="s">
        <v>2035</v>
      </c>
      <c r="C161" s="30">
        <v>43888</v>
      </c>
      <c r="D161" t="s">
        <v>136</v>
      </c>
    </row>
    <row r="162" spans="1:4" x14ac:dyDescent="0.25">
      <c r="A162" s="12">
        <v>20029305</v>
      </c>
      <c r="B162" s="27" t="s">
        <v>2036</v>
      </c>
      <c r="C162" s="30">
        <v>43888</v>
      </c>
      <c r="D162" t="s">
        <v>136</v>
      </c>
    </row>
    <row r="163" spans="1:4" x14ac:dyDescent="0.25">
      <c r="A163" s="12">
        <v>20029306</v>
      </c>
      <c r="B163" s="27" t="s">
        <v>2037</v>
      </c>
      <c r="C163" s="30">
        <v>43888</v>
      </c>
      <c r="D163" t="s">
        <v>136</v>
      </c>
    </row>
    <row r="164" spans="1:4" x14ac:dyDescent="0.25">
      <c r="A164" s="12">
        <v>20029328</v>
      </c>
      <c r="B164" s="27" t="s">
        <v>2049</v>
      </c>
      <c r="C164" s="30">
        <v>43888</v>
      </c>
      <c r="D164" t="s">
        <v>136</v>
      </c>
    </row>
    <row r="165" spans="1:4" x14ac:dyDescent="0.25">
      <c r="A165" s="12">
        <v>20029329</v>
      </c>
      <c r="B165" s="27" t="s">
        <v>2050</v>
      </c>
      <c r="C165" s="30">
        <v>43888</v>
      </c>
      <c r="D165" t="s">
        <v>136</v>
      </c>
    </row>
    <row r="166" spans="1:4" x14ac:dyDescent="0.25">
      <c r="A166" s="12">
        <v>20029331</v>
      </c>
      <c r="B166" s="27" t="s">
        <v>2052</v>
      </c>
      <c r="C166" s="30">
        <v>43888</v>
      </c>
      <c r="D166" t="s">
        <v>136</v>
      </c>
    </row>
    <row r="167" spans="1:4" x14ac:dyDescent="0.25">
      <c r="A167" s="12">
        <v>20029336</v>
      </c>
      <c r="B167" s="27" t="s">
        <v>2054</v>
      </c>
      <c r="C167" s="30">
        <v>43888</v>
      </c>
      <c r="D167" t="s">
        <v>136</v>
      </c>
    </row>
    <row r="168" spans="1:4" x14ac:dyDescent="0.25">
      <c r="A168" s="12">
        <v>20029337</v>
      </c>
      <c r="B168" s="27" t="s">
        <v>2055</v>
      </c>
      <c r="C168" s="30">
        <v>43888</v>
      </c>
      <c r="D168" t="s">
        <v>136</v>
      </c>
    </row>
    <row r="169" spans="1:4" x14ac:dyDescent="0.25">
      <c r="A169" s="12">
        <v>20029338</v>
      </c>
      <c r="B169" s="27" t="s">
        <v>2056</v>
      </c>
      <c r="C169" s="30">
        <v>43888</v>
      </c>
      <c r="D169" t="s">
        <v>136</v>
      </c>
    </row>
    <row r="170" spans="1:4" x14ac:dyDescent="0.25">
      <c r="A170" s="12">
        <v>20029342</v>
      </c>
      <c r="B170" s="27" t="s">
        <v>2060</v>
      </c>
      <c r="C170" s="30">
        <v>43888</v>
      </c>
      <c r="D170" t="s">
        <v>136</v>
      </c>
    </row>
    <row r="171" spans="1:4" x14ac:dyDescent="0.25">
      <c r="A171" s="12">
        <v>20029343</v>
      </c>
      <c r="B171" s="27" t="s">
        <v>2061</v>
      </c>
      <c r="C171" s="30">
        <v>43888</v>
      </c>
      <c r="D171" t="s">
        <v>136</v>
      </c>
    </row>
    <row r="172" spans="1:4" x14ac:dyDescent="0.25">
      <c r="A172" s="12">
        <v>20029344</v>
      </c>
      <c r="B172" s="27" t="s">
        <v>2062</v>
      </c>
      <c r="C172" s="30">
        <v>43888</v>
      </c>
      <c r="D172" t="s">
        <v>136</v>
      </c>
    </row>
    <row r="173" spans="1:4" x14ac:dyDescent="0.25">
      <c r="A173" s="12">
        <v>20029353</v>
      </c>
      <c r="B173" s="27" t="s">
        <v>2065</v>
      </c>
      <c r="C173" s="30">
        <v>43888</v>
      </c>
      <c r="D173" t="s">
        <v>136</v>
      </c>
    </row>
    <row r="174" spans="1:4" x14ac:dyDescent="0.25">
      <c r="A174" s="12">
        <v>20029383</v>
      </c>
      <c r="B174" s="27" t="s">
        <v>2073</v>
      </c>
      <c r="C174" s="30">
        <v>43888</v>
      </c>
      <c r="D174" t="s">
        <v>136</v>
      </c>
    </row>
    <row r="175" spans="1:4" x14ac:dyDescent="0.25">
      <c r="A175" s="12">
        <v>20029384</v>
      </c>
      <c r="B175" s="27" t="s">
        <v>2074</v>
      </c>
      <c r="C175" s="30">
        <v>43888</v>
      </c>
      <c r="D175" t="s">
        <v>136</v>
      </c>
    </row>
    <row r="176" spans="1:4" x14ac:dyDescent="0.25">
      <c r="A176" s="12">
        <v>20029385</v>
      </c>
      <c r="B176" s="27" t="s">
        <v>2075</v>
      </c>
      <c r="C176" s="30">
        <v>43888</v>
      </c>
      <c r="D176" t="s">
        <v>136</v>
      </c>
    </row>
    <row r="177" spans="1:4" x14ac:dyDescent="0.25">
      <c r="A177" s="12">
        <v>20029479</v>
      </c>
      <c r="B177" s="27" t="s">
        <v>2081</v>
      </c>
      <c r="C177" s="30">
        <v>43888</v>
      </c>
      <c r="D177" t="s">
        <v>136</v>
      </c>
    </row>
    <row r="178" spans="1:4" x14ac:dyDescent="0.25">
      <c r="A178" s="12">
        <v>20029619</v>
      </c>
      <c r="B178" s="27" t="s">
        <v>2097</v>
      </c>
      <c r="C178" s="30">
        <v>43888</v>
      </c>
      <c r="D178" t="s">
        <v>136</v>
      </c>
    </row>
    <row r="179" spans="1:4" x14ac:dyDescent="0.25">
      <c r="A179" s="12">
        <v>20029657</v>
      </c>
      <c r="B179" s="27" t="s">
        <v>2106</v>
      </c>
      <c r="C179" s="30">
        <v>43888</v>
      </c>
      <c r="D179" t="s">
        <v>136</v>
      </c>
    </row>
    <row r="180" spans="1:4" x14ac:dyDescent="0.25">
      <c r="A180" s="12">
        <v>20030251</v>
      </c>
      <c r="B180" s="27" t="s">
        <v>2178</v>
      </c>
      <c r="C180" s="30">
        <v>43888</v>
      </c>
      <c r="D180" t="s">
        <v>136</v>
      </c>
    </row>
    <row r="181" spans="1:4" x14ac:dyDescent="0.25">
      <c r="A181" s="12">
        <v>20030299</v>
      </c>
      <c r="B181" s="27" t="s">
        <v>2183</v>
      </c>
      <c r="C181" s="30">
        <v>43888</v>
      </c>
      <c r="D181" t="s">
        <v>136</v>
      </c>
    </row>
    <row r="182" spans="1:4" x14ac:dyDescent="0.25">
      <c r="A182" s="12">
        <v>20030300</v>
      </c>
      <c r="B182" s="27" t="s">
        <v>2184</v>
      </c>
      <c r="C182" s="30">
        <v>43888</v>
      </c>
      <c r="D182" t="s">
        <v>136</v>
      </c>
    </row>
    <row r="183" spans="1:4" x14ac:dyDescent="0.25">
      <c r="A183" s="12">
        <v>20030822</v>
      </c>
      <c r="B183" s="27" t="s">
        <v>2226</v>
      </c>
      <c r="C183" s="30">
        <v>43888</v>
      </c>
      <c r="D183" t="s">
        <v>136</v>
      </c>
    </row>
    <row r="184" spans="1:4" x14ac:dyDescent="0.25">
      <c r="A184" s="12">
        <v>20032102</v>
      </c>
      <c r="B184" s="27" t="s">
        <v>2410</v>
      </c>
      <c r="C184" s="30">
        <v>43888</v>
      </c>
      <c r="D184" t="s">
        <v>136</v>
      </c>
    </row>
    <row r="185" spans="1:4" x14ac:dyDescent="0.25">
      <c r="A185" s="12">
        <v>20032124</v>
      </c>
      <c r="B185" s="27" t="s">
        <v>2417</v>
      </c>
      <c r="C185" s="30">
        <v>43888</v>
      </c>
      <c r="D185" t="s">
        <v>136</v>
      </c>
    </row>
    <row r="186" spans="1:4" x14ac:dyDescent="0.25">
      <c r="A186" s="12">
        <v>20032144</v>
      </c>
      <c r="B186" s="27" t="s">
        <v>2421</v>
      </c>
      <c r="C186" s="30">
        <v>43888</v>
      </c>
      <c r="D186" t="s">
        <v>136</v>
      </c>
    </row>
    <row r="187" spans="1:4" x14ac:dyDescent="0.25">
      <c r="A187" s="12">
        <v>20032539</v>
      </c>
      <c r="B187" s="27" t="s">
        <v>2444</v>
      </c>
      <c r="C187" s="30">
        <v>43888</v>
      </c>
      <c r="D187" t="s">
        <v>136</v>
      </c>
    </row>
    <row r="188" spans="1:4" x14ac:dyDescent="0.25">
      <c r="A188" s="12">
        <v>20032541</v>
      </c>
      <c r="B188" s="27" t="s">
        <v>2445</v>
      </c>
      <c r="C188" s="30">
        <v>43888</v>
      </c>
      <c r="D188" t="s">
        <v>136</v>
      </c>
    </row>
    <row r="189" spans="1:4" x14ac:dyDescent="0.25">
      <c r="A189" s="12">
        <v>20032820</v>
      </c>
      <c r="B189" s="27" t="s">
        <v>2491</v>
      </c>
      <c r="C189" s="30">
        <v>43888</v>
      </c>
      <c r="D189" t="s">
        <v>136</v>
      </c>
    </row>
    <row r="190" spans="1:4" x14ac:dyDescent="0.25">
      <c r="A190" s="12">
        <v>20033293</v>
      </c>
      <c r="B190" s="27" t="s">
        <v>2529</v>
      </c>
      <c r="C190" s="30">
        <v>43888</v>
      </c>
      <c r="D190" t="s">
        <v>136</v>
      </c>
    </row>
    <row r="191" spans="1:4" x14ac:dyDescent="0.25">
      <c r="A191" s="12">
        <v>20034508</v>
      </c>
      <c r="B191" s="27" t="s">
        <v>2724</v>
      </c>
      <c r="C191" s="30">
        <v>43888</v>
      </c>
      <c r="D191" t="s">
        <v>136</v>
      </c>
    </row>
    <row r="192" spans="1:4" x14ac:dyDescent="0.25">
      <c r="A192" s="12">
        <v>20034560</v>
      </c>
      <c r="B192" s="27" t="s">
        <v>2735</v>
      </c>
      <c r="C192" s="30">
        <v>43888</v>
      </c>
      <c r="D192" t="s">
        <v>136</v>
      </c>
    </row>
    <row r="193" spans="1:4" x14ac:dyDescent="0.25">
      <c r="A193" s="12">
        <v>20034708</v>
      </c>
      <c r="B193" s="27" t="s">
        <v>2743</v>
      </c>
      <c r="C193" s="30">
        <v>43888</v>
      </c>
      <c r="D193" t="s">
        <v>136</v>
      </c>
    </row>
    <row r="194" spans="1:4" x14ac:dyDescent="0.25">
      <c r="A194" s="12">
        <v>20035089</v>
      </c>
      <c r="B194" s="27" t="s">
        <v>2863</v>
      </c>
      <c r="C194" s="30">
        <v>43888</v>
      </c>
      <c r="D194" t="s">
        <v>136</v>
      </c>
    </row>
    <row r="195" spans="1:4" x14ac:dyDescent="0.25">
      <c r="A195" s="12">
        <v>20035641</v>
      </c>
      <c r="B195" s="27" t="s">
        <v>2992</v>
      </c>
      <c r="C195" s="30">
        <v>43888</v>
      </c>
      <c r="D195" t="s">
        <v>136</v>
      </c>
    </row>
    <row r="196" spans="1:4" x14ac:dyDescent="0.25">
      <c r="A196" s="12">
        <v>20036049</v>
      </c>
      <c r="B196" s="27" t="s">
        <v>3065</v>
      </c>
      <c r="C196" s="30">
        <v>43888</v>
      </c>
      <c r="D196" t="s">
        <v>136</v>
      </c>
    </row>
    <row r="197" spans="1:4" x14ac:dyDescent="0.25">
      <c r="A197" s="12">
        <v>20036181</v>
      </c>
      <c r="B197" s="27" t="s">
        <v>11025</v>
      </c>
      <c r="C197" s="30">
        <v>43888</v>
      </c>
      <c r="D197" t="s">
        <v>136</v>
      </c>
    </row>
    <row r="198" spans="1:4" x14ac:dyDescent="0.25">
      <c r="A198" s="12">
        <v>20036268</v>
      </c>
      <c r="B198" s="27" t="s">
        <v>3103</v>
      </c>
      <c r="C198" s="30">
        <v>43888</v>
      </c>
      <c r="D198" t="s">
        <v>136</v>
      </c>
    </row>
    <row r="199" spans="1:4" x14ac:dyDescent="0.25">
      <c r="A199" s="12">
        <v>20036269</v>
      </c>
      <c r="B199" s="27" t="s">
        <v>3104</v>
      </c>
      <c r="C199" s="30">
        <v>43888</v>
      </c>
      <c r="D199" t="s">
        <v>136</v>
      </c>
    </row>
    <row r="200" spans="1:4" x14ac:dyDescent="0.25">
      <c r="A200" s="12">
        <v>20036317</v>
      </c>
      <c r="B200" s="27" t="s">
        <v>3119</v>
      </c>
      <c r="C200" s="30">
        <v>43888</v>
      </c>
      <c r="D200" t="s">
        <v>136</v>
      </c>
    </row>
    <row r="201" spans="1:4" x14ac:dyDescent="0.25">
      <c r="A201" s="12">
        <v>20036328</v>
      </c>
      <c r="B201" s="27" t="s">
        <v>3121</v>
      </c>
      <c r="C201" s="30">
        <v>43888</v>
      </c>
      <c r="D201" t="s">
        <v>136</v>
      </c>
    </row>
    <row r="202" spans="1:4" x14ac:dyDescent="0.25">
      <c r="A202" s="12">
        <v>20036408</v>
      </c>
      <c r="B202" s="27" t="s">
        <v>3135</v>
      </c>
      <c r="C202" s="30">
        <v>43888</v>
      </c>
      <c r="D202" t="s">
        <v>136</v>
      </c>
    </row>
    <row r="203" spans="1:4" x14ac:dyDescent="0.25">
      <c r="A203" s="12">
        <v>20036622</v>
      </c>
      <c r="B203" s="27" t="s">
        <v>3142</v>
      </c>
      <c r="C203" s="30">
        <v>43888</v>
      </c>
      <c r="D203" t="s">
        <v>136</v>
      </c>
    </row>
    <row r="204" spans="1:4" x14ac:dyDescent="0.25">
      <c r="A204" s="12">
        <v>20036623</v>
      </c>
      <c r="B204" s="27" t="s">
        <v>3143</v>
      </c>
      <c r="C204" s="30">
        <v>43888</v>
      </c>
      <c r="D204" t="s">
        <v>136</v>
      </c>
    </row>
    <row r="205" spans="1:4" x14ac:dyDescent="0.25">
      <c r="A205" s="12">
        <v>20036624</v>
      </c>
      <c r="B205" s="27" t="s">
        <v>3144</v>
      </c>
      <c r="C205" s="30">
        <v>43888</v>
      </c>
      <c r="D205" t="s">
        <v>136</v>
      </c>
    </row>
    <row r="206" spans="1:4" x14ac:dyDescent="0.25">
      <c r="A206" s="12">
        <v>20036822</v>
      </c>
      <c r="B206" s="27" t="s">
        <v>3183</v>
      </c>
      <c r="C206" s="30">
        <v>43888</v>
      </c>
      <c r="D206" t="s">
        <v>136</v>
      </c>
    </row>
    <row r="207" spans="1:4" x14ac:dyDescent="0.25">
      <c r="A207" s="12">
        <v>20036823</v>
      </c>
      <c r="B207" s="27" t="s">
        <v>3184</v>
      </c>
      <c r="C207" s="30">
        <v>43888</v>
      </c>
      <c r="D207" t="s">
        <v>136</v>
      </c>
    </row>
    <row r="208" spans="1:4" x14ac:dyDescent="0.25">
      <c r="A208" s="12">
        <v>20036824</v>
      </c>
      <c r="B208" s="27" t="s">
        <v>3185</v>
      </c>
      <c r="C208" s="30">
        <v>43888</v>
      </c>
      <c r="D208" t="s">
        <v>136</v>
      </c>
    </row>
    <row r="209" spans="1:4" x14ac:dyDescent="0.25">
      <c r="A209" s="12">
        <v>20036849</v>
      </c>
      <c r="B209" s="27" t="s">
        <v>3190</v>
      </c>
      <c r="C209" s="30">
        <v>43888</v>
      </c>
      <c r="D209" t="s">
        <v>136</v>
      </c>
    </row>
    <row r="210" spans="1:4" x14ac:dyDescent="0.25">
      <c r="A210" s="12">
        <v>20036852</v>
      </c>
      <c r="B210" s="27" t="s">
        <v>3193</v>
      </c>
      <c r="C210" s="30">
        <v>43888</v>
      </c>
      <c r="D210" t="s">
        <v>136</v>
      </c>
    </row>
    <row r="211" spans="1:4" x14ac:dyDescent="0.25">
      <c r="A211" s="12">
        <v>20036853</v>
      </c>
      <c r="B211" s="27" t="s">
        <v>3194</v>
      </c>
      <c r="C211" s="30">
        <v>43888</v>
      </c>
      <c r="D211" t="s">
        <v>136</v>
      </c>
    </row>
    <row r="212" spans="1:4" x14ac:dyDescent="0.25">
      <c r="A212" s="12">
        <v>20036874</v>
      </c>
      <c r="B212" s="27" t="s">
        <v>3212</v>
      </c>
      <c r="C212" s="30">
        <v>43888</v>
      </c>
      <c r="D212" t="s">
        <v>136</v>
      </c>
    </row>
    <row r="213" spans="1:4" x14ac:dyDescent="0.25">
      <c r="A213" s="12">
        <v>20036979</v>
      </c>
      <c r="B213" s="27" t="s">
        <v>3249</v>
      </c>
      <c r="C213" s="30">
        <v>43888</v>
      </c>
      <c r="D213" t="s">
        <v>136</v>
      </c>
    </row>
    <row r="214" spans="1:4" x14ac:dyDescent="0.25">
      <c r="A214" s="12">
        <v>20037709</v>
      </c>
      <c r="B214" s="27" t="s">
        <v>3415</v>
      </c>
      <c r="C214" s="30">
        <v>43888</v>
      </c>
      <c r="D214" t="s">
        <v>136</v>
      </c>
    </row>
    <row r="215" spans="1:4" x14ac:dyDescent="0.25">
      <c r="A215" s="12">
        <v>20038289</v>
      </c>
      <c r="B215" s="27" t="s">
        <v>3501</v>
      </c>
      <c r="C215" s="30">
        <v>43888</v>
      </c>
      <c r="D215" t="s">
        <v>136</v>
      </c>
    </row>
    <row r="216" spans="1:4" x14ac:dyDescent="0.25">
      <c r="A216" s="12">
        <v>20038538</v>
      </c>
      <c r="B216" s="27" t="s">
        <v>3535</v>
      </c>
      <c r="C216" s="30">
        <v>43888</v>
      </c>
      <c r="D216" t="s">
        <v>136</v>
      </c>
    </row>
    <row r="217" spans="1:4" x14ac:dyDescent="0.25">
      <c r="A217" s="12">
        <v>20038832</v>
      </c>
      <c r="B217" s="27" t="s">
        <v>3591</v>
      </c>
      <c r="C217" s="30">
        <v>43888</v>
      </c>
      <c r="D217" t="s">
        <v>136</v>
      </c>
    </row>
    <row r="218" spans="1:4" x14ac:dyDescent="0.25">
      <c r="A218" s="12">
        <v>20039090</v>
      </c>
      <c r="B218" s="27" t="s">
        <v>3635</v>
      </c>
      <c r="C218" s="30">
        <v>43888</v>
      </c>
      <c r="D218" t="s">
        <v>136</v>
      </c>
    </row>
    <row r="219" spans="1:4" x14ac:dyDescent="0.25">
      <c r="A219" s="12">
        <v>20039276</v>
      </c>
      <c r="B219" s="27" t="s">
        <v>3703</v>
      </c>
      <c r="C219" s="30">
        <v>43888</v>
      </c>
      <c r="D219" t="s">
        <v>136</v>
      </c>
    </row>
    <row r="220" spans="1:4" x14ac:dyDescent="0.25">
      <c r="A220" s="12">
        <v>20039300</v>
      </c>
      <c r="B220" s="27" t="s">
        <v>3714</v>
      </c>
      <c r="C220" s="30">
        <v>43888</v>
      </c>
      <c r="D220" t="s">
        <v>136</v>
      </c>
    </row>
    <row r="221" spans="1:4" x14ac:dyDescent="0.25">
      <c r="A221" s="12">
        <v>20039301</v>
      </c>
      <c r="B221" s="27" t="s">
        <v>3715</v>
      </c>
      <c r="C221" s="30">
        <v>43888</v>
      </c>
      <c r="D221" t="s">
        <v>136</v>
      </c>
    </row>
    <row r="222" spans="1:4" x14ac:dyDescent="0.25">
      <c r="A222" s="12">
        <v>20039303</v>
      </c>
      <c r="B222" s="27" t="s">
        <v>3717</v>
      </c>
      <c r="C222" s="30">
        <v>43888</v>
      </c>
      <c r="D222" t="s">
        <v>136</v>
      </c>
    </row>
    <row r="223" spans="1:4" x14ac:dyDescent="0.25">
      <c r="A223" s="12">
        <v>20039304</v>
      </c>
      <c r="B223" s="27" t="s">
        <v>3718</v>
      </c>
      <c r="C223" s="30">
        <v>43888</v>
      </c>
      <c r="D223" t="s">
        <v>136</v>
      </c>
    </row>
    <row r="224" spans="1:4" x14ac:dyDescent="0.25">
      <c r="A224" s="12">
        <v>20039305</v>
      </c>
      <c r="B224" s="27" t="s">
        <v>3719</v>
      </c>
      <c r="C224" s="30">
        <v>43888</v>
      </c>
      <c r="D224" t="s">
        <v>136</v>
      </c>
    </row>
    <row r="225" spans="1:4" x14ac:dyDescent="0.25">
      <c r="A225" s="12">
        <v>20039306</v>
      </c>
      <c r="B225" s="27" t="s">
        <v>3720</v>
      </c>
      <c r="C225" s="30">
        <v>43888</v>
      </c>
      <c r="D225" t="s">
        <v>136</v>
      </c>
    </row>
    <row r="226" spans="1:4" x14ac:dyDescent="0.25">
      <c r="A226" s="12">
        <v>20039307</v>
      </c>
      <c r="B226" s="27" t="s">
        <v>3721</v>
      </c>
      <c r="C226" s="30">
        <v>43888</v>
      </c>
      <c r="D226" t="s">
        <v>136</v>
      </c>
    </row>
    <row r="227" spans="1:4" x14ac:dyDescent="0.25">
      <c r="A227" s="12">
        <v>20039311</v>
      </c>
      <c r="B227" s="27" t="s">
        <v>3725</v>
      </c>
      <c r="C227" s="30">
        <v>43888</v>
      </c>
      <c r="D227" t="s">
        <v>136</v>
      </c>
    </row>
    <row r="228" spans="1:4" x14ac:dyDescent="0.25">
      <c r="A228" s="12">
        <v>20039413</v>
      </c>
      <c r="B228" s="27" t="s">
        <v>3762</v>
      </c>
      <c r="C228" s="30">
        <v>43888</v>
      </c>
      <c r="D228" t="s">
        <v>136</v>
      </c>
    </row>
    <row r="229" spans="1:4" x14ac:dyDescent="0.25">
      <c r="A229" s="12">
        <v>20039448</v>
      </c>
      <c r="B229" s="27" t="s">
        <v>3767</v>
      </c>
      <c r="C229" s="30">
        <v>43888</v>
      </c>
      <c r="D229" t="s">
        <v>136</v>
      </c>
    </row>
    <row r="230" spans="1:4" x14ac:dyDescent="0.25">
      <c r="A230" s="12">
        <v>20039469</v>
      </c>
      <c r="B230" s="27" t="s">
        <v>3770</v>
      </c>
      <c r="C230" s="30">
        <v>43888</v>
      </c>
      <c r="D230" t="s">
        <v>136</v>
      </c>
    </row>
    <row r="231" spans="1:4" x14ac:dyDescent="0.25">
      <c r="A231" s="12">
        <v>20039484</v>
      </c>
      <c r="B231" s="27" t="s">
        <v>3774</v>
      </c>
      <c r="C231" s="30">
        <v>43888</v>
      </c>
      <c r="D231" t="s">
        <v>136</v>
      </c>
    </row>
    <row r="232" spans="1:4" x14ac:dyDescent="0.25">
      <c r="A232" s="12">
        <v>20039485</v>
      </c>
      <c r="B232" s="27" t="s">
        <v>3775</v>
      </c>
      <c r="C232" s="30">
        <v>43888</v>
      </c>
      <c r="D232" t="s">
        <v>136</v>
      </c>
    </row>
    <row r="233" spans="1:4" x14ac:dyDescent="0.25">
      <c r="A233" s="12">
        <v>20039640</v>
      </c>
      <c r="B233" s="27" t="s">
        <v>3790</v>
      </c>
      <c r="C233" s="30">
        <v>43888</v>
      </c>
      <c r="D233" t="s">
        <v>136</v>
      </c>
    </row>
    <row r="234" spans="1:4" x14ac:dyDescent="0.25">
      <c r="A234" s="12">
        <v>20039648</v>
      </c>
      <c r="B234" s="27" t="s">
        <v>3791</v>
      </c>
      <c r="C234" s="30">
        <v>43888</v>
      </c>
      <c r="D234" t="s">
        <v>136</v>
      </c>
    </row>
    <row r="235" spans="1:4" x14ac:dyDescent="0.25">
      <c r="A235" s="12">
        <v>20039770</v>
      </c>
      <c r="B235" s="27" t="s">
        <v>3817</v>
      </c>
      <c r="C235" s="30">
        <v>43888</v>
      </c>
      <c r="D235" t="s">
        <v>136</v>
      </c>
    </row>
    <row r="236" spans="1:4" x14ac:dyDescent="0.25">
      <c r="A236" s="12">
        <v>20039779</v>
      </c>
      <c r="B236" s="27" t="s">
        <v>3825</v>
      </c>
      <c r="C236" s="30">
        <v>43888</v>
      </c>
      <c r="D236" t="s">
        <v>136</v>
      </c>
    </row>
    <row r="237" spans="1:4" x14ac:dyDescent="0.25">
      <c r="A237" s="12">
        <v>20039901</v>
      </c>
      <c r="B237" s="27" t="s">
        <v>3847</v>
      </c>
      <c r="C237" s="30">
        <v>43888</v>
      </c>
      <c r="D237" t="s">
        <v>136</v>
      </c>
    </row>
    <row r="238" spans="1:4" x14ac:dyDescent="0.25">
      <c r="A238" s="12">
        <v>20039902</v>
      </c>
      <c r="B238" s="27" t="s">
        <v>3848</v>
      </c>
      <c r="C238" s="30">
        <v>43888</v>
      </c>
      <c r="D238" t="s">
        <v>136</v>
      </c>
    </row>
    <row r="239" spans="1:4" x14ac:dyDescent="0.25">
      <c r="A239" s="12">
        <v>20039911</v>
      </c>
      <c r="B239" s="27" t="s">
        <v>3852</v>
      </c>
      <c r="C239" s="30">
        <v>43888</v>
      </c>
      <c r="D239" t="s">
        <v>136</v>
      </c>
    </row>
    <row r="240" spans="1:4" x14ac:dyDescent="0.25">
      <c r="A240" s="12">
        <v>20039990</v>
      </c>
      <c r="B240" s="27" t="s">
        <v>3868</v>
      </c>
      <c r="C240" s="30">
        <v>43888</v>
      </c>
      <c r="D240" t="s">
        <v>136</v>
      </c>
    </row>
    <row r="241" spans="1:4" x14ac:dyDescent="0.25">
      <c r="A241" s="12">
        <v>20039991</v>
      </c>
      <c r="B241" s="27" t="s">
        <v>3869</v>
      </c>
      <c r="C241" s="30">
        <v>43888</v>
      </c>
      <c r="D241" t="s">
        <v>136</v>
      </c>
    </row>
    <row r="242" spans="1:4" x14ac:dyDescent="0.25">
      <c r="A242" s="12">
        <v>20039992</v>
      </c>
      <c r="B242" s="27" t="s">
        <v>3870</v>
      </c>
      <c r="C242" s="30">
        <v>43888</v>
      </c>
      <c r="D242" t="s">
        <v>136</v>
      </c>
    </row>
    <row r="243" spans="1:4" x14ac:dyDescent="0.25">
      <c r="A243" s="12">
        <v>20039993</v>
      </c>
      <c r="B243" s="27" t="s">
        <v>3871</v>
      </c>
      <c r="C243" s="30">
        <v>43888</v>
      </c>
      <c r="D243" t="s">
        <v>136</v>
      </c>
    </row>
    <row r="244" spans="1:4" x14ac:dyDescent="0.25">
      <c r="A244" s="12">
        <v>20040149</v>
      </c>
      <c r="B244" s="27" t="s">
        <v>3891</v>
      </c>
      <c r="C244" s="30">
        <v>43888</v>
      </c>
      <c r="D244" t="s">
        <v>136</v>
      </c>
    </row>
    <row r="245" spans="1:4" x14ac:dyDescent="0.25">
      <c r="A245" s="12">
        <v>20040188</v>
      </c>
      <c r="B245" s="27" t="s">
        <v>3896</v>
      </c>
      <c r="C245" s="30">
        <v>43888</v>
      </c>
      <c r="D245" t="s">
        <v>136</v>
      </c>
    </row>
    <row r="246" spans="1:4" x14ac:dyDescent="0.25">
      <c r="A246" s="12">
        <v>20040230</v>
      </c>
      <c r="B246" s="27" t="s">
        <v>3919</v>
      </c>
      <c r="C246" s="30">
        <v>43888</v>
      </c>
      <c r="D246" t="s">
        <v>136</v>
      </c>
    </row>
    <row r="247" spans="1:4" x14ac:dyDescent="0.25">
      <c r="A247" s="12">
        <v>20040325</v>
      </c>
      <c r="B247" s="27" t="s">
        <v>3956</v>
      </c>
      <c r="C247" s="30">
        <v>43888</v>
      </c>
      <c r="D247" t="s">
        <v>136</v>
      </c>
    </row>
    <row r="248" spans="1:4" x14ac:dyDescent="0.25">
      <c r="A248" s="12">
        <v>20040398</v>
      </c>
      <c r="B248" s="27" t="s">
        <v>3964</v>
      </c>
      <c r="C248" s="30">
        <v>43888</v>
      </c>
      <c r="D248" t="s">
        <v>136</v>
      </c>
    </row>
    <row r="249" spans="1:4" x14ac:dyDescent="0.25">
      <c r="A249" s="12">
        <v>20040519</v>
      </c>
      <c r="B249" s="27" t="s">
        <v>3981</v>
      </c>
      <c r="C249" s="30">
        <v>43888</v>
      </c>
      <c r="D249" t="s">
        <v>136</v>
      </c>
    </row>
    <row r="250" spans="1:4" x14ac:dyDescent="0.25">
      <c r="A250" s="12">
        <v>20040678</v>
      </c>
      <c r="B250" s="27" t="s">
        <v>4023</v>
      </c>
      <c r="C250" s="30">
        <v>43888</v>
      </c>
      <c r="D250" t="s">
        <v>136</v>
      </c>
    </row>
    <row r="251" spans="1:4" x14ac:dyDescent="0.25">
      <c r="A251" s="12">
        <v>20040681</v>
      </c>
      <c r="B251" s="27" t="s">
        <v>4025</v>
      </c>
      <c r="C251" s="30">
        <v>43888</v>
      </c>
      <c r="D251" t="s">
        <v>136</v>
      </c>
    </row>
    <row r="252" spans="1:4" x14ac:dyDescent="0.25">
      <c r="A252" s="12">
        <v>20040779</v>
      </c>
      <c r="B252" s="27" t="s">
        <v>4034</v>
      </c>
      <c r="C252" s="30">
        <v>43888</v>
      </c>
      <c r="D252" t="s">
        <v>136</v>
      </c>
    </row>
    <row r="253" spans="1:4" x14ac:dyDescent="0.25">
      <c r="A253" s="12">
        <v>20040809</v>
      </c>
      <c r="B253" s="27" t="s">
        <v>4038</v>
      </c>
      <c r="C253" s="30">
        <v>43888</v>
      </c>
      <c r="D253" t="s">
        <v>136</v>
      </c>
    </row>
    <row r="254" spans="1:4" x14ac:dyDescent="0.25">
      <c r="A254" s="12">
        <v>20040810</v>
      </c>
      <c r="B254" s="27" t="s">
        <v>4039</v>
      </c>
      <c r="C254" s="30">
        <v>43888</v>
      </c>
      <c r="D254" t="s">
        <v>136</v>
      </c>
    </row>
    <row r="255" spans="1:4" x14ac:dyDescent="0.25">
      <c r="A255" s="12">
        <v>20040893</v>
      </c>
      <c r="B255" s="27" t="s">
        <v>4088</v>
      </c>
      <c r="C255" s="30">
        <v>43888</v>
      </c>
      <c r="D255" t="s">
        <v>136</v>
      </c>
    </row>
    <row r="256" spans="1:4" x14ac:dyDescent="0.25">
      <c r="A256" s="12">
        <v>20040894</v>
      </c>
      <c r="B256" s="27" t="s">
        <v>4089</v>
      </c>
      <c r="C256" s="30">
        <v>43888</v>
      </c>
      <c r="D256" t="s">
        <v>136</v>
      </c>
    </row>
    <row r="257" spans="1:4" x14ac:dyDescent="0.25">
      <c r="A257" s="12">
        <v>20040918</v>
      </c>
      <c r="B257" s="27" t="s">
        <v>4090</v>
      </c>
      <c r="C257" s="30">
        <v>43888</v>
      </c>
      <c r="D257" t="s">
        <v>136</v>
      </c>
    </row>
    <row r="258" spans="1:4" x14ac:dyDescent="0.25">
      <c r="A258" s="12">
        <v>20040998</v>
      </c>
      <c r="B258" s="27" t="s">
        <v>4099</v>
      </c>
      <c r="C258" s="30">
        <v>43888</v>
      </c>
      <c r="D258" t="s">
        <v>136</v>
      </c>
    </row>
    <row r="259" spans="1:4" x14ac:dyDescent="0.25">
      <c r="A259" s="12">
        <v>20041179</v>
      </c>
      <c r="B259" s="27" t="s">
        <v>4143</v>
      </c>
      <c r="C259" s="30">
        <v>43888</v>
      </c>
      <c r="D259" t="s">
        <v>136</v>
      </c>
    </row>
    <row r="260" spans="1:4" x14ac:dyDescent="0.25">
      <c r="A260" s="12">
        <v>20041238</v>
      </c>
      <c r="B260" s="27" t="s">
        <v>4144</v>
      </c>
      <c r="C260" s="30">
        <v>43888</v>
      </c>
      <c r="D260" t="s">
        <v>136</v>
      </c>
    </row>
    <row r="261" spans="1:4" x14ac:dyDescent="0.25">
      <c r="A261" s="12">
        <v>20041318</v>
      </c>
      <c r="B261" s="27" t="s">
        <v>4159</v>
      </c>
      <c r="C261" s="30">
        <v>43888</v>
      </c>
      <c r="D261" t="s">
        <v>136</v>
      </c>
    </row>
    <row r="262" spans="1:4" x14ac:dyDescent="0.25">
      <c r="A262" s="12">
        <v>20041319</v>
      </c>
      <c r="B262" s="27" t="s">
        <v>4163</v>
      </c>
      <c r="C262" s="30">
        <v>43888</v>
      </c>
      <c r="D262" t="s">
        <v>136</v>
      </c>
    </row>
    <row r="263" spans="1:4" x14ac:dyDescent="0.25">
      <c r="A263" s="12">
        <v>20041459</v>
      </c>
      <c r="B263" s="27" t="s">
        <v>4247</v>
      </c>
      <c r="C263" s="30">
        <v>43888</v>
      </c>
      <c r="D263" t="s">
        <v>136</v>
      </c>
    </row>
    <row r="264" spans="1:4" x14ac:dyDescent="0.25">
      <c r="A264" s="12">
        <v>20041551</v>
      </c>
      <c r="B264" s="27" t="s">
        <v>4286</v>
      </c>
      <c r="C264" s="30">
        <v>43888</v>
      </c>
      <c r="D264" t="s">
        <v>136</v>
      </c>
    </row>
    <row r="265" spans="1:4" x14ac:dyDescent="0.25">
      <c r="A265" s="12">
        <v>20041552</v>
      </c>
      <c r="B265" s="27" t="s">
        <v>4287</v>
      </c>
      <c r="C265" s="30">
        <v>43888</v>
      </c>
      <c r="D265" t="s">
        <v>136</v>
      </c>
    </row>
    <row r="266" spans="1:4" x14ac:dyDescent="0.25">
      <c r="A266" s="12">
        <v>20041553</v>
      </c>
      <c r="B266" s="27" t="s">
        <v>4288</v>
      </c>
      <c r="C266" s="30">
        <v>43888</v>
      </c>
      <c r="D266" t="s">
        <v>136</v>
      </c>
    </row>
    <row r="267" spans="1:4" x14ac:dyDescent="0.25">
      <c r="A267" s="12">
        <v>20041592</v>
      </c>
      <c r="B267" s="27" t="s">
        <v>4309</v>
      </c>
      <c r="C267" s="30">
        <v>43888</v>
      </c>
      <c r="D267" t="s">
        <v>136</v>
      </c>
    </row>
    <row r="268" spans="1:4" x14ac:dyDescent="0.25">
      <c r="A268" s="12">
        <v>20041593</v>
      </c>
      <c r="B268" s="27" t="s">
        <v>4310</v>
      </c>
      <c r="C268" s="30">
        <v>43888</v>
      </c>
      <c r="D268" t="s">
        <v>136</v>
      </c>
    </row>
    <row r="269" spans="1:4" x14ac:dyDescent="0.25">
      <c r="A269" s="12">
        <v>20041651</v>
      </c>
      <c r="B269" s="27" t="s">
        <v>4324</v>
      </c>
      <c r="C269" s="30">
        <v>43888</v>
      </c>
      <c r="D269" t="s">
        <v>136</v>
      </c>
    </row>
    <row r="270" spans="1:4" x14ac:dyDescent="0.25">
      <c r="A270" s="12">
        <v>20041682</v>
      </c>
      <c r="B270" s="27" t="s">
        <v>4346</v>
      </c>
      <c r="C270" s="30">
        <v>43888</v>
      </c>
      <c r="D270" t="s">
        <v>136</v>
      </c>
    </row>
    <row r="271" spans="1:4" x14ac:dyDescent="0.25">
      <c r="A271" s="12">
        <v>20041869</v>
      </c>
      <c r="B271" s="27" t="s">
        <v>4368</v>
      </c>
      <c r="C271" s="30">
        <v>43888</v>
      </c>
      <c r="D271" t="s">
        <v>136</v>
      </c>
    </row>
    <row r="272" spans="1:4" x14ac:dyDescent="0.25">
      <c r="A272" s="12">
        <v>20041929</v>
      </c>
      <c r="B272" s="27" t="s">
        <v>4384</v>
      </c>
      <c r="C272" s="30">
        <v>43888</v>
      </c>
      <c r="D272" t="s">
        <v>136</v>
      </c>
    </row>
    <row r="273" spans="1:4" x14ac:dyDescent="0.25">
      <c r="A273" s="12">
        <v>20041930</v>
      </c>
      <c r="B273" s="27" t="s">
        <v>4385</v>
      </c>
      <c r="C273" s="30">
        <v>43888</v>
      </c>
      <c r="D273" t="s">
        <v>136</v>
      </c>
    </row>
    <row r="274" spans="1:4" x14ac:dyDescent="0.25">
      <c r="A274" s="12">
        <v>20041931</v>
      </c>
      <c r="B274" s="27" t="s">
        <v>4386</v>
      </c>
      <c r="C274" s="30">
        <v>43888</v>
      </c>
      <c r="D274" t="s">
        <v>136</v>
      </c>
    </row>
    <row r="275" spans="1:4" x14ac:dyDescent="0.25">
      <c r="A275" s="12">
        <v>20042042</v>
      </c>
      <c r="B275" s="27" t="s">
        <v>4470</v>
      </c>
      <c r="C275" s="30">
        <v>43888</v>
      </c>
      <c r="D275" t="s">
        <v>136</v>
      </c>
    </row>
    <row r="276" spans="1:4" x14ac:dyDescent="0.25">
      <c r="A276" s="12">
        <v>26000721</v>
      </c>
      <c r="B276" s="27" t="s">
        <v>11776</v>
      </c>
      <c r="C276" s="30">
        <v>43888</v>
      </c>
      <c r="D276" t="s">
        <v>136</v>
      </c>
    </row>
    <row r="277" spans="1:4" x14ac:dyDescent="0.25">
      <c r="A277" s="12">
        <v>26000725</v>
      </c>
      <c r="B277" s="27" t="s">
        <v>11778</v>
      </c>
      <c r="C277" s="30">
        <v>43888</v>
      </c>
      <c r="D277" t="s">
        <v>136</v>
      </c>
    </row>
    <row r="278" spans="1:4" x14ac:dyDescent="0.25">
      <c r="A278" s="12">
        <v>26000729</v>
      </c>
      <c r="B278" s="27" t="s">
        <v>11308</v>
      </c>
      <c r="C278" s="30">
        <v>43888</v>
      </c>
      <c r="D278" t="s">
        <v>136</v>
      </c>
    </row>
    <row r="279" spans="1:4" x14ac:dyDescent="0.25">
      <c r="A279" s="12">
        <v>26000737</v>
      </c>
      <c r="B279" s="27" t="s">
        <v>11782</v>
      </c>
      <c r="C279" s="30">
        <v>43888</v>
      </c>
      <c r="D279" t="s">
        <v>136</v>
      </c>
    </row>
    <row r="280" spans="1:4" x14ac:dyDescent="0.25">
      <c r="A280" s="12">
        <v>26000745</v>
      </c>
      <c r="B280" s="27" t="s">
        <v>11788</v>
      </c>
      <c r="C280" s="30">
        <v>43888</v>
      </c>
      <c r="D280" t="s">
        <v>136</v>
      </c>
    </row>
    <row r="281" spans="1:4" x14ac:dyDescent="0.25">
      <c r="A281" s="12">
        <v>26001090</v>
      </c>
      <c r="B281" s="27" t="s">
        <v>2888</v>
      </c>
      <c r="C281" s="30">
        <v>43888</v>
      </c>
      <c r="D281" t="s">
        <v>136</v>
      </c>
    </row>
    <row r="282" spans="1:4" x14ac:dyDescent="0.25">
      <c r="A282" s="12">
        <v>26001120</v>
      </c>
      <c r="B282" s="27" t="s">
        <v>2893</v>
      </c>
      <c r="C282" s="30">
        <v>43888</v>
      </c>
      <c r="D282" t="s">
        <v>136</v>
      </c>
    </row>
    <row r="283" spans="1:4" x14ac:dyDescent="0.25">
      <c r="A283" s="12">
        <v>26001150</v>
      </c>
      <c r="B283" s="27" t="s">
        <v>2898</v>
      </c>
      <c r="C283" s="30">
        <v>43888</v>
      </c>
      <c r="D283" t="s">
        <v>136</v>
      </c>
    </row>
    <row r="284" spans="1:4" x14ac:dyDescent="0.25">
      <c r="A284" s="83">
        <v>20041556</v>
      </c>
      <c r="B284" s="27" t="s">
        <v>4291</v>
      </c>
      <c r="C284" s="30">
        <v>43900</v>
      </c>
      <c r="D284" t="s">
        <v>137</v>
      </c>
    </row>
    <row r="285" spans="1:4" x14ac:dyDescent="0.25">
      <c r="A285" s="83">
        <v>20037899</v>
      </c>
      <c r="B285" s="27" t="s">
        <v>3425</v>
      </c>
      <c r="C285" s="30">
        <v>43902</v>
      </c>
      <c r="D285" t="s">
        <v>137</v>
      </c>
    </row>
    <row r="286" spans="1:4" x14ac:dyDescent="0.25">
      <c r="A286" s="83">
        <v>20042092</v>
      </c>
      <c r="B286" s="27" t="s">
        <v>4474</v>
      </c>
      <c r="C286" s="30">
        <v>43913</v>
      </c>
      <c r="D286" t="s">
        <v>137</v>
      </c>
    </row>
    <row r="287" spans="1:4" x14ac:dyDescent="0.25">
      <c r="A287" s="84">
        <v>20000982</v>
      </c>
      <c r="B287" s="27" t="s">
        <v>407</v>
      </c>
      <c r="C287" s="30">
        <v>43915</v>
      </c>
      <c r="D287" t="s">
        <v>138</v>
      </c>
    </row>
    <row r="288" spans="1:4" x14ac:dyDescent="0.25">
      <c r="A288" s="85">
        <v>20004249</v>
      </c>
      <c r="B288" s="27" t="s">
        <v>915</v>
      </c>
      <c r="C288" s="30">
        <v>43915</v>
      </c>
      <c r="D288" t="s">
        <v>138</v>
      </c>
    </row>
    <row r="289" spans="1:4" x14ac:dyDescent="0.25">
      <c r="A289" s="84">
        <v>20004459</v>
      </c>
      <c r="B289" s="27" t="s">
        <v>927</v>
      </c>
      <c r="C289" s="30">
        <v>43915</v>
      </c>
      <c r="D289" t="s">
        <v>138</v>
      </c>
    </row>
    <row r="290" spans="1:4" x14ac:dyDescent="0.25">
      <c r="A290" s="86">
        <v>20005863</v>
      </c>
      <c r="B290" s="54" t="s">
        <v>1014</v>
      </c>
      <c r="C290" s="48">
        <v>43915</v>
      </c>
      <c r="D290" s="49" t="s">
        <v>139</v>
      </c>
    </row>
    <row r="291" spans="1:4" x14ac:dyDescent="0.25">
      <c r="A291" s="87">
        <v>20005888</v>
      </c>
      <c r="B291" s="27" t="s">
        <v>1023</v>
      </c>
      <c r="C291" s="30">
        <v>43915</v>
      </c>
      <c r="D291" t="s">
        <v>138</v>
      </c>
    </row>
    <row r="292" spans="1:4" x14ac:dyDescent="0.25">
      <c r="A292" s="84">
        <v>20011055</v>
      </c>
      <c r="B292" s="27" t="s">
        <v>1274</v>
      </c>
      <c r="C292" s="30">
        <v>43915</v>
      </c>
      <c r="D292" t="s">
        <v>138</v>
      </c>
    </row>
    <row r="293" spans="1:4" x14ac:dyDescent="0.25">
      <c r="A293" s="84">
        <v>20011138</v>
      </c>
      <c r="B293" s="27" t="s">
        <v>1280</v>
      </c>
      <c r="C293" s="30">
        <v>43915</v>
      </c>
      <c r="D293" t="s">
        <v>138</v>
      </c>
    </row>
    <row r="294" spans="1:4" x14ac:dyDescent="0.25">
      <c r="A294" s="84">
        <v>20011139</v>
      </c>
      <c r="B294" s="27" t="s">
        <v>1281</v>
      </c>
      <c r="C294" s="30">
        <v>43915</v>
      </c>
      <c r="D294" t="s">
        <v>138</v>
      </c>
    </row>
    <row r="295" spans="1:4" x14ac:dyDescent="0.25">
      <c r="A295" s="84">
        <v>20011225</v>
      </c>
      <c r="B295" s="27" t="s">
        <v>1286</v>
      </c>
      <c r="C295" s="30">
        <v>43915</v>
      </c>
      <c r="D295" t="s">
        <v>138</v>
      </c>
    </row>
    <row r="296" spans="1:4" x14ac:dyDescent="0.25">
      <c r="A296" s="84">
        <v>20015512</v>
      </c>
      <c r="B296" s="27" t="s">
        <v>1394</v>
      </c>
      <c r="C296" s="30">
        <v>43915</v>
      </c>
      <c r="D296" t="s">
        <v>138</v>
      </c>
    </row>
    <row r="297" spans="1:4" x14ac:dyDescent="0.25">
      <c r="A297" s="88">
        <v>20015532</v>
      </c>
      <c r="B297" s="27" t="s">
        <v>1398</v>
      </c>
      <c r="C297" s="30">
        <v>43915</v>
      </c>
      <c r="D297" t="s">
        <v>138</v>
      </c>
    </row>
    <row r="298" spans="1:4" x14ac:dyDescent="0.25">
      <c r="A298" s="12">
        <v>20018083</v>
      </c>
      <c r="B298" s="27" t="s">
        <v>1534</v>
      </c>
      <c r="C298" s="30">
        <v>43915</v>
      </c>
      <c r="D298" s="32" t="s">
        <v>140</v>
      </c>
    </row>
    <row r="299" spans="1:4" x14ac:dyDescent="0.25">
      <c r="A299" s="12">
        <v>20018084</v>
      </c>
      <c r="B299" s="27" t="s">
        <v>1535</v>
      </c>
      <c r="C299" s="30">
        <v>43915</v>
      </c>
      <c r="D299" s="32" t="s">
        <v>140</v>
      </c>
    </row>
    <row r="300" spans="1:4" x14ac:dyDescent="0.25">
      <c r="A300" s="84">
        <v>20019886</v>
      </c>
      <c r="B300" s="27" t="s">
        <v>1638</v>
      </c>
      <c r="C300" s="30">
        <v>43915</v>
      </c>
      <c r="D300" t="s">
        <v>138</v>
      </c>
    </row>
    <row r="301" spans="1:4" x14ac:dyDescent="0.25">
      <c r="A301" s="84">
        <v>20019887</v>
      </c>
      <c r="B301" s="27" t="s">
        <v>1639</v>
      </c>
      <c r="C301" s="30">
        <v>43915</v>
      </c>
      <c r="D301" t="s">
        <v>138</v>
      </c>
    </row>
    <row r="302" spans="1:4" x14ac:dyDescent="0.25">
      <c r="A302" s="84">
        <v>20019946</v>
      </c>
      <c r="B302" s="27" t="s">
        <v>1655</v>
      </c>
      <c r="C302" s="30">
        <v>43915</v>
      </c>
      <c r="D302" t="s">
        <v>138</v>
      </c>
    </row>
    <row r="303" spans="1:4" x14ac:dyDescent="0.25">
      <c r="A303" s="84">
        <v>20036380</v>
      </c>
      <c r="B303" s="27" t="s">
        <v>3130</v>
      </c>
      <c r="C303" s="30">
        <v>43915</v>
      </c>
      <c r="D303" t="s">
        <v>138</v>
      </c>
    </row>
    <row r="304" spans="1:4" x14ac:dyDescent="0.25">
      <c r="A304" s="84">
        <v>20039910</v>
      </c>
      <c r="B304" s="27" t="s">
        <v>3851</v>
      </c>
      <c r="C304" s="30">
        <v>43915</v>
      </c>
      <c r="D304" t="s">
        <v>138</v>
      </c>
    </row>
    <row r="305" spans="1:4" x14ac:dyDescent="0.25">
      <c r="A305" s="84">
        <v>20040689</v>
      </c>
      <c r="B305" s="27" t="s">
        <v>4027</v>
      </c>
      <c r="C305" s="30">
        <v>43915</v>
      </c>
      <c r="D305" t="s">
        <v>138</v>
      </c>
    </row>
    <row r="306" spans="1:4" x14ac:dyDescent="0.25">
      <c r="A306" s="84">
        <v>20040699</v>
      </c>
      <c r="B306" s="27" t="s">
        <v>4026</v>
      </c>
      <c r="C306" s="30">
        <v>43915</v>
      </c>
      <c r="D306" t="s">
        <v>138</v>
      </c>
    </row>
    <row r="307" spans="1:4" x14ac:dyDescent="0.25">
      <c r="A307" s="85">
        <v>20041557</v>
      </c>
      <c r="B307" s="27" t="s">
        <v>4292</v>
      </c>
      <c r="C307" s="30">
        <v>43915</v>
      </c>
      <c r="D307" t="s">
        <v>138</v>
      </c>
    </row>
    <row r="308" spans="1:4" x14ac:dyDescent="0.25">
      <c r="A308" s="84">
        <v>20041591</v>
      </c>
      <c r="B308" s="27" t="s">
        <v>4308</v>
      </c>
      <c r="C308" s="30">
        <v>43915</v>
      </c>
      <c r="D308" t="s">
        <v>138</v>
      </c>
    </row>
    <row r="309" spans="1:4" x14ac:dyDescent="0.25">
      <c r="A309" s="85">
        <v>20042040</v>
      </c>
      <c r="B309" s="27" t="s">
        <v>4468</v>
      </c>
      <c r="C309" s="30">
        <v>43915</v>
      </c>
      <c r="D309" t="s">
        <v>138</v>
      </c>
    </row>
    <row r="310" spans="1:4" x14ac:dyDescent="0.25">
      <c r="A310" s="12">
        <v>20015522</v>
      </c>
      <c r="B310" s="27" t="s">
        <v>1396</v>
      </c>
      <c r="C310" s="30">
        <v>43924</v>
      </c>
      <c r="D310" t="s">
        <v>141</v>
      </c>
    </row>
    <row r="311" spans="1:4" x14ac:dyDescent="0.25">
      <c r="A311" s="12">
        <v>20032532</v>
      </c>
      <c r="B311" s="27" t="s">
        <v>2443</v>
      </c>
      <c r="C311" s="30">
        <v>43924</v>
      </c>
      <c r="D311" t="s">
        <v>138</v>
      </c>
    </row>
    <row r="312" spans="1:4" x14ac:dyDescent="0.25">
      <c r="A312" s="12">
        <v>20035678</v>
      </c>
      <c r="B312" s="27" t="s">
        <v>3000</v>
      </c>
      <c r="C312" s="30">
        <v>43928</v>
      </c>
      <c r="D312" t="s">
        <v>142</v>
      </c>
    </row>
    <row r="313" spans="1:4" x14ac:dyDescent="0.25">
      <c r="A313" s="12">
        <v>20005451</v>
      </c>
      <c r="B313" s="27" t="s">
        <v>985</v>
      </c>
      <c r="C313" s="30">
        <v>43931</v>
      </c>
      <c r="D313" t="s">
        <v>142</v>
      </c>
    </row>
    <row r="314" spans="1:4" x14ac:dyDescent="0.25">
      <c r="A314" s="12">
        <v>20018154</v>
      </c>
      <c r="B314" s="27" t="s">
        <v>1551</v>
      </c>
      <c r="C314" s="30">
        <v>43931</v>
      </c>
      <c r="D314" t="s">
        <v>142</v>
      </c>
    </row>
    <row r="315" spans="1:4" x14ac:dyDescent="0.25">
      <c r="A315" s="12">
        <v>20030246</v>
      </c>
      <c r="B315" s="27" t="s">
        <v>2175</v>
      </c>
      <c r="C315" s="30">
        <v>43931</v>
      </c>
      <c r="D315" t="s">
        <v>143</v>
      </c>
    </row>
    <row r="316" spans="1:4" x14ac:dyDescent="0.25">
      <c r="A316" s="12">
        <v>20041619</v>
      </c>
      <c r="B316" s="27" t="s">
        <v>4294</v>
      </c>
      <c r="C316" s="30">
        <v>43931</v>
      </c>
      <c r="D316" t="s">
        <v>143</v>
      </c>
    </row>
    <row r="317" spans="1:4" x14ac:dyDescent="0.25">
      <c r="A317" s="12">
        <v>20042043</v>
      </c>
      <c r="B317" s="27" t="s">
        <v>4471</v>
      </c>
      <c r="C317" s="30">
        <v>43937</v>
      </c>
      <c r="D317" t="s">
        <v>143</v>
      </c>
    </row>
    <row r="318" spans="1:4" x14ac:dyDescent="0.25">
      <c r="A318" s="12">
        <v>20042170</v>
      </c>
      <c r="B318" s="27" t="s">
        <v>4482</v>
      </c>
      <c r="C318" s="30">
        <v>43937</v>
      </c>
      <c r="D318" t="s">
        <v>142</v>
      </c>
    </row>
    <row r="319" spans="1:4" x14ac:dyDescent="0.25">
      <c r="A319" s="12">
        <v>20042171</v>
      </c>
      <c r="B319" s="27" t="s">
        <v>4483</v>
      </c>
      <c r="C319" s="30">
        <v>43937</v>
      </c>
      <c r="D319" t="s">
        <v>142</v>
      </c>
    </row>
    <row r="320" spans="1:4" x14ac:dyDescent="0.25">
      <c r="A320" s="12">
        <v>20042172</v>
      </c>
      <c r="B320" s="27" t="s">
        <v>4484</v>
      </c>
      <c r="C320" s="30">
        <v>43937</v>
      </c>
      <c r="D320" t="s">
        <v>142</v>
      </c>
    </row>
    <row r="321" spans="1:4" x14ac:dyDescent="0.25">
      <c r="A321" s="12">
        <v>20001049</v>
      </c>
      <c r="B321" s="27" t="s">
        <v>431</v>
      </c>
      <c r="C321" s="30">
        <v>43938</v>
      </c>
      <c r="D321" t="s">
        <v>144</v>
      </c>
    </row>
    <row r="322" spans="1:4" x14ac:dyDescent="0.25">
      <c r="A322" s="12">
        <v>20039312</v>
      </c>
      <c r="B322" s="27" t="s">
        <v>3726</v>
      </c>
      <c r="C322" s="30">
        <v>43938</v>
      </c>
      <c r="D322" t="s">
        <v>144</v>
      </c>
    </row>
    <row r="323" spans="1:4" x14ac:dyDescent="0.25">
      <c r="A323" s="12">
        <v>20033773</v>
      </c>
      <c r="B323" s="27" t="s">
        <v>2592</v>
      </c>
      <c r="C323" s="30">
        <v>43951</v>
      </c>
      <c r="D323" t="s">
        <v>138</v>
      </c>
    </row>
    <row r="324" spans="1:4" x14ac:dyDescent="0.25">
      <c r="A324" s="12">
        <v>20033803</v>
      </c>
      <c r="B324" s="27" t="s">
        <v>2606</v>
      </c>
      <c r="C324" s="30">
        <v>43951</v>
      </c>
      <c r="D324" t="s">
        <v>138</v>
      </c>
    </row>
    <row r="325" spans="1:4" x14ac:dyDescent="0.25">
      <c r="A325" s="12">
        <v>20042277</v>
      </c>
      <c r="B325" s="27" t="s">
        <v>4502</v>
      </c>
      <c r="C325" s="30">
        <v>43962</v>
      </c>
      <c r="D325" t="s">
        <v>141</v>
      </c>
    </row>
    <row r="326" spans="1:4" x14ac:dyDescent="0.25">
      <c r="A326" s="12">
        <v>20000495</v>
      </c>
      <c r="B326" s="27" t="s">
        <v>344</v>
      </c>
      <c r="C326" s="30">
        <v>43965</v>
      </c>
      <c r="D326" t="s">
        <v>145</v>
      </c>
    </row>
    <row r="327" spans="1:4" x14ac:dyDescent="0.25">
      <c r="A327" s="12">
        <v>20004132</v>
      </c>
      <c r="B327" s="27" t="s">
        <v>913</v>
      </c>
      <c r="C327" s="30">
        <v>43965</v>
      </c>
      <c r="D327" t="s">
        <v>145</v>
      </c>
    </row>
    <row r="328" spans="1:4" x14ac:dyDescent="0.25">
      <c r="A328" s="12">
        <v>20010986</v>
      </c>
      <c r="B328" s="27" t="s">
        <v>1261</v>
      </c>
      <c r="C328" s="30">
        <v>43965</v>
      </c>
      <c r="D328" t="s">
        <v>145</v>
      </c>
    </row>
    <row r="329" spans="1:4" x14ac:dyDescent="0.25">
      <c r="A329" s="12">
        <v>20017985</v>
      </c>
      <c r="B329" s="27" t="s">
        <v>1520</v>
      </c>
      <c r="C329" s="30">
        <v>43965</v>
      </c>
      <c r="D329" t="s">
        <v>145</v>
      </c>
    </row>
    <row r="330" spans="1:4" x14ac:dyDescent="0.25">
      <c r="A330" s="12">
        <v>20033593</v>
      </c>
      <c r="B330" s="27" t="s">
        <v>2551</v>
      </c>
      <c r="C330" s="30">
        <v>43965</v>
      </c>
      <c r="D330" t="s">
        <v>141</v>
      </c>
    </row>
    <row r="331" spans="1:4" x14ac:dyDescent="0.25">
      <c r="A331" s="12">
        <v>20036820</v>
      </c>
      <c r="B331" s="27" t="s">
        <v>3171</v>
      </c>
      <c r="C331" s="30">
        <v>43965</v>
      </c>
      <c r="D331" t="s">
        <v>145</v>
      </c>
    </row>
    <row r="332" spans="1:4" x14ac:dyDescent="0.25">
      <c r="A332" s="12">
        <v>20036850</v>
      </c>
      <c r="B332" s="27" t="s">
        <v>3191</v>
      </c>
      <c r="C332" s="30">
        <v>43965</v>
      </c>
      <c r="D332" t="s">
        <v>141</v>
      </c>
    </row>
    <row r="333" spans="1:4" x14ac:dyDescent="0.25">
      <c r="A333" s="12">
        <v>20040912</v>
      </c>
      <c r="B333" s="27" t="s">
        <v>4079</v>
      </c>
      <c r="C333" s="30">
        <v>43965</v>
      </c>
      <c r="D333" t="s">
        <v>141</v>
      </c>
    </row>
    <row r="334" spans="1:4" x14ac:dyDescent="0.25">
      <c r="A334" s="12">
        <v>20041563</v>
      </c>
      <c r="B334" s="27" t="s">
        <v>4271</v>
      </c>
      <c r="C334" s="30">
        <v>43965</v>
      </c>
      <c r="D334" t="s">
        <v>145</v>
      </c>
    </row>
    <row r="335" spans="1:4" x14ac:dyDescent="0.25">
      <c r="A335" s="12">
        <v>20041571</v>
      </c>
      <c r="B335" s="27" t="s">
        <v>4267</v>
      </c>
      <c r="C335" s="30">
        <v>43965</v>
      </c>
      <c r="D335" t="s">
        <v>145</v>
      </c>
    </row>
    <row r="336" spans="1:4" x14ac:dyDescent="0.25">
      <c r="A336" s="12">
        <v>20041574</v>
      </c>
      <c r="B336" s="27" t="s">
        <v>4269</v>
      </c>
      <c r="C336" s="30">
        <v>43965</v>
      </c>
      <c r="D336" t="s">
        <v>145</v>
      </c>
    </row>
    <row r="337" spans="1:4" x14ac:dyDescent="0.25">
      <c r="A337" s="12">
        <v>20042091</v>
      </c>
      <c r="B337" s="27" t="s">
        <v>4473</v>
      </c>
      <c r="C337" s="30">
        <v>43966</v>
      </c>
      <c r="D337" t="s">
        <v>145</v>
      </c>
    </row>
    <row r="338" spans="1:4" x14ac:dyDescent="0.25">
      <c r="A338" s="12">
        <v>20019792</v>
      </c>
      <c r="B338" s="27" t="s">
        <v>1635</v>
      </c>
      <c r="C338" s="30">
        <v>43969</v>
      </c>
      <c r="D338" t="s">
        <v>141</v>
      </c>
    </row>
    <row r="339" spans="1:4" x14ac:dyDescent="0.25">
      <c r="A339" s="12">
        <v>20042523</v>
      </c>
      <c r="B339" s="27" t="s">
        <v>4538</v>
      </c>
      <c r="C339" s="30">
        <v>43971</v>
      </c>
      <c r="D339" t="s">
        <v>146</v>
      </c>
    </row>
    <row r="340" spans="1:4" x14ac:dyDescent="0.25">
      <c r="A340" s="12">
        <v>20039994</v>
      </c>
      <c r="B340" s="27" t="s">
        <v>3872</v>
      </c>
      <c r="C340" s="30">
        <v>43977</v>
      </c>
      <c r="D340" t="s">
        <v>141</v>
      </c>
    </row>
    <row r="341" spans="1:4" x14ac:dyDescent="0.25">
      <c r="A341" s="12">
        <v>20041589</v>
      </c>
      <c r="B341" s="27" t="s">
        <v>4306</v>
      </c>
      <c r="C341" s="30">
        <v>43986</v>
      </c>
      <c r="D341" t="s">
        <v>141</v>
      </c>
    </row>
    <row r="342" spans="1:4" x14ac:dyDescent="0.25">
      <c r="A342" s="12">
        <v>20041590</v>
      </c>
      <c r="B342" s="27" t="s">
        <v>4307</v>
      </c>
      <c r="C342" s="30">
        <v>43986</v>
      </c>
      <c r="D342" t="s">
        <v>141</v>
      </c>
    </row>
    <row r="343" spans="1:4" x14ac:dyDescent="0.25">
      <c r="A343" s="12">
        <v>20042090</v>
      </c>
      <c r="B343" s="27" t="s">
        <v>4472</v>
      </c>
      <c r="C343" s="30">
        <v>43990</v>
      </c>
      <c r="D343" t="s">
        <v>146</v>
      </c>
    </row>
    <row r="344" spans="1:4" x14ac:dyDescent="0.25">
      <c r="A344" s="89">
        <v>26000733</v>
      </c>
      <c r="B344" s="27" t="s">
        <v>11780</v>
      </c>
      <c r="C344" s="30">
        <v>43994</v>
      </c>
      <c r="D344" t="s">
        <v>146</v>
      </c>
    </row>
    <row r="345" spans="1:4" x14ac:dyDescent="0.25">
      <c r="A345" s="90">
        <v>20000996</v>
      </c>
      <c r="B345" s="27" t="s">
        <v>411</v>
      </c>
      <c r="C345" s="30">
        <v>44001</v>
      </c>
      <c r="D345" t="s">
        <v>146</v>
      </c>
    </row>
    <row r="346" spans="1:4" x14ac:dyDescent="0.25">
      <c r="A346" s="90">
        <v>20008634</v>
      </c>
      <c r="B346" s="27" t="s">
        <v>1117</v>
      </c>
      <c r="C346" s="30">
        <v>44001</v>
      </c>
      <c r="D346" t="s">
        <v>146</v>
      </c>
    </row>
    <row r="347" spans="1:4" x14ac:dyDescent="0.25">
      <c r="A347" s="90">
        <v>20019505</v>
      </c>
      <c r="B347" s="27" t="s">
        <v>1597</v>
      </c>
      <c r="C347" s="30">
        <v>44001</v>
      </c>
      <c r="D347" t="s">
        <v>146</v>
      </c>
    </row>
    <row r="348" spans="1:4" x14ac:dyDescent="0.25">
      <c r="A348" s="90">
        <v>20020065</v>
      </c>
      <c r="B348" s="27" t="s">
        <v>1661</v>
      </c>
      <c r="C348" s="30">
        <v>44001</v>
      </c>
      <c r="D348" t="s">
        <v>146</v>
      </c>
    </row>
    <row r="349" spans="1:4" x14ac:dyDescent="0.25">
      <c r="A349" s="90">
        <v>20040028</v>
      </c>
      <c r="B349" s="27" t="s">
        <v>3874</v>
      </c>
      <c r="C349" s="30">
        <v>44001</v>
      </c>
      <c r="D349" t="s">
        <v>146</v>
      </c>
    </row>
    <row r="350" spans="1:4" x14ac:dyDescent="0.25">
      <c r="A350" s="89">
        <v>20041843</v>
      </c>
      <c r="B350" s="27" t="s">
        <v>4373</v>
      </c>
      <c r="C350" s="30">
        <v>44013</v>
      </c>
      <c r="D350" t="s">
        <v>141</v>
      </c>
    </row>
    <row r="351" spans="1:4" x14ac:dyDescent="0.25">
      <c r="A351" s="89">
        <v>20041933</v>
      </c>
      <c r="B351" s="27" t="s">
        <v>4396</v>
      </c>
      <c r="C351" s="30">
        <v>44020</v>
      </c>
      <c r="D351" t="s">
        <v>141</v>
      </c>
    </row>
    <row r="352" spans="1:4" x14ac:dyDescent="0.25">
      <c r="A352" s="89">
        <v>20041934</v>
      </c>
      <c r="B352" s="27" t="s">
        <v>4397</v>
      </c>
      <c r="C352" s="30">
        <v>44020</v>
      </c>
      <c r="D352" t="s">
        <v>141</v>
      </c>
    </row>
    <row r="353" spans="1:6" x14ac:dyDescent="0.25">
      <c r="A353" s="89">
        <v>20041618</v>
      </c>
      <c r="B353" s="27" t="s">
        <v>4293</v>
      </c>
      <c r="C353" s="30">
        <v>44025</v>
      </c>
      <c r="D353" t="s">
        <v>141</v>
      </c>
    </row>
    <row r="354" spans="1:6" x14ac:dyDescent="0.25">
      <c r="A354" s="89">
        <v>20019888</v>
      </c>
      <c r="B354" s="27" t="s">
        <v>1640</v>
      </c>
      <c r="C354" s="30">
        <v>44035</v>
      </c>
      <c r="D354" t="s">
        <v>141</v>
      </c>
    </row>
    <row r="355" spans="1:6" x14ac:dyDescent="0.25">
      <c r="A355" s="89">
        <v>20019889</v>
      </c>
      <c r="B355" s="27" t="s">
        <v>1641</v>
      </c>
      <c r="C355" s="30">
        <v>44035</v>
      </c>
      <c r="D355" t="s">
        <v>141</v>
      </c>
    </row>
    <row r="356" spans="1:6" x14ac:dyDescent="0.25">
      <c r="A356" s="89">
        <v>20020074</v>
      </c>
      <c r="B356" s="27" t="s">
        <v>1664</v>
      </c>
      <c r="C356" s="30">
        <v>44040</v>
      </c>
      <c r="D356" t="s">
        <v>141</v>
      </c>
    </row>
    <row r="357" spans="1:6" x14ac:dyDescent="0.25">
      <c r="A357" s="89">
        <v>20005497</v>
      </c>
      <c r="B357" s="27" t="s">
        <v>993</v>
      </c>
      <c r="C357" s="30">
        <v>44056</v>
      </c>
      <c r="D357" t="s">
        <v>146</v>
      </c>
    </row>
    <row r="358" spans="1:6" x14ac:dyDescent="0.25">
      <c r="A358" s="89">
        <v>20023992</v>
      </c>
      <c r="B358" s="27" t="s">
        <v>1830</v>
      </c>
      <c r="C358" s="30">
        <v>44056</v>
      </c>
      <c r="D358" t="s">
        <v>146</v>
      </c>
    </row>
    <row r="359" spans="1:6" x14ac:dyDescent="0.25">
      <c r="A359" s="89">
        <v>20029620</v>
      </c>
      <c r="B359" s="27" t="s">
        <v>2098</v>
      </c>
      <c r="C359" s="30">
        <v>44056</v>
      </c>
      <c r="D359" t="s">
        <v>146</v>
      </c>
    </row>
    <row r="360" spans="1:6" x14ac:dyDescent="0.25">
      <c r="A360" s="89">
        <v>20039728</v>
      </c>
      <c r="B360" s="27" t="s">
        <v>3805</v>
      </c>
      <c r="C360" s="30">
        <v>44056</v>
      </c>
      <c r="D360" t="s">
        <v>146</v>
      </c>
    </row>
    <row r="361" spans="1:6" x14ac:dyDescent="0.25">
      <c r="A361" s="89">
        <v>20041652</v>
      </c>
      <c r="B361" s="27" t="s">
        <v>4325</v>
      </c>
      <c r="C361" s="30">
        <v>44056</v>
      </c>
      <c r="D361" t="s">
        <v>146</v>
      </c>
    </row>
    <row r="362" spans="1:6" x14ac:dyDescent="0.25">
      <c r="A362" s="89">
        <v>20039810</v>
      </c>
      <c r="B362" s="27" t="s">
        <v>3832</v>
      </c>
      <c r="C362" s="30">
        <v>44083</v>
      </c>
      <c r="D362" t="s">
        <v>141</v>
      </c>
    </row>
    <row r="363" spans="1:6" x14ac:dyDescent="0.25">
      <c r="A363" s="89">
        <v>20001124</v>
      </c>
      <c r="B363" s="27" t="s">
        <v>466</v>
      </c>
      <c r="C363" s="30">
        <v>44096</v>
      </c>
      <c r="D363" t="s">
        <v>146</v>
      </c>
      <c r="F363" s="12"/>
    </row>
    <row r="364" spans="1:6" x14ac:dyDescent="0.25">
      <c r="A364" s="89">
        <v>20001125</v>
      </c>
      <c r="B364" s="27" t="s">
        <v>467</v>
      </c>
      <c r="C364" s="30">
        <v>44096</v>
      </c>
      <c r="D364" t="s">
        <v>146</v>
      </c>
      <c r="F364" s="12"/>
    </row>
    <row r="365" spans="1:6" x14ac:dyDescent="0.25">
      <c r="A365" s="89">
        <v>20033585</v>
      </c>
      <c r="B365" s="27" t="s">
        <v>2549</v>
      </c>
      <c r="C365" s="30">
        <v>44110</v>
      </c>
      <c r="D365" t="s">
        <v>141</v>
      </c>
    </row>
    <row r="366" spans="1:6" x14ac:dyDescent="0.25">
      <c r="A366" s="89">
        <v>20034840</v>
      </c>
      <c r="B366" s="27" t="s">
        <v>2773</v>
      </c>
      <c r="C366" s="30">
        <v>44110</v>
      </c>
      <c r="D366" t="s">
        <v>141</v>
      </c>
    </row>
    <row r="367" spans="1:6" x14ac:dyDescent="0.25">
      <c r="A367" s="89">
        <v>20042093</v>
      </c>
      <c r="B367" s="27" t="s">
        <v>4475</v>
      </c>
      <c r="C367" s="30">
        <v>44111</v>
      </c>
      <c r="D367" t="s">
        <v>147</v>
      </c>
    </row>
    <row r="368" spans="1:6" x14ac:dyDescent="0.25">
      <c r="A368" s="89">
        <v>20033584</v>
      </c>
      <c r="B368" s="27" t="s">
        <v>2548</v>
      </c>
      <c r="C368" s="30">
        <v>44123</v>
      </c>
      <c r="D368" t="s">
        <v>148</v>
      </c>
    </row>
    <row r="369" spans="1:5" x14ac:dyDescent="0.25">
      <c r="A369" s="89">
        <v>20036316</v>
      </c>
      <c r="B369" s="27" t="s">
        <v>3118</v>
      </c>
      <c r="C369" s="30">
        <v>44123</v>
      </c>
      <c r="D369" t="s">
        <v>148</v>
      </c>
    </row>
    <row r="370" spans="1:5" x14ac:dyDescent="0.25">
      <c r="A370" s="89">
        <v>20005259</v>
      </c>
      <c r="B370" s="27" t="s">
        <v>968</v>
      </c>
      <c r="C370" s="30">
        <v>44133</v>
      </c>
      <c r="D370" t="s">
        <v>146</v>
      </c>
    </row>
    <row r="371" spans="1:5" x14ac:dyDescent="0.25">
      <c r="A371" s="89">
        <v>20019517</v>
      </c>
      <c r="B371" s="27" t="s">
        <v>1605</v>
      </c>
      <c r="C371" s="30">
        <v>44133</v>
      </c>
      <c r="D371" t="s">
        <v>138</v>
      </c>
    </row>
    <row r="372" spans="1:5" x14ac:dyDescent="0.25">
      <c r="A372" s="89">
        <v>20041565</v>
      </c>
      <c r="B372" s="27" t="s">
        <v>4273</v>
      </c>
      <c r="C372" s="30">
        <v>44133</v>
      </c>
      <c r="D372" t="s">
        <v>138</v>
      </c>
    </row>
    <row r="373" spans="1:5" x14ac:dyDescent="0.25">
      <c r="A373" s="89">
        <v>20041608</v>
      </c>
      <c r="B373" s="27" t="s">
        <v>4276</v>
      </c>
      <c r="C373" s="30">
        <v>44133</v>
      </c>
      <c r="D373" t="s">
        <v>138</v>
      </c>
    </row>
    <row r="374" spans="1:5" x14ac:dyDescent="0.25">
      <c r="A374" s="89">
        <v>20036854</v>
      </c>
      <c r="B374" s="27" t="s">
        <v>3195</v>
      </c>
      <c r="C374" s="30">
        <v>44139</v>
      </c>
      <c r="D374" t="s">
        <v>141</v>
      </c>
    </row>
    <row r="375" spans="1:5" x14ac:dyDescent="0.25">
      <c r="A375" s="89">
        <v>20019555</v>
      </c>
      <c r="B375" s="27" t="s">
        <v>1619</v>
      </c>
      <c r="C375" s="30">
        <v>44148</v>
      </c>
      <c r="D375" t="s">
        <v>141</v>
      </c>
    </row>
    <row r="376" spans="1:5" x14ac:dyDescent="0.25">
      <c r="A376" s="89">
        <v>20037392</v>
      </c>
      <c r="B376" s="27" t="s">
        <v>11513</v>
      </c>
      <c r="C376" s="30">
        <v>44148</v>
      </c>
      <c r="D376" t="s">
        <v>141</v>
      </c>
    </row>
    <row r="377" spans="1:5" x14ac:dyDescent="0.25">
      <c r="A377" s="89">
        <v>20019481</v>
      </c>
      <c r="B377" s="27" t="s">
        <v>1584</v>
      </c>
      <c r="C377" s="30">
        <v>44158</v>
      </c>
      <c r="D377" t="s">
        <v>141</v>
      </c>
    </row>
    <row r="378" spans="1:5" x14ac:dyDescent="0.25">
      <c r="A378" s="89">
        <v>20039421</v>
      </c>
      <c r="B378" s="27" t="s">
        <v>3761</v>
      </c>
      <c r="C378" s="30">
        <v>44158</v>
      </c>
      <c r="D378" t="s">
        <v>141</v>
      </c>
    </row>
    <row r="379" spans="1:5" x14ac:dyDescent="0.25">
      <c r="A379" s="89">
        <v>20042173</v>
      </c>
      <c r="B379" s="27" t="s">
        <v>4485</v>
      </c>
      <c r="C379" s="30">
        <v>44158</v>
      </c>
      <c r="D379" t="s">
        <v>149</v>
      </c>
    </row>
    <row r="380" spans="1:5" x14ac:dyDescent="0.25">
      <c r="A380" s="89">
        <v>20038558</v>
      </c>
      <c r="B380" s="27" t="s">
        <v>3537</v>
      </c>
      <c r="C380" s="30">
        <v>44176</v>
      </c>
      <c r="D380" t="s">
        <v>150</v>
      </c>
    </row>
    <row r="381" spans="1:5" x14ac:dyDescent="0.25">
      <c r="A381" s="89">
        <v>20003531</v>
      </c>
      <c r="B381" s="27" t="s">
        <v>748</v>
      </c>
      <c r="C381" s="30">
        <v>44182</v>
      </c>
      <c r="D381" t="s">
        <v>141</v>
      </c>
    </row>
    <row r="382" spans="1:5" x14ac:dyDescent="0.25">
      <c r="A382" s="89">
        <v>20004476</v>
      </c>
      <c r="B382" s="27" t="s">
        <v>931</v>
      </c>
      <c r="C382" s="30">
        <v>44182</v>
      </c>
      <c r="D382" t="s">
        <v>141</v>
      </c>
      <c r="E382" t="s">
        <v>151</v>
      </c>
    </row>
    <row r="383" spans="1:5" x14ac:dyDescent="0.25">
      <c r="A383" s="89">
        <v>20019890</v>
      </c>
      <c r="B383" s="27" t="s">
        <v>1642</v>
      </c>
      <c r="C383" s="30">
        <v>44182</v>
      </c>
      <c r="D383" t="s">
        <v>141</v>
      </c>
    </row>
    <row r="384" spans="1:5" x14ac:dyDescent="0.25">
      <c r="A384" s="89">
        <v>20019893</v>
      </c>
      <c r="B384" s="27" t="s">
        <v>1643</v>
      </c>
      <c r="C384" s="30">
        <v>44182</v>
      </c>
      <c r="D384" t="s">
        <v>141</v>
      </c>
    </row>
    <row r="385" spans="1:4" x14ac:dyDescent="0.25">
      <c r="A385" s="89">
        <v>20000266</v>
      </c>
      <c r="B385" s="27" t="s">
        <v>312</v>
      </c>
      <c r="C385" s="30">
        <v>44183</v>
      </c>
      <c r="D385" t="s">
        <v>152</v>
      </c>
    </row>
    <row r="386" spans="1:4" x14ac:dyDescent="0.25">
      <c r="A386" s="89">
        <v>20001069</v>
      </c>
      <c r="B386" s="27" t="s">
        <v>438</v>
      </c>
      <c r="C386" s="30">
        <v>44183</v>
      </c>
      <c r="D386" t="s">
        <v>152</v>
      </c>
    </row>
    <row r="387" spans="1:4" x14ac:dyDescent="0.25">
      <c r="A387" s="89">
        <v>20028374</v>
      </c>
      <c r="B387" s="27" t="s">
        <v>1911</v>
      </c>
      <c r="C387" s="30">
        <v>44183</v>
      </c>
      <c r="D387" t="s">
        <v>152</v>
      </c>
    </row>
    <row r="388" spans="1:4" x14ac:dyDescent="0.25">
      <c r="A388" s="89">
        <v>20001108</v>
      </c>
      <c r="B388" s="27" t="s">
        <v>453</v>
      </c>
      <c r="C388" s="30">
        <v>44202</v>
      </c>
      <c r="D388" t="s">
        <v>141</v>
      </c>
    </row>
    <row r="389" spans="1:4" x14ac:dyDescent="0.25">
      <c r="A389" s="12">
        <v>20030788</v>
      </c>
      <c r="B389" s="27" t="s">
        <v>2224</v>
      </c>
      <c r="C389" s="30">
        <v>44210</v>
      </c>
      <c r="D389" t="s">
        <v>141</v>
      </c>
    </row>
    <row r="390" spans="1:4" x14ac:dyDescent="0.25">
      <c r="A390" s="89">
        <v>20017534</v>
      </c>
      <c r="B390" s="27" t="s">
        <v>1496</v>
      </c>
      <c r="C390" s="30">
        <v>44211</v>
      </c>
      <c r="D390" t="s">
        <v>141</v>
      </c>
    </row>
    <row r="391" spans="1:4" x14ac:dyDescent="0.25">
      <c r="A391" s="12">
        <v>20026030</v>
      </c>
      <c r="B391" s="27" t="s">
        <v>1846</v>
      </c>
      <c r="C391" s="30">
        <v>44222</v>
      </c>
      <c r="D391" t="s">
        <v>149</v>
      </c>
    </row>
    <row r="392" spans="1:4" x14ac:dyDescent="0.25">
      <c r="A392" s="12">
        <v>20039438</v>
      </c>
      <c r="B392" s="27" t="s">
        <v>3766</v>
      </c>
      <c r="C392" s="30">
        <v>44222</v>
      </c>
      <c r="D392" t="s">
        <v>149</v>
      </c>
    </row>
    <row r="393" spans="1:4" x14ac:dyDescent="0.25">
      <c r="A393" s="12">
        <v>20042739</v>
      </c>
      <c r="B393" s="27" t="s">
        <v>4643</v>
      </c>
      <c r="C393" s="30">
        <v>44222</v>
      </c>
      <c r="D393" t="s">
        <v>146</v>
      </c>
    </row>
    <row r="394" spans="1:4" x14ac:dyDescent="0.25">
      <c r="A394" s="12">
        <v>20042708</v>
      </c>
      <c r="B394" s="27" t="s">
        <v>4611</v>
      </c>
      <c r="C394" s="30">
        <v>44237</v>
      </c>
      <c r="D394" t="s">
        <v>153</v>
      </c>
    </row>
    <row r="395" spans="1:4" x14ac:dyDescent="0.25">
      <c r="A395" s="12">
        <v>20042710</v>
      </c>
      <c r="B395" s="27" t="s">
        <v>4612</v>
      </c>
      <c r="C395" s="30">
        <v>44237</v>
      </c>
      <c r="D395" t="s">
        <v>153</v>
      </c>
    </row>
    <row r="396" spans="1:4" x14ac:dyDescent="0.25">
      <c r="A396" s="12">
        <v>20042711</v>
      </c>
      <c r="B396" s="27" t="s">
        <v>4613</v>
      </c>
      <c r="C396" s="30">
        <v>44237</v>
      </c>
      <c r="D396" t="s">
        <v>153</v>
      </c>
    </row>
    <row r="397" spans="1:4" x14ac:dyDescent="0.25">
      <c r="A397" s="12">
        <v>20042712</v>
      </c>
      <c r="B397" s="27" t="s">
        <v>4614</v>
      </c>
      <c r="C397" s="30">
        <v>44237</v>
      </c>
      <c r="D397" t="s">
        <v>153</v>
      </c>
    </row>
    <row r="398" spans="1:4" x14ac:dyDescent="0.25">
      <c r="A398" s="12">
        <v>20042713</v>
      </c>
      <c r="B398" s="27" t="s">
        <v>4615</v>
      </c>
      <c r="C398" s="30">
        <v>44237</v>
      </c>
      <c r="D398" t="s">
        <v>153</v>
      </c>
    </row>
    <row r="399" spans="1:4" x14ac:dyDescent="0.25">
      <c r="A399" s="12">
        <v>20042714</v>
      </c>
      <c r="B399" s="27" t="s">
        <v>4616</v>
      </c>
      <c r="C399" s="30">
        <v>44237</v>
      </c>
      <c r="D399" t="s">
        <v>153</v>
      </c>
    </row>
    <row r="400" spans="1:4" x14ac:dyDescent="0.25">
      <c r="A400" s="12">
        <v>20042715</v>
      </c>
      <c r="B400" s="27" t="s">
        <v>4617</v>
      </c>
      <c r="C400" s="30">
        <v>44237</v>
      </c>
      <c r="D400" t="s">
        <v>153</v>
      </c>
    </row>
    <row r="401" spans="1:4" x14ac:dyDescent="0.25">
      <c r="A401" s="12">
        <v>20042716</v>
      </c>
      <c r="B401" s="27" t="s">
        <v>4618</v>
      </c>
      <c r="C401" s="30">
        <v>44237</v>
      </c>
      <c r="D401" t="s">
        <v>153</v>
      </c>
    </row>
    <row r="402" spans="1:4" x14ac:dyDescent="0.25">
      <c r="A402" s="12">
        <v>20042706</v>
      </c>
      <c r="B402" s="27" t="s">
        <v>4641</v>
      </c>
      <c r="C402" s="30">
        <v>44243</v>
      </c>
      <c r="D402" t="s">
        <v>152</v>
      </c>
    </row>
    <row r="403" spans="1:4" x14ac:dyDescent="0.25">
      <c r="A403" s="12">
        <v>20042707</v>
      </c>
      <c r="B403" s="27" t="s">
        <v>4642</v>
      </c>
      <c r="C403" s="30">
        <v>44245</v>
      </c>
      <c r="D403" t="s">
        <v>138</v>
      </c>
    </row>
    <row r="404" spans="1:4" x14ac:dyDescent="0.25">
      <c r="A404" s="12">
        <v>20018009</v>
      </c>
      <c r="B404" s="27" t="s">
        <v>1522</v>
      </c>
      <c r="C404" s="30">
        <v>44263</v>
      </c>
      <c r="D404" t="s">
        <v>144</v>
      </c>
    </row>
    <row r="405" spans="1:4" x14ac:dyDescent="0.25">
      <c r="A405" s="12">
        <v>20042791</v>
      </c>
      <c r="B405" s="27" t="s">
        <v>4659</v>
      </c>
      <c r="C405" s="30">
        <v>44264</v>
      </c>
      <c r="D405" t="s">
        <v>144</v>
      </c>
    </row>
    <row r="406" spans="1:4" x14ac:dyDescent="0.25">
      <c r="A406" s="12">
        <v>20004434</v>
      </c>
      <c r="B406" s="27" t="s">
        <v>922</v>
      </c>
      <c r="C406" s="30">
        <v>44288</v>
      </c>
      <c r="D406" t="s">
        <v>152</v>
      </c>
    </row>
    <row r="407" spans="1:4" x14ac:dyDescent="0.25">
      <c r="A407" s="12">
        <v>20041842</v>
      </c>
      <c r="B407" s="27" t="s">
        <v>4372</v>
      </c>
      <c r="C407" s="30">
        <v>44301</v>
      </c>
      <c r="D407" t="s">
        <v>148</v>
      </c>
    </row>
    <row r="408" spans="1:4" x14ac:dyDescent="0.25">
      <c r="A408" s="12">
        <v>26000741</v>
      </c>
      <c r="B408" s="27" t="s">
        <v>11785</v>
      </c>
      <c r="C408" s="30">
        <v>44307</v>
      </c>
      <c r="D408" t="s">
        <v>152</v>
      </c>
    </row>
    <row r="409" spans="1:4" x14ac:dyDescent="0.25">
      <c r="A409" s="12">
        <v>26000753</v>
      </c>
      <c r="B409" s="27" t="s">
        <v>11790</v>
      </c>
      <c r="C409" s="30">
        <v>44307</v>
      </c>
      <c r="D409" t="s">
        <v>152</v>
      </c>
    </row>
    <row r="410" spans="1:4" x14ac:dyDescent="0.25">
      <c r="A410" s="12">
        <v>26000757</v>
      </c>
      <c r="B410" s="27" t="s">
        <v>4369</v>
      </c>
      <c r="C410" s="30">
        <v>44307</v>
      </c>
      <c r="D410" t="s">
        <v>152</v>
      </c>
    </row>
    <row r="411" spans="1:4" x14ac:dyDescent="0.25">
      <c r="A411" s="12">
        <v>20019630</v>
      </c>
      <c r="B411" s="27" t="s">
        <v>1627</v>
      </c>
      <c r="C411" s="30">
        <v>44315</v>
      </c>
      <c r="D411" t="s">
        <v>144</v>
      </c>
    </row>
    <row r="412" spans="1:4" x14ac:dyDescent="0.25">
      <c r="A412" s="12">
        <v>20041678</v>
      </c>
      <c r="B412" s="27" t="s">
        <v>4340</v>
      </c>
      <c r="C412" s="30">
        <v>44315</v>
      </c>
      <c r="D412" t="s">
        <v>144</v>
      </c>
    </row>
    <row r="413" spans="1:4" x14ac:dyDescent="0.25">
      <c r="A413" s="12">
        <v>20041845</v>
      </c>
      <c r="B413" s="27" t="s">
        <v>4375</v>
      </c>
      <c r="C413" s="30">
        <v>44321</v>
      </c>
      <c r="D413" t="s">
        <v>152</v>
      </c>
    </row>
    <row r="414" spans="1:4" x14ac:dyDescent="0.25">
      <c r="A414" s="12">
        <v>20041846</v>
      </c>
      <c r="B414" s="27" t="s">
        <v>4377</v>
      </c>
      <c r="C414" s="30">
        <v>44321</v>
      </c>
      <c r="D414" t="s">
        <v>152</v>
      </c>
    </row>
    <row r="415" spans="1:4" x14ac:dyDescent="0.25">
      <c r="A415" s="12">
        <v>20041048</v>
      </c>
      <c r="B415" s="27" t="s">
        <v>11211</v>
      </c>
      <c r="C415" s="30">
        <v>44336</v>
      </c>
      <c r="D415" t="s">
        <v>152</v>
      </c>
    </row>
    <row r="416" spans="1:4" x14ac:dyDescent="0.25">
      <c r="A416" s="12">
        <v>20019151</v>
      </c>
      <c r="B416" s="27" t="s">
        <v>1577</v>
      </c>
      <c r="C416" s="30">
        <v>44342</v>
      </c>
      <c r="D416" t="s">
        <v>148</v>
      </c>
    </row>
    <row r="417" spans="1:4" x14ac:dyDescent="0.25">
      <c r="A417" s="12">
        <v>20028618</v>
      </c>
      <c r="B417" s="27" t="s">
        <v>1927</v>
      </c>
      <c r="C417" s="30">
        <v>44342</v>
      </c>
      <c r="D417" t="s">
        <v>148</v>
      </c>
    </row>
    <row r="418" spans="1:4" x14ac:dyDescent="0.25">
      <c r="A418" s="12">
        <v>20042466</v>
      </c>
      <c r="B418" s="27" t="s">
        <v>4531</v>
      </c>
      <c r="C418" s="30">
        <v>44342</v>
      </c>
      <c r="D418" t="s">
        <v>148</v>
      </c>
    </row>
    <row r="419" spans="1:4" x14ac:dyDescent="0.25">
      <c r="A419" s="12">
        <v>20042467</v>
      </c>
      <c r="B419" s="27" t="s">
        <v>4532</v>
      </c>
      <c r="C419" s="30">
        <v>44342</v>
      </c>
      <c r="D419" t="s">
        <v>148</v>
      </c>
    </row>
    <row r="420" spans="1:4" x14ac:dyDescent="0.25">
      <c r="A420" s="12">
        <v>20042675</v>
      </c>
      <c r="B420" s="27" t="s">
        <v>4640</v>
      </c>
      <c r="C420" s="30">
        <v>44347</v>
      </c>
      <c r="D420" t="s">
        <v>147</v>
      </c>
    </row>
    <row r="421" spans="1:4" x14ac:dyDescent="0.25">
      <c r="A421" s="91">
        <v>20011003</v>
      </c>
      <c r="B421" s="27" t="s">
        <v>1266</v>
      </c>
      <c r="C421" s="30">
        <v>44354</v>
      </c>
      <c r="D421" t="s">
        <v>144</v>
      </c>
    </row>
    <row r="422" spans="1:4" x14ac:dyDescent="0.25">
      <c r="A422" s="91">
        <v>20011005</v>
      </c>
      <c r="B422" s="27" t="s">
        <v>1268</v>
      </c>
      <c r="C422" s="30">
        <v>44354</v>
      </c>
      <c r="D422" t="s">
        <v>144</v>
      </c>
    </row>
    <row r="423" spans="1:4" x14ac:dyDescent="0.25">
      <c r="A423" s="91">
        <v>20017880</v>
      </c>
      <c r="B423" s="27" t="s">
        <v>1517</v>
      </c>
      <c r="C423" s="30">
        <v>44354</v>
      </c>
      <c r="D423" t="s">
        <v>144</v>
      </c>
    </row>
    <row r="424" spans="1:4" x14ac:dyDescent="0.25">
      <c r="A424" s="91">
        <v>20029566</v>
      </c>
      <c r="B424" s="27" t="s">
        <v>2095</v>
      </c>
      <c r="C424" s="30">
        <v>44354</v>
      </c>
      <c r="D424" t="s">
        <v>144</v>
      </c>
    </row>
    <row r="425" spans="1:4" x14ac:dyDescent="0.25">
      <c r="A425" s="91">
        <v>20033999</v>
      </c>
      <c r="B425" s="27" t="s">
        <v>2655</v>
      </c>
      <c r="C425" s="30">
        <v>44354</v>
      </c>
      <c r="D425" t="s">
        <v>144</v>
      </c>
    </row>
    <row r="426" spans="1:4" x14ac:dyDescent="0.25">
      <c r="A426" s="12">
        <v>20041844</v>
      </c>
      <c r="B426" s="27" t="s">
        <v>4374</v>
      </c>
      <c r="C426" s="30">
        <v>44357</v>
      </c>
      <c r="D426" t="s">
        <v>152</v>
      </c>
    </row>
    <row r="427" spans="1:4" x14ac:dyDescent="0.25">
      <c r="A427" s="12">
        <v>20001010</v>
      </c>
      <c r="B427" s="27" t="s">
        <v>11323</v>
      </c>
      <c r="C427" s="30">
        <v>44371</v>
      </c>
      <c r="D427" t="s">
        <v>152</v>
      </c>
    </row>
    <row r="428" spans="1:4" x14ac:dyDescent="0.25">
      <c r="A428" s="12">
        <v>20001107</v>
      </c>
      <c r="B428" s="27" t="s">
        <v>452</v>
      </c>
      <c r="C428" s="30">
        <v>44410</v>
      </c>
      <c r="D428" t="s">
        <v>152</v>
      </c>
    </row>
    <row r="429" spans="1:4" x14ac:dyDescent="0.25">
      <c r="A429" s="12">
        <v>20005141</v>
      </c>
      <c r="B429" s="27" t="s">
        <v>948</v>
      </c>
      <c r="C429" s="30">
        <v>44410</v>
      </c>
      <c r="D429" t="s">
        <v>152</v>
      </c>
    </row>
    <row r="430" spans="1:4" x14ac:dyDescent="0.25">
      <c r="A430" s="12">
        <v>20005265</v>
      </c>
      <c r="B430" s="27" t="s">
        <v>11508</v>
      </c>
      <c r="C430" s="30">
        <v>44410</v>
      </c>
      <c r="D430" t="s">
        <v>152</v>
      </c>
    </row>
    <row r="431" spans="1:4" x14ac:dyDescent="0.25">
      <c r="A431" s="12">
        <v>20005270</v>
      </c>
      <c r="B431" s="27" t="s">
        <v>973</v>
      </c>
      <c r="C431" s="30">
        <v>44410</v>
      </c>
      <c r="D431" t="s">
        <v>152</v>
      </c>
    </row>
    <row r="432" spans="1:4" x14ac:dyDescent="0.25">
      <c r="A432" s="12">
        <v>20029218</v>
      </c>
      <c r="B432" s="27" t="s">
        <v>1973</v>
      </c>
      <c r="C432" s="30">
        <v>44461</v>
      </c>
      <c r="D432" t="s">
        <v>144</v>
      </c>
    </row>
    <row r="433" spans="1:4" x14ac:dyDescent="0.25">
      <c r="A433" s="12">
        <v>20011367</v>
      </c>
      <c r="B433" s="27" t="s">
        <v>1294</v>
      </c>
      <c r="C433" s="30">
        <v>44463</v>
      </c>
      <c r="D433" t="s">
        <v>152</v>
      </c>
    </row>
    <row r="434" spans="1:4" x14ac:dyDescent="0.25">
      <c r="A434" s="12">
        <v>20037283</v>
      </c>
      <c r="B434" s="27" t="s">
        <v>3354</v>
      </c>
      <c r="C434" s="30">
        <v>44463</v>
      </c>
      <c r="D434" t="s">
        <v>152</v>
      </c>
    </row>
    <row r="435" spans="1:4" x14ac:dyDescent="0.25">
      <c r="A435" s="12">
        <v>20043030</v>
      </c>
      <c r="B435" s="27" t="s">
        <v>4754</v>
      </c>
      <c r="C435" s="30">
        <v>44473</v>
      </c>
      <c r="D435" t="s">
        <v>144</v>
      </c>
    </row>
    <row r="436" spans="1:4" x14ac:dyDescent="0.25">
      <c r="A436" s="12">
        <v>20043031</v>
      </c>
      <c r="B436" s="27" t="s">
        <v>4755</v>
      </c>
      <c r="C436" s="30">
        <v>44473</v>
      </c>
      <c r="D436" t="s">
        <v>144</v>
      </c>
    </row>
    <row r="437" spans="1:4" x14ac:dyDescent="0.25">
      <c r="A437" s="12">
        <v>20004960</v>
      </c>
      <c r="B437" s="27" t="s">
        <v>934</v>
      </c>
      <c r="C437" s="30">
        <v>44475</v>
      </c>
      <c r="D437" t="s">
        <v>152</v>
      </c>
    </row>
    <row r="438" spans="1:4" x14ac:dyDescent="0.25">
      <c r="A438" s="12">
        <v>20043079</v>
      </c>
      <c r="B438" s="27" t="s">
        <v>4784</v>
      </c>
      <c r="C438" s="30">
        <v>44510</v>
      </c>
      <c r="D438" t="s">
        <v>155</v>
      </c>
    </row>
    <row r="439" spans="1:4" x14ac:dyDescent="0.25">
      <c r="A439" s="12">
        <v>20019554</v>
      </c>
      <c r="B439" s="27" t="s">
        <v>1618</v>
      </c>
      <c r="C439" s="30">
        <v>44537</v>
      </c>
      <c r="D439" t="s">
        <v>152</v>
      </c>
    </row>
    <row r="440" spans="1:4" x14ac:dyDescent="0.25">
      <c r="A440" s="12">
        <v>26001030</v>
      </c>
      <c r="B440" s="27" t="s">
        <v>2885</v>
      </c>
      <c r="C440" s="30">
        <v>44588</v>
      </c>
      <c r="D440" t="s">
        <v>154</v>
      </c>
    </row>
    <row r="441" spans="1:4" x14ac:dyDescent="0.25">
      <c r="A441" s="12">
        <v>20039275</v>
      </c>
      <c r="B441" s="27" t="s">
        <v>3702</v>
      </c>
      <c r="C441" s="30">
        <v>44623</v>
      </c>
      <c r="D441" t="s">
        <v>152</v>
      </c>
    </row>
    <row r="442" spans="1:4" x14ac:dyDescent="0.25">
      <c r="A442" s="12">
        <v>20001097</v>
      </c>
      <c r="B442" s="27" t="s">
        <v>445</v>
      </c>
      <c r="C442" s="30">
        <v>44635</v>
      </c>
      <c r="D442" t="s">
        <v>152</v>
      </c>
    </row>
    <row r="443" spans="1:4" x14ac:dyDescent="0.25">
      <c r="A443" s="12">
        <v>26000653</v>
      </c>
      <c r="B443" s="27" t="s">
        <v>11755</v>
      </c>
      <c r="C443" s="30">
        <v>44651</v>
      </c>
      <c r="D443" t="s">
        <v>147</v>
      </c>
    </row>
    <row r="444" spans="1:4" x14ac:dyDescent="0.25">
      <c r="A444" s="12">
        <v>20033801</v>
      </c>
      <c r="B444" s="27" t="s">
        <v>2604</v>
      </c>
      <c r="C444" s="30">
        <v>44652</v>
      </c>
      <c r="D444" t="s">
        <v>144</v>
      </c>
    </row>
    <row r="445" spans="1:4" x14ac:dyDescent="0.25">
      <c r="A445" s="12">
        <v>20034269</v>
      </c>
      <c r="B445" s="27" t="s">
        <v>2687</v>
      </c>
      <c r="C445" s="30">
        <v>44652</v>
      </c>
      <c r="D445" t="s">
        <v>144</v>
      </c>
    </row>
    <row r="446" spans="1:4" x14ac:dyDescent="0.25">
      <c r="A446" s="12">
        <v>20016346</v>
      </c>
      <c r="B446" s="27" t="s">
        <v>1458</v>
      </c>
      <c r="C446" s="30">
        <v>44676</v>
      </c>
      <c r="D446" t="s">
        <v>144</v>
      </c>
    </row>
    <row r="447" spans="1:4" x14ac:dyDescent="0.25">
      <c r="A447" s="12">
        <v>20043308</v>
      </c>
      <c r="B447" s="27" t="s">
        <v>4835</v>
      </c>
      <c r="C447" s="30">
        <v>44679</v>
      </c>
      <c r="D447" t="s">
        <v>147</v>
      </c>
    </row>
    <row r="448" spans="1:4" x14ac:dyDescent="0.25">
      <c r="A448" s="12">
        <v>26000642</v>
      </c>
      <c r="B448" s="27" t="s">
        <v>11740</v>
      </c>
      <c r="C448" s="30">
        <v>44680</v>
      </c>
      <c r="D448" t="s">
        <v>152</v>
      </c>
    </row>
    <row r="449" spans="1:4" x14ac:dyDescent="0.25">
      <c r="A449" s="12">
        <v>26000643</v>
      </c>
      <c r="B449" s="27" t="s">
        <v>11741</v>
      </c>
      <c r="C449" s="30">
        <v>44680</v>
      </c>
      <c r="D449" t="s">
        <v>152</v>
      </c>
    </row>
    <row r="450" spans="1:4" x14ac:dyDescent="0.25">
      <c r="A450" s="12">
        <v>26000649</v>
      </c>
      <c r="B450" s="27" t="s">
        <v>11749</v>
      </c>
      <c r="C450" s="30">
        <v>44680</v>
      </c>
      <c r="D450" t="s">
        <v>152</v>
      </c>
    </row>
    <row r="451" spans="1:4" x14ac:dyDescent="0.25">
      <c r="A451" s="12">
        <v>26000650</v>
      </c>
      <c r="B451" s="27" t="s">
        <v>11750</v>
      </c>
      <c r="C451" s="30">
        <v>44680</v>
      </c>
      <c r="D451" t="s">
        <v>152</v>
      </c>
    </row>
    <row r="452" spans="1:4" x14ac:dyDescent="0.25">
      <c r="A452" s="12">
        <v>26000651</v>
      </c>
      <c r="B452" s="27" t="s">
        <v>11751</v>
      </c>
      <c r="C452" s="30">
        <v>44680</v>
      </c>
      <c r="D452" t="s">
        <v>152</v>
      </c>
    </row>
    <row r="453" spans="1:4" x14ac:dyDescent="0.25">
      <c r="A453" s="12">
        <v>20026184</v>
      </c>
      <c r="B453" s="27" t="s">
        <v>1856</v>
      </c>
      <c r="C453" s="30">
        <v>44693</v>
      </c>
      <c r="D453" t="s">
        <v>152</v>
      </c>
    </row>
    <row r="454" spans="1:4" x14ac:dyDescent="0.25">
      <c r="A454" s="12">
        <v>20040257</v>
      </c>
      <c r="B454" s="27" t="s">
        <v>3927</v>
      </c>
      <c r="C454" s="30">
        <v>44697</v>
      </c>
      <c r="D454" t="s">
        <v>152</v>
      </c>
    </row>
    <row r="455" spans="1:4" x14ac:dyDescent="0.25">
      <c r="A455" s="12">
        <v>26000659</v>
      </c>
      <c r="B455" s="27" t="s">
        <v>11761</v>
      </c>
      <c r="C455" s="30">
        <v>44700</v>
      </c>
      <c r="D455" t="s">
        <v>152</v>
      </c>
    </row>
    <row r="456" spans="1:4" x14ac:dyDescent="0.25">
      <c r="A456" s="12">
        <v>20011177</v>
      </c>
      <c r="B456" s="27" t="s">
        <v>1282</v>
      </c>
      <c r="C456" s="30">
        <v>44704</v>
      </c>
      <c r="D456" t="s">
        <v>152</v>
      </c>
    </row>
    <row r="457" spans="1:4" x14ac:dyDescent="0.25">
      <c r="A457" s="12">
        <v>20029213</v>
      </c>
      <c r="B457" s="27" t="s">
        <v>1969</v>
      </c>
      <c r="C457" s="30">
        <v>44704</v>
      </c>
      <c r="D457" t="s">
        <v>152</v>
      </c>
    </row>
    <row r="458" spans="1:4" x14ac:dyDescent="0.25">
      <c r="A458" s="12">
        <v>20006759</v>
      </c>
      <c r="B458" s="27" t="s">
        <v>1086</v>
      </c>
      <c r="C458" s="30">
        <v>44732</v>
      </c>
      <c r="D458" t="s">
        <v>152</v>
      </c>
    </row>
    <row r="459" spans="1:4" x14ac:dyDescent="0.25">
      <c r="A459" s="12">
        <v>20010087</v>
      </c>
      <c r="B459" s="27" t="s">
        <v>1240</v>
      </c>
      <c r="C459" s="30">
        <v>44732</v>
      </c>
      <c r="D459" t="s">
        <v>152</v>
      </c>
    </row>
    <row r="460" spans="1:4" x14ac:dyDescent="0.25">
      <c r="A460" s="12">
        <v>20016339</v>
      </c>
      <c r="B460" s="27" t="s">
        <v>1451</v>
      </c>
      <c r="C460" s="30">
        <v>44740</v>
      </c>
      <c r="D460" t="s">
        <v>152</v>
      </c>
    </row>
    <row r="461" spans="1:4" x14ac:dyDescent="0.25">
      <c r="A461" s="12">
        <v>20027788</v>
      </c>
      <c r="B461" s="27" t="s">
        <v>1879</v>
      </c>
      <c r="C461" s="30">
        <v>44740</v>
      </c>
      <c r="D461" t="s">
        <v>152</v>
      </c>
    </row>
    <row r="462" spans="1:4" x14ac:dyDescent="0.25">
      <c r="A462" s="12">
        <v>20034209</v>
      </c>
      <c r="B462" s="27" t="s">
        <v>2677</v>
      </c>
      <c r="C462" s="30">
        <v>44740</v>
      </c>
      <c r="D462" t="s">
        <v>152</v>
      </c>
    </row>
    <row r="463" spans="1:4" x14ac:dyDescent="0.25">
      <c r="A463" s="12">
        <v>20034878</v>
      </c>
      <c r="B463" s="27" t="s">
        <v>2784</v>
      </c>
      <c r="C463" s="30">
        <v>44740</v>
      </c>
      <c r="D463" t="s">
        <v>152</v>
      </c>
    </row>
    <row r="464" spans="1:4" x14ac:dyDescent="0.25">
      <c r="A464" s="12">
        <v>20036158</v>
      </c>
      <c r="B464" s="27" t="s">
        <v>3077</v>
      </c>
      <c r="C464" s="30">
        <v>44740</v>
      </c>
      <c r="D464" t="s">
        <v>152</v>
      </c>
    </row>
    <row r="465" spans="1:5" x14ac:dyDescent="0.25">
      <c r="A465" s="12">
        <v>20017757</v>
      </c>
      <c r="B465" s="27" t="s">
        <v>1502</v>
      </c>
      <c r="C465" s="30">
        <v>44747</v>
      </c>
      <c r="D465" t="s">
        <v>152</v>
      </c>
    </row>
    <row r="466" spans="1:5" x14ac:dyDescent="0.25">
      <c r="A466" s="12">
        <v>20017764</v>
      </c>
      <c r="B466" s="27" t="s">
        <v>1506</v>
      </c>
      <c r="C466" s="30">
        <v>44747</v>
      </c>
      <c r="D466" t="s">
        <v>152</v>
      </c>
    </row>
    <row r="467" spans="1:5" x14ac:dyDescent="0.25">
      <c r="A467" s="12">
        <v>20036848</v>
      </c>
      <c r="B467" s="27" t="s">
        <v>3189</v>
      </c>
      <c r="C467" s="30">
        <v>44774</v>
      </c>
      <c r="D467" t="s">
        <v>156</v>
      </c>
    </row>
    <row r="468" spans="1:5" x14ac:dyDescent="0.25">
      <c r="A468" s="12">
        <v>26000645</v>
      </c>
      <c r="B468" s="27" t="s">
        <v>11743</v>
      </c>
      <c r="C468" s="30">
        <v>44774</v>
      </c>
      <c r="D468" t="s">
        <v>156</v>
      </c>
    </row>
    <row r="469" spans="1:5" x14ac:dyDescent="0.25">
      <c r="A469" s="12">
        <v>26000657</v>
      </c>
      <c r="B469" s="27" t="s">
        <v>11758</v>
      </c>
      <c r="C469" s="30">
        <v>44774</v>
      </c>
      <c r="D469" t="s">
        <v>156</v>
      </c>
    </row>
    <row r="470" spans="1:5" x14ac:dyDescent="0.25">
      <c r="A470" s="12">
        <v>26000663</v>
      </c>
      <c r="B470" s="27" t="s">
        <v>11497</v>
      </c>
      <c r="C470" s="30">
        <v>44774</v>
      </c>
      <c r="D470" t="s">
        <v>156</v>
      </c>
    </row>
    <row r="471" spans="1:5" x14ac:dyDescent="0.25">
      <c r="A471" s="12">
        <v>20030826</v>
      </c>
      <c r="B471" s="27" t="s">
        <v>2230</v>
      </c>
      <c r="C471" s="30">
        <v>44826</v>
      </c>
      <c r="D471" t="s">
        <v>152</v>
      </c>
    </row>
    <row r="472" spans="1:5" x14ac:dyDescent="0.25">
      <c r="A472" s="12">
        <v>20033505</v>
      </c>
      <c r="B472" s="27" t="s">
        <v>2543</v>
      </c>
      <c r="C472" s="30">
        <v>44833</v>
      </c>
      <c r="D472" t="s">
        <v>152</v>
      </c>
    </row>
    <row r="473" spans="1:5" x14ac:dyDescent="0.25">
      <c r="A473" s="12">
        <v>26000641</v>
      </c>
      <c r="B473" s="27" t="s">
        <v>11739</v>
      </c>
      <c r="C473" s="30">
        <v>44834</v>
      </c>
      <c r="D473" t="s">
        <v>156</v>
      </c>
    </row>
    <row r="474" spans="1:5" x14ac:dyDescent="0.25">
      <c r="A474" s="12">
        <v>26000647</v>
      </c>
      <c r="B474" s="27" t="s">
        <v>11745</v>
      </c>
      <c r="C474" s="30">
        <v>44834</v>
      </c>
      <c r="D474" t="s">
        <v>156</v>
      </c>
    </row>
    <row r="475" spans="1:5" x14ac:dyDescent="0.25">
      <c r="A475" s="12">
        <v>26000655</v>
      </c>
      <c r="B475" s="27" t="s">
        <v>11757</v>
      </c>
      <c r="C475" s="30">
        <v>44834</v>
      </c>
      <c r="D475" t="s">
        <v>156</v>
      </c>
    </row>
    <row r="476" spans="1:5" x14ac:dyDescent="0.25">
      <c r="A476" s="12">
        <v>20043323</v>
      </c>
      <c r="B476" s="27" t="s">
        <v>4849</v>
      </c>
      <c r="C476" s="30">
        <v>44862</v>
      </c>
      <c r="D476" t="s">
        <v>156</v>
      </c>
    </row>
    <row r="477" spans="1:5" x14ac:dyDescent="0.25">
      <c r="A477" s="12">
        <v>26000658</v>
      </c>
      <c r="B477" s="27" t="s">
        <v>11760</v>
      </c>
      <c r="C477" s="30">
        <v>44862</v>
      </c>
      <c r="D477" t="s">
        <v>156</v>
      </c>
    </row>
    <row r="478" spans="1:5" x14ac:dyDescent="0.25">
      <c r="A478" s="12">
        <v>20043491</v>
      </c>
      <c r="B478" s="27" t="s">
        <v>4916</v>
      </c>
      <c r="C478" s="30">
        <v>44874</v>
      </c>
      <c r="D478" t="s">
        <v>156</v>
      </c>
      <c r="E478" t="s">
        <v>158</v>
      </c>
    </row>
    <row r="479" spans="1:5" x14ac:dyDescent="0.25">
      <c r="A479" s="12">
        <v>20043492</v>
      </c>
      <c r="B479" s="27" t="s">
        <v>4917</v>
      </c>
      <c r="C479" s="30">
        <v>44874</v>
      </c>
      <c r="D479" t="s">
        <v>156</v>
      </c>
      <c r="E479" t="s">
        <v>158</v>
      </c>
    </row>
    <row r="480" spans="1:5" x14ac:dyDescent="0.25">
      <c r="A480" s="12">
        <v>20043493</v>
      </c>
      <c r="B480" s="27" t="s">
        <v>4918</v>
      </c>
      <c r="C480" s="30">
        <v>44874</v>
      </c>
      <c r="D480" t="s">
        <v>156</v>
      </c>
      <c r="E480" t="s">
        <v>158</v>
      </c>
    </row>
    <row r="481" spans="1:5" x14ac:dyDescent="0.25">
      <c r="A481" s="12">
        <v>26000276</v>
      </c>
      <c r="B481" s="27" t="s">
        <v>4864</v>
      </c>
      <c r="C481" s="30">
        <v>44902</v>
      </c>
      <c r="D481" t="s">
        <v>156</v>
      </c>
      <c r="E481" t="s">
        <v>159</v>
      </c>
    </row>
    <row r="482" spans="1:5" x14ac:dyDescent="0.25">
      <c r="A482" s="12">
        <v>20001092</v>
      </c>
      <c r="B482" s="27" t="s">
        <v>443</v>
      </c>
      <c r="C482" s="30">
        <v>44929</v>
      </c>
      <c r="D482" t="s">
        <v>160</v>
      </c>
    </row>
    <row r="483" spans="1:5" x14ac:dyDescent="0.25">
      <c r="A483" s="12">
        <v>20016022</v>
      </c>
      <c r="B483" s="27" t="s">
        <v>1427</v>
      </c>
      <c r="C483" s="30">
        <v>44929</v>
      </c>
      <c r="D483" t="s">
        <v>160</v>
      </c>
    </row>
    <row r="484" spans="1:5" x14ac:dyDescent="0.25">
      <c r="A484" s="12">
        <v>20016340</v>
      </c>
      <c r="B484" s="27" t="s">
        <v>1452</v>
      </c>
      <c r="C484" s="30">
        <v>44929</v>
      </c>
      <c r="D484" t="s">
        <v>160</v>
      </c>
    </row>
    <row r="485" spans="1:5" x14ac:dyDescent="0.25">
      <c r="A485" s="12">
        <v>20016342</v>
      </c>
      <c r="B485" s="27" t="s">
        <v>1454</v>
      </c>
      <c r="C485" s="30">
        <v>44929</v>
      </c>
      <c r="D485" t="s">
        <v>160</v>
      </c>
    </row>
    <row r="486" spans="1:5" x14ac:dyDescent="0.25">
      <c r="A486" s="12">
        <v>20016343</v>
      </c>
      <c r="B486" s="27" t="s">
        <v>1455</v>
      </c>
      <c r="C486" s="30">
        <v>44929</v>
      </c>
      <c r="D486" t="s">
        <v>160</v>
      </c>
    </row>
    <row r="487" spans="1:5" x14ac:dyDescent="0.25">
      <c r="A487" s="12">
        <v>20017783</v>
      </c>
      <c r="B487" s="27" t="s">
        <v>1510</v>
      </c>
      <c r="C487" s="30">
        <v>44929</v>
      </c>
      <c r="D487" t="s">
        <v>160</v>
      </c>
    </row>
    <row r="488" spans="1:5" x14ac:dyDescent="0.25">
      <c r="A488" s="12">
        <v>20019487</v>
      </c>
      <c r="B488" s="27" t="s">
        <v>1590</v>
      </c>
      <c r="C488" s="30">
        <v>44929</v>
      </c>
      <c r="D488" t="s">
        <v>160</v>
      </c>
    </row>
    <row r="489" spans="1:5" x14ac:dyDescent="0.25">
      <c r="A489" s="12">
        <v>20029220</v>
      </c>
      <c r="B489" s="27" t="s">
        <v>1975</v>
      </c>
      <c r="C489" s="30">
        <v>44929</v>
      </c>
      <c r="D489" t="s">
        <v>160</v>
      </c>
    </row>
    <row r="490" spans="1:5" x14ac:dyDescent="0.25">
      <c r="A490" s="12">
        <v>20030252</v>
      </c>
      <c r="B490" s="27" t="s">
        <v>2179</v>
      </c>
      <c r="C490" s="30">
        <v>44929</v>
      </c>
      <c r="D490" t="s">
        <v>160</v>
      </c>
    </row>
    <row r="491" spans="1:5" x14ac:dyDescent="0.25">
      <c r="A491" s="12">
        <v>20032274</v>
      </c>
      <c r="B491" s="27" t="s">
        <v>2432</v>
      </c>
      <c r="C491" s="30">
        <v>44929</v>
      </c>
      <c r="D491" t="s">
        <v>160</v>
      </c>
    </row>
    <row r="492" spans="1:5" x14ac:dyDescent="0.25">
      <c r="A492" s="12">
        <v>20035640</v>
      </c>
      <c r="B492" s="27" t="s">
        <v>2991</v>
      </c>
      <c r="C492" s="30">
        <v>44929</v>
      </c>
      <c r="D492" t="s">
        <v>160</v>
      </c>
    </row>
    <row r="493" spans="1:5" x14ac:dyDescent="0.25">
      <c r="A493" s="12">
        <v>20036826</v>
      </c>
      <c r="B493" s="27" t="s">
        <v>3187</v>
      </c>
      <c r="C493" s="30">
        <v>44929</v>
      </c>
      <c r="D493" t="s">
        <v>160</v>
      </c>
    </row>
    <row r="494" spans="1:5" x14ac:dyDescent="0.25">
      <c r="A494" s="12">
        <v>20040256</v>
      </c>
      <c r="B494" s="27" t="s">
        <v>3926</v>
      </c>
      <c r="C494" s="30">
        <v>44929</v>
      </c>
      <c r="D494" t="s">
        <v>160</v>
      </c>
    </row>
    <row r="495" spans="1:5" x14ac:dyDescent="0.25">
      <c r="A495" s="12">
        <v>20041575</v>
      </c>
      <c r="B495" s="27" t="s">
        <v>4270</v>
      </c>
      <c r="C495" s="30">
        <v>44929</v>
      </c>
      <c r="D495" t="s">
        <v>160</v>
      </c>
    </row>
    <row r="496" spans="1:5" x14ac:dyDescent="0.25">
      <c r="A496" s="89">
        <v>20028753</v>
      </c>
      <c r="B496" s="27" t="s">
        <v>11603</v>
      </c>
      <c r="C496" s="30">
        <v>44964</v>
      </c>
      <c r="D496" t="s">
        <v>152</v>
      </c>
    </row>
    <row r="497" spans="1:6" x14ac:dyDescent="0.25">
      <c r="A497" s="89">
        <v>20019482</v>
      </c>
      <c r="B497" s="27" t="s">
        <v>1585</v>
      </c>
      <c r="C497" s="30">
        <v>44985</v>
      </c>
      <c r="D497" t="s">
        <v>161</v>
      </c>
    </row>
    <row r="498" spans="1:6" x14ac:dyDescent="0.25">
      <c r="A498" s="89">
        <v>20040942</v>
      </c>
      <c r="B498" s="27" t="s">
        <v>4108</v>
      </c>
      <c r="C498" s="30">
        <v>44985</v>
      </c>
      <c r="D498" t="s">
        <v>144</v>
      </c>
      <c r="F498" s="20"/>
    </row>
    <row r="499" spans="1:6" x14ac:dyDescent="0.25">
      <c r="A499" s="89">
        <v>20028375</v>
      </c>
      <c r="B499" s="27" t="s">
        <v>1912</v>
      </c>
      <c r="C499" s="30">
        <v>44991</v>
      </c>
      <c r="D499" t="s">
        <v>144</v>
      </c>
    </row>
    <row r="500" spans="1:6" x14ac:dyDescent="0.25">
      <c r="A500" s="89">
        <v>20019897</v>
      </c>
      <c r="B500" s="27" t="s">
        <v>1645</v>
      </c>
      <c r="C500" s="30">
        <v>44994</v>
      </c>
      <c r="D500" t="s">
        <v>144</v>
      </c>
    </row>
    <row r="501" spans="1:6" x14ac:dyDescent="0.25">
      <c r="A501" s="89">
        <v>26000500</v>
      </c>
      <c r="B501" s="27" t="s">
        <v>4280</v>
      </c>
      <c r="C501" s="30">
        <v>45022</v>
      </c>
      <c r="D501" t="s">
        <v>152</v>
      </c>
    </row>
    <row r="502" spans="1:6" x14ac:dyDescent="0.25">
      <c r="A502" s="89">
        <v>26000505</v>
      </c>
      <c r="B502" s="27" t="s">
        <v>4282</v>
      </c>
      <c r="C502" s="30">
        <v>45022</v>
      </c>
      <c r="D502" t="s">
        <v>152</v>
      </c>
    </row>
    <row r="503" spans="1:6" x14ac:dyDescent="0.25">
      <c r="A503" s="89">
        <v>20042850</v>
      </c>
      <c r="B503" s="27" t="s">
        <v>4682</v>
      </c>
      <c r="C503" s="30">
        <v>45042</v>
      </c>
      <c r="D503" t="s">
        <v>152</v>
      </c>
    </row>
    <row r="504" spans="1:6" x14ac:dyDescent="0.25">
      <c r="A504" s="89">
        <v>20043318</v>
      </c>
      <c r="B504" s="27" t="s">
        <v>4837</v>
      </c>
      <c r="C504" s="30">
        <v>45042</v>
      </c>
      <c r="D504" t="s">
        <v>152</v>
      </c>
    </row>
    <row r="505" spans="1:6" x14ac:dyDescent="0.25">
      <c r="A505" s="12">
        <v>20028840</v>
      </c>
      <c r="B505" s="27" t="s">
        <v>1954</v>
      </c>
      <c r="C505" s="30">
        <v>45112</v>
      </c>
      <c r="D505" t="s">
        <v>149</v>
      </c>
    </row>
    <row r="506" spans="1:6" x14ac:dyDescent="0.25">
      <c r="A506" s="12">
        <v>20035838</v>
      </c>
      <c r="B506" s="27" t="s">
        <v>3032</v>
      </c>
      <c r="C506" s="30">
        <v>45112</v>
      </c>
      <c r="D506" t="s">
        <v>149</v>
      </c>
    </row>
    <row r="507" spans="1:6" x14ac:dyDescent="0.25">
      <c r="A507" s="12">
        <v>20042844</v>
      </c>
      <c r="B507" s="27" t="s">
        <v>4680</v>
      </c>
      <c r="C507" s="30">
        <v>45113</v>
      </c>
      <c r="D507" t="s">
        <v>156</v>
      </c>
      <c r="E507" t="s">
        <v>162</v>
      </c>
    </row>
    <row r="508" spans="1:6" x14ac:dyDescent="0.25">
      <c r="A508" s="12">
        <v>26000281</v>
      </c>
      <c r="B508" s="27" t="s">
        <v>4867</v>
      </c>
      <c r="C508" s="30">
        <v>45113</v>
      </c>
      <c r="D508" t="s">
        <v>156</v>
      </c>
      <c r="E508" t="s">
        <v>162</v>
      </c>
    </row>
    <row r="509" spans="1:6" x14ac:dyDescent="0.25">
      <c r="A509" s="12">
        <v>26000736</v>
      </c>
      <c r="B509" s="27" t="s">
        <v>11781</v>
      </c>
      <c r="C509" s="30">
        <v>45113</v>
      </c>
      <c r="D509" t="s">
        <v>156</v>
      </c>
      <c r="E509" t="s">
        <v>162</v>
      </c>
    </row>
    <row r="510" spans="1:6" x14ac:dyDescent="0.25">
      <c r="A510" s="12">
        <v>26000756</v>
      </c>
      <c r="B510" s="27" t="s">
        <v>4587</v>
      </c>
      <c r="C510" s="30">
        <v>45113</v>
      </c>
      <c r="D510" t="s">
        <v>156</v>
      </c>
      <c r="E510" t="s">
        <v>162</v>
      </c>
    </row>
    <row r="511" spans="1:6" x14ac:dyDescent="0.25">
      <c r="A511" s="12">
        <v>26000637</v>
      </c>
      <c r="B511" s="27" t="s">
        <v>4832</v>
      </c>
      <c r="C511" s="30">
        <v>45170</v>
      </c>
      <c r="D511" t="s">
        <v>156</v>
      </c>
      <c r="E511" t="s">
        <v>164</v>
      </c>
    </row>
    <row r="512" spans="1:6" x14ac:dyDescent="0.25">
      <c r="A512" s="12">
        <v>20041564</v>
      </c>
      <c r="B512" s="27" t="s">
        <v>4272</v>
      </c>
      <c r="C512" s="30">
        <v>45181</v>
      </c>
      <c r="D512" s="30" t="s">
        <v>143</v>
      </c>
    </row>
    <row r="513" spans="1:5" x14ac:dyDescent="0.25">
      <c r="A513" s="12">
        <v>20037531</v>
      </c>
      <c r="B513" s="27" t="s">
        <v>3401</v>
      </c>
      <c r="C513" s="30">
        <v>45212</v>
      </c>
      <c r="D513" s="30" t="s">
        <v>143</v>
      </c>
    </row>
    <row r="514" spans="1:5" x14ac:dyDescent="0.25">
      <c r="A514" s="12">
        <v>20041577</v>
      </c>
      <c r="B514" s="27" t="s">
        <v>4295</v>
      </c>
      <c r="C514" s="30">
        <v>45212</v>
      </c>
      <c r="D514" s="30" t="s">
        <v>165</v>
      </c>
    </row>
    <row r="515" spans="1:5" x14ac:dyDescent="0.25">
      <c r="A515" s="12">
        <v>20041611</v>
      </c>
      <c r="B515" s="27" t="s">
        <v>4296</v>
      </c>
      <c r="C515" s="30">
        <v>45212</v>
      </c>
      <c r="D515" s="30" t="s">
        <v>165</v>
      </c>
    </row>
    <row r="516" spans="1:5" x14ac:dyDescent="0.25">
      <c r="A516" s="12">
        <v>20041613</v>
      </c>
      <c r="B516" s="27" t="s">
        <v>4298</v>
      </c>
      <c r="C516" s="30">
        <v>45212</v>
      </c>
      <c r="D516" s="30" t="s">
        <v>165</v>
      </c>
    </row>
    <row r="517" spans="1:5" x14ac:dyDescent="0.25">
      <c r="A517" s="12">
        <v>20041614</v>
      </c>
      <c r="B517" s="27" t="s">
        <v>4299</v>
      </c>
      <c r="C517" s="30">
        <v>45212</v>
      </c>
      <c r="D517" s="30" t="s">
        <v>165</v>
      </c>
    </row>
    <row r="518" spans="1:5" x14ac:dyDescent="0.25">
      <c r="A518" s="12">
        <v>20041616</v>
      </c>
      <c r="B518" s="27" t="s">
        <v>4301</v>
      </c>
      <c r="C518" s="30">
        <v>45212</v>
      </c>
      <c r="D518" s="30" t="s">
        <v>165</v>
      </c>
    </row>
    <row r="519" spans="1:5" x14ac:dyDescent="0.25">
      <c r="A519" s="12">
        <v>20033818</v>
      </c>
      <c r="B519" s="27" t="s">
        <v>2612</v>
      </c>
      <c r="C519" s="30">
        <v>45225</v>
      </c>
      <c r="D519" s="30" t="s">
        <v>166</v>
      </c>
    </row>
    <row r="520" spans="1:5" x14ac:dyDescent="0.25">
      <c r="A520" s="12">
        <v>20043486</v>
      </c>
      <c r="B520" s="27" t="s">
        <v>4921</v>
      </c>
      <c r="C520" s="30">
        <v>45225</v>
      </c>
      <c r="D520" s="30" t="s">
        <v>166</v>
      </c>
    </row>
    <row r="521" spans="1:5" x14ac:dyDescent="0.25">
      <c r="A521" s="12">
        <v>20043703</v>
      </c>
      <c r="B521" s="27" t="s">
        <v>5022</v>
      </c>
      <c r="C521" s="30">
        <v>45225</v>
      </c>
      <c r="D521" s="30" t="s">
        <v>166</v>
      </c>
    </row>
    <row r="522" spans="1:5" x14ac:dyDescent="0.25">
      <c r="A522" s="12">
        <v>20043487</v>
      </c>
      <c r="B522" s="27" t="s">
        <v>4922</v>
      </c>
      <c r="C522" s="30">
        <v>45254</v>
      </c>
      <c r="D522" s="30" t="s">
        <v>144</v>
      </c>
      <c r="E522" t="s">
        <v>167</v>
      </c>
    </row>
    <row r="523" spans="1:5" x14ac:dyDescent="0.25">
      <c r="A523" s="12">
        <v>20019478</v>
      </c>
      <c r="B523" s="27" t="s">
        <v>1583</v>
      </c>
      <c r="C523" s="30">
        <v>45267</v>
      </c>
      <c r="D523" t="s">
        <v>154</v>
      </c>
    </row>
    <row r="524" spans="1:5" x14ac:dyDescent="0.25">
      <c r="A524" s="12">
        <v>26000665</v>
      </c>
      <c r="B524" s="27" t="s">
        <v>11765</v>
      </c>
      <c r="C524" s="30">
        <v>45300</v>
      </c>
      <c r="D524" t="s">
        <v>156</v>
      </c>
    </row>
    <row r="525" spans="1:5" x14ac:dyDescent="0.25">
      <c r="A525" s="12">
        <v>26000140</v>
      </c>
      <c r="B525" s="27" t="s">
        <v>4923</v>
      </c>
      <c r="C525" s="30">
        <v>45355</v>
      </c>
      <c r="D525" t="s">
        <v>168</v>
      </c>
      <c r="E525" t="s">
        <v>169</v>
      </c>
    </row>
    <row r="526" spans="1:5" x14ac:dyDescent="0.25">
      <c r="A526" s="12">
        <v>20019510</v>
      </c>
      <c r="B526" s="27" t="s">
        <v>1600</v>
      </c>
      <c r="C526" s="30">
        <v>45359</v>
      </c>
      <c r="D526" t="s">
        <v>166</v>
      </c>
    </row>
    <row r="527" spans="1:5" x14ac:dyDescent="0.25">
      <c r="A527" s="12">
        <v>20044300</v>
      </c>
      <c r="B527" s="27" t="s">
        <v>5317</v>
      </c>
      <c r="C527" s="30">
        <v>45443</v>
      </c>
      <c r="D527" t="s">
        <v>156</v>
      </c>
      <c r="E527" t="s">
        <v>170</v>
      </c>
    </row>
    <row r="528" spans="1:5" x14ac:dyDescent="0.25">
      <c r="A528" s="12">
        <v>20044260</v>
      </c>
      <c r="B528" s="27" t="s">
        <v>5290</v>
      </c>
      <c r="C528" s="30">
        <v>45474</v>
      </c>
      <c r="D528" t="s">
        <v>156</v>
      </c>
      <c r="E528" t="s">
        <v>170</v>
      </c>
    </row>
    <row r="529" spans="1:5" x14ac:dyDescent="0.25">
      <c r="A529" s="12">
        <v>20043763</v>
      </c>
      <c r="B529" s="27" t="s">
        <v>5054</v>
      </c>
      <c r="C529" s="30">
        <v>45475</v>
      </c>
      <c r="D529" t="s">
        <v>156</v>
      </c>
      <c r="E529" t="s">
        <v>171</v>
      </c>
    </row>
    <row r="530" spans="1:5" x14ac:dyDescent="0.25">
      <c r="A530" s="12">
        <v>20043765</v>
      </c>
      <c r="B530" s="27" t="s">
        <v>5055</v>
      </c>
      <c r="C530" s="30">
        <v>45475</v>
      </c>
      <c r="D530" t="s">
        <v>156</v>
      </c>
      <c r="E530" t="s">
        <v>171</v>
      </c>
    </row>
    <row r="531" spans="1:5" x14ac:dyDescent="0.25">
      <c r="A531" s="12">
        <v>20043767</v>
      </c>
      <c r="B531" s="27" t="s">
        <v>5056</v>
      </c>
      <c r="C531" s="30">
        <v>45475</v>
      </c>
      <c r="D531" t="s">
        <v>156</v>
      </c>
      <c r="E531" t="s">
        <v>171</v>
      </c>
    </row>
    <row r="532" spans="1:5" x14ac:dyDescent="0.25">
      <c r="A532" s="12">
        <v>20043768</v>
      </c>
      <c r="B532" s="27" t="s">
        <v>5057</v>
      </c>
      <c r="C532" s="30">
        <v>45475</v>
      </c>
      <c r="D532" t="s">
        <v>156</v>
      </c>
      <c r="E532" t="s">
        <v>171</v>
      </c>
    </row>
    <row r="533" spans="1:5" x14ac:dyDescent="0.25">
      <c r="A533" s="12">
        <v>20040567</v>
      </c>
      <c r="B533" s="27" t="s">
        <v>4007</v>
      </c>
      <c r="C533" s="30">
        <v>45492</v>
      </c>
      <c r="D533" t="s">
        <v>165</v>
      </c>
    </row>
    <row r="534" spans="1:5" x14ac:dyDescent="0.25">
      <c r="A534" s="12">
        <v>20043891</v>
      </c>
      <c r="B534" s="27" t="s">
        <v>5143</v>
      </c>
      <c r="C534" s="30">
        <v>45531</v>
      </c>
      <c r="D534" t="s">
        <v>156</v>
      </c>
      <c r="E534" t="s">
        <v>172</v>
      </c>
    </row>
    <row r="535" spans="1:5" x14ac:dyDescent="0.25">
      <c r="A535" s="12">
        <v>20043901</v>
      </c>
      <c r="B535" s="27" t="s">
        <v>5122</v>
      </c>
      <c r="C535" s="30">
        <v>45531</v>
      </c>
      <c r="D535" t="s">
        <v>156</v>
      </c>
      <c r="E535" t="s">
        <v>173</v>
      </c>
    </row>
    <row r="536" spans="1:5" ht="15.75" customHeight="1" x14ac:dyDescent="0.25">
      <c r="A536" s="12">
        <v>26000664</v>
      </c>
      <c r="B536" s="27" t="s">
        <v>11567</v>
      </c>
      <c r="C536" s="30">
        <v>45565</v>
      </c>
      <c r="D536" t="s">
        <v>156</v>
      </c>
      <c r="E536" t="s">
        <v>174</v>
      </c>
    </row>
    <row r="537" spans="1:5" x14ac:dyDescent="0.25">
      <c r="A537" s="12">
        <v>20034498</v>
      </c>
      <c r="B537" s="27" t="s">
        <v>2722</v>
      </c>
      <c r="C537" s="30">
        <v>45588</v>
      </c>
      <c r="D537" t="s">
        <v>156</v>
      </c>
      <c r="E537" t="s">
        <v>175</v>
      </c>
    </row>
    <row r="538" spans="1:5" x14ac:dyDescent="0.25">
      <c r="A538" s="12">
        <v>20034499</v>
      </c>
      <c r="B538" s="27" t="s">
        <v>2723</v>
      </c>
      <c r="C538" s="30">
        <v>45588</v>
      </c>
      <c r="D538" t="s">
        <v>156</v>
      </c>
      <c r="E538" t="s">
        <v>175</v>
      </c>
    </row>
    <row r="539" spans="1:5" x14ac:dyDescent="0.25">
      <c r="A539" s="12">
        <v>20042982</v>
      </c>
      <c r="B539" s="27" t="s">
        <v>4737</v>
      </c>
      <c r="C539" s="30">
        <v>45590</v>
      </c>
      <c r="D539" t="s">
        <v>176</v>
      </c>
      <c r="E539" t="s">
        <v>175</v>
      </c>
    </row>
    <row r="540" spans="1:5" x14ac:dyDescent="0.25">
      <c r="A540" s="12">
        <v>20029222</v>
      </c>
      <c r="B540" s="27" t="s">
        <v>1977</v>
      </c>
      <c r="C540" s="30">
        <v>45591</v>
      </c>
      <c r="D540" t="s">
        <v>176</v>
      </c>
    </row>
    <row r="541" spans="1:5" x14ac:dyDescent="0.25">
      <c r="A541" s="12">
        <v>26000130</v>
      </c>
      <c r="B541" s="27" t="s">
        <v>2881</v>
      </c>
      <c r="C541" s="30">
        <v>45601</v>
      </c>
      <c r="D541" t="s">
        <v>176</v>
      </c>
      <c r="E541" t="s">
        <v>177</v>
      </c>
    </row>
    <row r="542" spans="1:5" x14ac:dyDescent="0.25">
      <c r="A542" s="12">
        <v>20050482</v>
      </c>
      <c r="B542" s="27" t="s">
        <v>5406</v>
      </c>
      <c r="C542" s="30">
        <v>45625</v>
      </c>
      <c r="D542" t="s">
        <v>156</v>
      </c>
      <c r="E542" t="s">
        <v>171</v>
      </c>
    </row>
    <row r="543" spans="1:5" x14ac:dyDescent="0.25">
      <c r="A543" s="12">
        <v>20050485</v>
      </c>
      <c r="B543" s="27" t="s">
        <v>5409</v>
      </c>
      <c r="C543" s="30">
        <v>45625</v>
      </c>
      <c r="D543" t="s">
        <v>156</v>
      </c>
      <c r="E543" t="s">
        <v>171</v>
      </c>
    </row>
    <row r="544" spans="1:5" x14ac:dyDescent="0.25">
      <c r="A544" s="12">
        <v>20050486</v>
      </c>
      <c r="B544" s="27" t="s">
        <v>5410</v>
      </c>
      <c r="C544" s="30">
        <v>45625</v>
      </c>
      <c r="D544" t="s">
        <v>156</v>
      </c>
      <c r="E544" t="s">
        <v>171</v>
      </c>
    </row>
    <row r="545" spans="1:5" x14ac:dyDescent="0.25">
      <c r="A545" s="12">
        <v>20050483</v>
      </c>
      <c r="B545" s="27" t="s">
        <v>5407</v>
      </c>
      <c r="C545" s="30">
        <v>45687</v>
      </c>
      <c r="D545" t="s">
        <v>165</v>
      </c>
    </row>
    <row r="546" spans="1:5" x14ac:dyDescent="0.25">
      <c r="A546" s="12">
        <v>20035878</v>
      </c>
      <c r="B546" s="27" t="s">
        <v>3036</v>
      </c>
      <c r="C546" s="30">
        <v>45687</v>
      </c>
      <c r="D546" t="s">
        <v>156</v>
      </c>
      <c r="E546" t="s">
        <v>182</v>
      </c>
    </row>
    <row r="547" spans="1:5" x14ac:dyDescent="0.25">
      <c r="A547" s="12">
        <v>20027783</v>
      </c>
      <c r="B547" s="27" t="s">
        <v>1878</v>
      </c>
      <c r="C547" s="30">
        <v>45715</v>
      </c>
      <c r="D547" t="s">
        <v>183</v>
      </c>
    </row>
    <row r="548" spans="1:5" x14ac:dyDescent="0.25">
      <c r="A548" s="12">
        <v>20041898</v>
      </c>
      <c r="B548" s="27" t="s">
        <v>4378</v>
      </c>
      <c r="C548" s="30">
        <v>45715</v>
      </c>
      <c r="D548" t="s">
        <v>183</v>
      </c>
    </row>
    <row r="549" spans="1:5" x14ac:dyDescent="0.25">
      <c r="A549" s="12">
        <v>20011002</v>
      </c>
      <c r="B549" s="27" t="s">
        <v>1265</v>
      </c>
      <c r="C549" s="30">
        <v>45715</v>
      </c>
      <c r="D549" t="s">
        <v>183</v>
      </c>
    </row>
    <row r="550" spans="1:5" x14ac:dyDescent="0.25">
      <c r="A550" s="12">
        <v>20038729</v>
      </c>
      <c r="B550" s="27" t="s">
        <v>3581</v>
      </c>
      <c r="C550" s="30">
        <v>45715</v>
      </c>
      <c r="D550" t="s">
        <v>183</v>
      </c>
    </row>
    <row r="551" spans="1:5" x14ac:dyDescent="0.25">
      <c r="A551" s="12">
        <v>20036859</v>
      </c>
      <c r="B551" s="27" t="s">
        <v>3200</v>
      </c>
      <c r="C551" s="30">
        <v>45715</v>
      </c>
      <c r="D551" t="s">
        <v>183</v>
      </c>
    </row>
    <row r="552" spans="1:5" x14ac:dyDescent="0.25">
      <c r="A552" s="12">
        <v>20037879</v>
      </c>
      <c r="B552" s="27" t="s">
        <v>3422</v>
      </c>
      <c r="C552" s="30">
        <v>45715</v>
      </c>
      <c r="D552" t="s">
        <v>183</v>
      </c>
    </row>
    <row r="553" spans="1:5" x14ac:dyDescent="0.25">
      <c r="A553" s="12">
        <v>20005475</v>
      </c>
      <c r="B553" s="27" t="s">
        <v>988</v>
      </c>
      <c r="C553" s="30">
        <v>45715</v>
      </c>
      <c r="D553" t="s">
        <v>183</v>
      </c>
    </row>
    <row r="554" spans="1:5" x14ac:dyDescent="0.25">
      <c r="A554" s="12">
        <v>20019179</v>
      </c>
      <c r="B554" s="27" t="s">
        <v>1582</v>
      </c>
      <c r="C554" s="30">
        <v>45715</v>
      </c>
      <c r="D554" t="s">
        <v>183</v>
      </c>
    </row>
    <row r="555" spans="1:5" x14ac:dyDescent="0.25">
      <c r="A555" s="12">
        <v>26001520</v>
      </c>
      <c r="B555" s="27" t="s">
        <v>4104</v>
      </c>
      <c r="C555" s="30">
        <v>45715</v>
      </c>
      <c r="D555" t="s">
        <v>183</v>
      </c>
    </row>
    <row r="556" spans="1:5" x14ac:dyDescent="0.25">
      <c r="A556" s="12">
        <v>20050442</v>
      </c>
      <c r="B556" s="27" t="s">
        <v>5402</v>
      </c>
      <c r="C556" s="30">
        <v>45719</v>
      </c>
      <c r="D556" t="s">
        <v>183</v>
      </c>
    </row>
    <row r="557" spans="1:5" x14ac:dyDescent="0.25">
      <c r="A557" s="12">
        <v>26000150</v>
      </c>
      <c r="B557" s="27" t="s">
        <v>3968</v>
      </c>
      <c r="C557" s="30">
        <v>45729</v>
      </c>
      <c r="D557" t="s">
        <v>165</v>
      </c>
    </row>
    <row r="558" spans="1:5" x14ac:dyDescent="0.25">
      <c r="A558" s="12">
        <v>20009869</v>
      </c>
      <c r="B558" s="27" t="s">
        <v>1208</v>
      </c>
      <c r="C558" s="30">
        <v>45730</v>
      </c>
      <c r="D558" t="s">
        <v>165</v>
      </c>
    </row>
    <row r="559" spans="1:5" x14ac:dyDescent="0.25">
      <c r="A559" s="12">
        <v>20011136</v>
      </c>
      <c r="B559" s="27" t="s">
        <v>1278</v>
      </c>
      <c r="C559" s="30">
        <v>45731</v>
      </c>
      <c r="D559" t="s">
        <v>165</v>
      </c>
    </row>
    <row r="560" spans="1:5" x14ac:dyDescent="0.25">
      <c r="A560" s="12">
        <v>20017123</v>
      </c>
      <c r="B560" s="27" t="s">
        <v>1492</v>
      </c>
      <c r="C560" s="30">
        <v>45733</v>
      </c>
      <c r="D560" t="s">
        <v>165</v>
      </c>
    </row>
    <row r="561" spans="1:4" x14ac:dyDescent="0.25">
      <c r="A561" s="12">
        <v>20027866</v>
      </c>
      <c r="B561" s="27" t="s">
        <v>1880</v>
      </c>
      <c r="C561" s="30">
        <v>45734</v>
      </c>
      <c r="D561" t="s">
        <v>165</v>
      </c>
    </row>
    <row r="562" spans="1:4" x14ac:dyDescent="0.25">
      <c r="A562" s="12">
        <v>20027867</v>
      </c>
      <c r="B562" s="27" t="s">
        <v>1881</v>
      </c>
      <c r="C562" s="30">
        <v>45735</v>
      </c>
      <c r="D562" t="s">
        <v>165</v>
      </c>
    </row>
    <row r="563" spans="1:4" x14ac:dyDescent="0.25">
      <c r="A563" s="12">
        <v>20029904</v>
      </c>
      <c r="B563" s="27" t="s">
        <v>2129</v>
      </c>
      <c r="C563" s="30">
        <v>45736</v>
      </c>
      <c r="D563" t="s">
        <v>165</v>
      </c>
    </row>
    <row r="564" spans="1:4" x14ac:dyDescent="0.25">
      <c r="A564" s="12">
        <v>20033948</v>
      </c>
      <c r="B564" s="27" t="s">
        <v>2630</v>
      </c>
      <c r="C564" s="30">
        <v>45737</v>
      </c>
      <c r="D564" t="s">
        <v>165</v>
      </c>
    </row>
    <row r="565" spans="1:4" x14ac:dyDescent="0.25">
      <c r="A565" s="12">
        <v>20042290</v>
      </c>
      <c r="B565" s="27" t="s">
        <v>4509</v>
      </c>
      <c r="C565" s="30">
        <v>45738</v>
      </c>
      <c r="D565" t="s">
        <v>165</v>
      </c>
    </row>
    <row r="566" spans="1:4" x14ac:dyDescent="0.25">
      <c r="A566" s="12">
        <v>20050314</v>
      </c>
      <c r="B566" s="27" t="s">
        <v>5338</v>
      </c>
      <c r="C566" s="30">
        <v>45739</v>
      </c>
      <c r="D566" t="s">
        <v>165</v>
      </c>
    </row>
    <row r="567" spans="1:4" x14ac:dyDescent="0.25">
      <c r="A567" s="12">
        <v>20050462</v>
      </c>
      <c r="B567" s="27" t="s">
        <v>5404</v>
      </c>
      <c r="C567" s="30">
        <v>45740</v>
      </c>
      <c r="D567" t="s">
        <v>165</v>
      </c>
    </row>
    <row r="568" spans="1:4" x14ac:dyDescent="0.25">
      <c r="A568" s="12">
        <v>20050484</v>
      </c>
      <c r="B568" s="27" t="s">
        <v>5408</v>
      </c>
      <c r="C568" s="30">
        <v>45741</v>
      </c>
      <c r="D568" t="s">
        <v>165</v>
      </c>
    </row>
    <row r="569" spans="1:4" x14ac:dyDescent="0.25">
      <c r="A569" s="12">
        <v>26001510</v>
      </c>
      <c r="B569" s="27" t="s">
        <v>4103</v>
      </c>
      <c r="C569" s="30">
        <v>45742</v>
      </c>
      <c r="D569" t="s">
        <v>165</v>
      </c>
    </row>
    <row r="570" spans="1:4" x14ac:dyDescent="0.25">
      <c r="A570" s="12">
        <v>20019507</v>
      </c>
      <c r="B570" s="27" t="s">
        <v>1598</v>
      </c>
      <c r="C570" s="30">
        <v>45756</v>
      </c>
      <c r="D570" t="s">
        <v>187</v>
      </c>
    </row>
    <row r="571" spans="1:4" x14ac:dyDescent="0.25">
      <c r="A571" s="12">
        <v>20041858</v>
      </c>
      <c r="B571" s="27" t="s">
        <v>4361</v>
      </c>
      <c r="C571" s="30">
        <v>45763</v>
      </c>
      <c r="D571" t="s">
        <v>183</v>
      </c>
    </row>
    <row r="572" spans="1:4" x14ac:dyDescent="0.25">
      <c r="A572" s="12">
        <v>20050555</v>
      </c>
      <c r="B572" s="27" t="s">
        <v>5439</v>
      </c>
      <c r="C572" s="30">
        <v>45763</v>
      </c>
      <c r="D572" t="s">
        <v>183</v>
      </c>
    </row>
    <row r="573" spans="1:4" x14ac:dyDescent="0.25">
      <c r="A573" s="12">
        <v>20050554</v>
      </c>
      <c r="B573" s="27" t="s">
        <v>5438</v>
      </c>
      <c r="C573" s="30">
        <v>45763</v>
      </c>
      <c r="D573" t="s">
        <v>183</v>
      </c>
    </row>
    <row r="574" spans="1:4" x14ac:dyDescent="0.25">
      <c r="A574" s="12">
        <v>20044291</v>
      </c>
      <c r="B574" s="27" t="s">
        <v>5309</v>
      </c>
      <c r="C574" s="30">
        <v>45771</v>
      </c>
      <c r="D574" t="s">
        <v>183</v>
      </c>
    </row>
    <row r="575" spans="1:4" x14ac:dyDescent="0.25">
      <c r="A575" s="92">
        <v>20029905</v>
      </c>
      <c r="B575" s="27" t="s">
        <v>2130</v>
      </c>
      <c r="C575" s="30">
        <v>45776</v>
      </c>
      <c r="D575" t="s">
        <v>183</v>
      </c>
    </row>
    <row r="576" spans="1:4" x14ac:dyDescent="0.25">
      <c r="A576" s="92">
        <v>20043537</v>
      </c>
      <c r="B576" s="27" t="s">
        <v>4933</v>
      </c>
      <c r="C576" s="30">
        <v>45776</v>
      </c>
      <c r="D576" t="s">
        <v>183</v>
      </c>
    </row>
    <row r="577" spans="1:4" x14ac:dyDescent="0.25">
      <c r="A577" s="12">
        <v>20044290</v>
      </c>
      <c r="B577" s="27" t="s">
        <v>5308</v>
      </c>
      <c r="C577" s="30">
        <v>45785</v>
      </c>
      <c r="D577" t="s">
        <v>183</v>
      </c>
    </row>
    <row r="578" spans="1:4" x14ac:dyDescent="0.25">
      <c r="A578" s="12">
        <v>20050409</v>
      </c>
      <c r="B578" s="27" t="s">
        <v>5395</v>
      </c>
      <c r="C578" s="30">
        <v>45785</v>
      </c>
      <c r="D578" t="s">
        <v>183</v>
      </c>
    </row>
    <row r="579" spans="1:4" x14ac:dyDescent="0.25">
      <c r="A579" s="92">
        <v>20050792</v>
      </c>
      <c r="B579" s="27" t="s">
        <v>5598</v>
      </c>
      <c r="C579" s="30">
        <v>45785</v>
      </c>
      <c r="D579" t="s">
        <v>183</v>
      </c>
    </row>
    <row r="580" spans="1:4" x14ac:dyDescent="0.25">
      <c r="A580" s="12">
        <v>20042569</v>
      </c>
      <c r="B580" s="27" t="s">
        <v>4589</v>
      </c>
      <c r="C580" s="30">
        <v>45785</v>
      </c>
      <c r="D580" t="s">
        <v>183</v>
      </c>
    </row>
    <row r="581" spans="1:4" x14ac:dyDescent="0.25">
      <c r="A581" s="89">
        <v>20015520</v>
      </c>
      <c r="B581" s="27" t="s">
        <v>1395</v>
      </c>
      <c r="C581" s="53">
        <v>45348</v>
      </c>
      <c r="D581" s="34" t="s">
        <v>189</v>
      </c>
    </row>
    <row r="582" spans="1:4" x14ac:dyDescent="0.25">
      <c r="A582" s="89">
        <v>20030245</v>
      </c>
      <c r="B582" s="27" t="s">
        <v>2174</v>
      </c>
      <c r="C582" s="53">
        <v>45348</v>
      </c>
      <c r="D582" s="34" t="s">
        <v>189</v>
      </c>
    </row>
    <row r="583" spans="1:4" x14ac:dyDescent="0.25">
      <c r="A583" s="89">
        <v>20031720</v>
      </c>
      <c r="B583" s="27" t="s">
        <v>2333</v>
      </c>
      <c r="C583" s="53">
        <v>45348</v>
      </c>
      <c r="D583" s="34" t="s">
        <v>189</v>
      </c>
    </row>
    <row r="584" spans="1:4" x14ac:dyDescent="0.25">
      <c r="A584" s="89">
        <v>20031735</v>
      </c>
      <c r="B584" s="27" t="s">
        <v>2335</v>
      </c>
      <c r="C584" s="53">
        <v>45348</v>
      </c>
      <c r="D584" s="34" t="s">
        <v>189</v>
      </c>
    </row>
    <row r="585" spans="1:4" x14ac:dyDescent="0.25">
      <c r="A585" s="89">
        <v>20035639</v>
      </c>
      <c r="B585" s="27" t="s">
        <v>2990</v>
      </c>
      <c r="C585" s="53">
        <v>45348</v>
      </c>
      <c r="D585" s="34" t="s">
        <v>189</v>
      </c>
    </row>
    <row r="586" spans="1:4" x14ac:dyDescent="0.25">
      <c r="A586" s="89">
        <v>20036072</v>
      </c>
      <c r="B586" s="27" t="s">
        <v>3069</v>
      </c>
      <c r="C586" s="53">
        <v>45348</v>
      </c>
      <c r="D586" s="34" t="s">
        <v>189</v>
      </c>
    </row>
    <row r="587" spans="1:4" x14ac:dyDescent="0.25">
      <c r="A587" s="89">
        <v>20036958</v>
      </c>
      <c r="B587" s="27" t="s">
        <v>3245</v>
      </c>
      <c r="C587" s="53">
        <v>45348</v>
      </c>
      <c r="D587" s="34" t="s">
        <v>189</v>
      </c>
    </row>
    <row r="588" spans="1:4" x14ac:dyDescent="0.25">
      <c r="A588" s="89">
        <v>20040498</v>
      </c>
      <c r="B588" s="27" t="s">
        <v>3980</v>
      </c>
      <c r="C588" s="53">
        <v>45348</v>
      </c>
      <c r="D588" s="34" t="s">
        <v>189</v>
      </c>
    </row>
    <row r="589" spans="1:4" x14ac:dyDescent="0.25">
      <c r="A589" s="89">
        <v>20040769</v>
      </c>
      <c r="B589" s="27" t="s">
        <v>4033</v>
      </c>
      <c r="C589" s="53">
        <v>45348</v>
      </c>
      <c r="D589" s="34" t="s">
        <v>189</v>
      </c>
    </row>
    <row r="590" spans="1:4" x14ac:dyDescent="0.25">
      <c r="A590" s="89">
        <v>20031718</v>
      </c>
      <c r="B590" s="27" t="s">
        <v>2331</v>
      </c>
      <c r="C590" s="53">
        <v>45352</v>
      </c>
      <c r="D590" s="34" t="s">
        <v>165</v>
      </c>
    </row>
    <row r="591" spans="1:4" x14ac:dyDescent="0.25">
      <c r="A591" s="89">
        <v>20031719</v>
      </c>
      <c r="B591" s="27" t="s">
        <v>2332</v>
      </c>
      <c r="C591" s="53">
        <v>45352</v>
      </c>
      <c r="D591" s="34" t="s">
        <v>165</v>
      </c>
    </row>
    <row r="592" spans="1:4" x14ac:dyDescent="0.25">
      <c r="A592" s="89">
        <v>20018166</v>
      </c>
      <c r="B592" s="27" t="s">
        <v>1555</v>
      </c>
      <c r="C592" s="53">
        <v>45352</v>
      </c>
      <c r="D592" s="34" t="s">
        <v>165</v>
      </c>
    </row>
    <row r="593" spans="1:4" x14ac:dyDescent="0.25">
      <c r="A593" s="89">
        <v>20036315</v>
      </c>
      <c r="B593" s="27" t="s">
        <v>3117</v>
      </c>
      <c r="C593" s="53">
        <v>45352</v>
      </c>
      <c r="D593" s="34" t="s">
        <v>165</v>
      </c>
    </row>
    <row r="594" spans="1:4" x14ac:dyDescent="0.25">
      <c r="A594" s="89">
        <v>20018152</v>
      </c>
      <c r="B594" s="27" t="s">
        <v>1549</v>
      </c>
      <c r="C594" s="53">
        <v>45352</v>
      </c>
      <c r="D594" s="34" t="s">
        <v>165</v>
      </c>
    </row>
    <row r="595" spans="1:4" x14ac:dyDescent="0.25">
      <c r="A595" s="89">
        <v>20041550</v>
      </c>
      <c r="B595" s="27" t="s">
        <v>4285</v>
      </c>
      <c r="C595" s="53">
        <v>45352</v>
      </c>
      <c r="D595" s="34" t="s">
        <v>165</v>
      </c>
    </row>
    <row r="596" spans="1:4" x14ac:dyDescent="0.25">
      <c r="A596" s="89">
        <v>20039302</v>
      </c>
      <c r="B596" s="27" t="s">
        <v>3716</v>
      </c>
      <c r="C596" s="53">
        <v>45400</v>
      </c>
      <c r="D596" s="34" t="s">
        <v>165</v>
      </c>
    </row>
    <row r="597" spans="1:4" x14ac:dyDescent="0.25">
      <c r="A597" s="89">
        <v>20036959</v>
      </c>
      <c r="B597" s="27" t="s">
        <v>3246</v>
      </c>
      <c r="C597" s="53">
        <v>45400</v>
      </c>
      <c r="D597" s="34" t="s">
        <v>165</v>
      </c>
    </row>
    <row r="598" spans="1:4" x14ac:dyDescent="0.25">
      <c r="A598" s="89">
        <v>20001721</v>
      </c>
      <c r="B598" s="27" t="s">
        <v>672</v>
      </c>
      <c r="C598" s="53">
        <v>45418</v>
      </c>
      <c r="D598" s="34" t="s">
        <v>165</v>
      </c>
    </row>
    <row r="599" spans="1:4" x14ac:dyDescent="0.25">
      <c r="A599" s="89">
        <v>20040018</v>
      </c>
      <c r="B599" s="27" t="s">
        <v>3873</v>
      </c>
      <c r="C599" s="53">
        <v>45443</v>
      </c>
      <c r="D599" s="34" t="s">
        <v>165</v>
      </c>
    </row>
    <row r="600" spans="1:4" x14ac:dyDescent="0.25">
      <c r="A600" s="89">
        <v>20044219</v>
      </c>
      <c r="B600" s="27" t="s">
        <v>5252</v>
      </c>
      <c r="C600" s="53">
        <v>45475</v>
      </c>
      <c r="D600" s="34" t="s">
        <v>189</v>
      </c>
    </row>
    <row r="601" spans="1:4" x14ac:dyDescent="0.25">
      <c r="A601" s="89">
        <v>20040923</v>
      </c>
      <c r="B601" s="27" t="s">
        <v>4094</v>
      </c>
      <c r="C601" s="53">
        <v>45539</v>
      </c>
      <c r="D601" s="34" t="s">
        <v>165</v>
      </c>
    </row>
    <row r="602" spans="1:4" x14ac:dyDescent="0.25">
      <c r="A602" s="89">
        <v>26003000</v>
      </c>
      <c r="B602" s="27" t="s">
        <v>4207</v>
      </c>
      <c r="C602" s="53">
        <v>45540</v>
      </c>
      <c r="D602" s="34" t="s">
        <v>165</v>
      </c>
    </row>
    <row r="603" spans="1:4" x14ac:dyDescent="0.25">
      <c r="A603" s="89">
        <v>26003100</v>
      </c>
      <c r="B603" s="27" t="s">
        <v>4208</v>
      </c>
      <c r="C603" s="53">
        <v>45540</v>
      </c>
      <c r="D603" s="34" t="s">
        <v>165</v>
      </c>
    </row>
    <row r="604" spans="1:4" x14ac:dyDescent="0.25">
      <c r="A604" s="89">
        <v>26003200</v>
      </c>
      <c r="B604" s="27" t="s">
        <v>4209</v>
      </c>
      <c r="C604" s="53">
        <v>45540</v>
      </c>
      <c r="D604" s="34" t="s">
        <v>165</v>
      </c>
    </row>
    <row r="605" spans="1:4" x14ac:dyDescent="0.25">
      <c r="A605" s="89">
        <v>26003300</v>
      </c>
      <c r="B605" s="27" t="s">
        <v>4210</v>
      </c>
      <c r="C605" s="53">
        <v>45540</v>
      </c>
      <c r="D605" s="34" t="s">
        <v>165</v>
      </c>
    </row>
    <row r="606" spans="1:4" x14ac:dyDescent="0.25">
      <c r="A606" s="89">
        <v>20036071</v>
      </c>
      <c r="B606" s="27" t="s">
        <v>3068</v>
      </c>
      <c r="C606" s="53">
        <v>45561</v>
      </c>
      <c r="D606" s="34" t="s">
        <v>165</v>
      </c>
    </row>
    <row r="607" spans="1:4" x14ac:dyDescent="0.25">
      <c r="A607" s="89">
        <v>20044293</v>
      </c>
      <c r="B607" s="27" t="s">
        <v>5311</v>
      </c>
      <c r="C607" s="53">
        <v>45566</v>
      </c>
      <c r="D607" s="34" t="s">
        <v>183</v>
      </c>
    </row>
    <row r="608" spans="1:4" x14ac:dyDescent="0.25">
      <c r="A608" s="89">
        <v>20005911</v>
      </c>
      <c r="B608" s="27" t="s">
        <v>1024</v>
      </c>
      <c r="C608" s="53">
        <v>45580</v>
      </c>
      <c r="D608" s="34" t="s">
        <v>183</v>
      </c>
    </row>
    <row r="609" spans="1:4" x14ac:dyDescent="0.25">
      <c r="A609" s="89">
        <v>20008583</v>
      </c>
      <c r="B609" s="27" t="s">
        <v>1116</v>
      </c>
      <c r="C609" s="53">
        <v>45580</v>
      </c>
      <c r="D609" s="34" t="s">
        <v>183</v>
      </c>
    </row>
    <row r="610" spans="1:4" x14ac:dyDescent="0.25">
      <c r="A610" s="89">
        <v>20043480</v>
      </c>
      <c r="B610" s="27" t="s">
        <v>4911</v>
      </c>
      <c r="C610" s="53">
        <v>45581</v>
      </c>
      <c r="D610" s="34" t="s">
        <v>165</v>
      </c>
    </row>
    <row r="611" spans="1:4" x14ac:dyDescent="0.25">
      <c r="A611" s="89">
        <v>20050423</v>
      </c>
      <c r="B611" s="27" t="s">
        <v>5399</v>
      </c>
      <c r="C611" s="53">
        <v>45582</v>
      </c>
      <c r="D611" s="34" t="s">
        <v>165</v>
      </c>
    </row>
    <row r="612" spans="1:4" x14ac:dyDescent="0.25">
      <c r="A612" s="89">
        <v>20019490</v>
      </c>
      <c r="B612" s="27" t="s">
        <v>1593</v>
      </c>
      <c r="C612" s="53">
        <v>45582</v>
      </c>
      <c r="D612" s="34" t="s">
        <v>183</v>
      </c>
    </row>
    <row r="613" spans="1:4" x14ac:dyDescent="0.25">
      <c r="A613" s="89">
        <v>20004437</v>
      </c>
      <c r="B613" s="27" t="s">
        <v>923</v>
      </c>
      <c r="C613" s="53">
        <v>45611</v>
      </c>
      <c r="D613" s="34" t="s">
        <v>165</v>
      </c>
    </row>
    <row r="614" spans="1:4" x14ac:dyDescent="0.25">
      <c r="A614" s="89">
        <v>20037708</v>
      </c>
      <c r="B614" s="27" t="s">
        <v>3413</v>
      </c>
      <c r="C614" s="53">
        <v>45612</v>
      </c>
      <c r="D614" s="34" t="s">
        <v>165</v>
      </c>
    </row>
    <row r="615" spans="1:4" x14ac:dyDescent="0.25">
      <c r="A615" s="89">
        <v>20039299</v>
      </c>
      <c r="B615" s="27" t="s">
        <v>3713</v>
      </c>
      <c r="C615" s="53">
        <v>45617</v>
      </c>
      <c r="D615" s="34" t="s">
        <v>165</v>
      </c>
    </row>
    <row r="616" spans="1:4" x14ac:dyDescent="0.25">
      <c r="A616" s="89">
        <v>20031029</v>
      </c>
      <c r="B616" s="27" t="s">
        <v>2269</v>
      </c>
      <c r="C616" s="53">
        <v>45646</v>
      </c>
      <c r="D616" s="34" t="s">
        <v>183</v>
      </c>
    </row>
    <row r="617" spans="1:4" x14ac:dyDescent="0.25">
      <c r="A617" s="89">
        <v>20035066</v>
      </c>
      <c r="B617" s="27" t="s">
        <v>2862</v>
      </c>
      <c r="C617" s="53">
        <v>45646</v>
      </c>
      <c r="D617" s="34" t="s">
        <v>183</v>
      </c>
    </row>
    <row r="618" spans="1:4" x14ac:dyDescent="0.25">
      <c r="A618" s="89">
        <v>20035990</v>
      </c>
      <c r="B618" s="27" t="s">
        <v>3062</v>
      </c>
      <c r="C618" s="53">
        <v>45646</v>
      </c>
      <c r="D618" s="34" t="s">
        <v>183</v>
      </c>
    </row>
    <row r="619" spans="1:4" x14ac:dyDescent="0.25">
      <c r="A619" s="89">
        <v>20044276</v>
      </c>
      <c r="B619" s="27" t="s">
        <v>5305</v>
      </c>
      <c r="C619" s="53">
        <v>45646</v>
      </c>
      <c r="D619" s="34" t="s">
        <v>183</v>
      </c>
    </row>
    <row r="620" spans="1:4" x14ac:dyDescent="0.25">
      <c r="A620" s="89">
        <v>20050584</v>
      </c>
      <c r="B620" s="27" t="s">
        <v>5443</v>
      </c>
      <c r="C620" s="53">
        <v>45656</v>
      </c>
      <c r="D620" s="34" t="s">
        <v>189</v>
      </c>
    </row>
    <row r="621" spans="1:4" x14ac:dyDescent="0.25">
      <c r="A621" s="89">
        <v>20000669</v>
      </c>
      <c r="B621" s="27" t="s">
        <v>367</v>
      </c>
      <c r="C621" s="53">
        <v>45656</v>
      </c>
      <c r="D621" s="34" t="s">
        <v>189</v>
      </c>
    </row>
    <row r="622" spans="1:4" x14ac:dyDescent="0.25">
      <c r="A622" s="89">
        <v>20015317</v>
      </c>
      <c r="B622" s="27" t="s">
        <v>1363</v>
      </c>
      <c r="C622" s="53">
        <v>45656</v>
      </c>
      <c r="D622" s="34" t="s">
        <v>189</v>
      </c>
    </row>
    <row r="623" spans="1:4" x14ac:dyDescent="0.25">
      <c r="A623" s="89">
        <v>20015318</v>
      </c>
      <c r="B623" s="27" t="s">
        <v>1364</v>
      </c>
      <c r="C623" s="53">
        <v>45656</v>
      </c>
      <c r="D623" s="34" t="s">
        <v>189</v>
      </c>
    </row>
    <row r="624" spans="1:4" x14ac:dyDescent="0.25">
      <c r="A624" s="89">
        <v>20030770</v>
      </c>
      <c r="B624" s="27" t="s">
        <v>2220</v>
      </c>
      <c r="C624" s="53">
        <v>45656</v>
      </c>
      <c r="D624" s="34" t="s">
        <v>189</v>
      </c>
    </row>
    <row r="625" spans="1:4" x14ac:dyDescent="0.25">
      <c r="A625" s="89">
        <v>20041664</v>
      </c>
      <c r="B625" s="27" t="s">
        <v>4338</v>
      </c>
      <c r="C625" s="53">
        <v>45656</v>
      </c>
      <c r="D625" s="34" t="s">
        <v>189</v>
      </c>
    </row>
    <row r="626" spans="1:4" x14ac:dyDescent="0.25">
      <c r="A626" s="89">
        <v>20041667</v>
      </c>
      <c r="B626" s="27" t="s">
        <v>4343</v>
      </c>
      <c r="C626" s="53">
        <v>45656</v>
      </c>
      <c r="D626" s="34" t="s">
        <v>189</v>
      </c>
    </row>
    <row r="627" spans="1:4" x14ac:dyDescent="0.25">
      <c r="A627" s="89">
        <v>20041688</v>
      </c>
      <c r="B627" s="27" t="s">
        <v>4344</v>
      </c>
      <c r="C627" s="53">
        <v>45656</v>
      </c>
      <c r="D627" s="34" t="s">
        <v>189</v>
      </c>
    </row>
    <row r="628" spans="1:4" x14ac:dyDescent="0.25">
      <c r="A628" s="89">
        <v>20043923</v>
      </c>
      <c r="B628" s="27" t="s">
        <v>5142</v>
      </c>
      <c r="C628" s="53">
        <v>45656</v>
      </c>
      <c r="D628" s="34" t="s">
        <v>189</v>
      </c>
    </row>
    <row r="629" spans="1:4" x14ac:dyDescent="0.25">
      <c r="A629" s="89">
        <v>20043898</v>
      </c>
      <c r="B629" s="27" t="s">
        <v>5119</v>
      </c>
      <c r="C629" s="53">
        <v>45681</v>
      </c>
      <c r="D629" s="34" t="s">
        <v>189</v>
      </c>
    </row>
    <row r="630" spans="1:4" x14ac:dyDescent="0.25">
      <c r="A630" s="89">
        <v>20042700</v>
      </c>
      <c r="B630" s="27" t="s">
        <v>4610</v>
      </c>
      <c r="C630" s="53">
        <v>45695</v>
      </c>
      <c r="D630" s="34" t="s">
        <v>183</v>
      </c>
    </row>
    <row r="631" spans="1:4" x14ac:dyDescent="0.25">
      <c r="A631" s="89">
        <v>20030833</v>
      </c>
      <c r="B631" s="27" t="s">
        <v>2237</v>
      </c>
      <c r="C631" s="53">
        <v>45758</v>
      </c>
      <c r="D631" s="34" t="s">
        <v>165</v>
      </c>
    </row>
    <row r="632" spans="1:4" x14ac:dyDescent="0.25">
      <c r="A632" s="89">
        <v>20037390</v>
      </c>
      <c r="B632" s="27" t="s">
        <v>3378</v>
      </c>
      <c r="C632" s="53">
        <v>45771</v>
      </c>
      <c r="D632" s="34" t="s">
        <v>183</v>
      </c>
    </row>
    <row r="633" spans="1:4" x14ac:dyDescent="0.25">
      <c r="A633" s="89">
        <v>20034876</v>
      </c>
      <c r="B633" s="27" t="s">
        <v>2783</v>
      </c>
      <c r="C633" s="53">
        <v>45785</v>
      </c>
      <c r="D633" s="34" t="s">
        <v>165</v>
      </c>
    </row>
    <row r="634" spans="1:4" x14ac:dyDescent="0.25">
      <c r="A634" s="89">
        <v>20041555</v>
      </c>
      <c r="B634" s="27" t="s">
        <v>4290</v>
      </c>
      <c r="C634" s="30">
        <v>45793</v>
      </c>
      <c r="D634" s="34" t="s">
        <v>165</v>
      </c>
    </row>
    <row r="635" spans="1:4" x14ac:dyDescent="0.25">
      <c r="A635" s="89">
        <v>20050762</v>
      </c>
      <c r="B635" s="27" t="s">
        <v>11214</v>
      </c>
      <c r="C635" s="30">
        <v>45796</v>
      </c>
      <c r="D635" s="34" t="s">
        <v>189</v>
      </c>
    </row>
    <row r="636" spans="1:4" x14ac:dyDescent="0.25">
      <c r="A636" s="89">
        <v>20041634</v>
      </c>
      <c r="B636" s="27" t="s">
        <v>4335</v>
      </c>
      <c r="C636" s="30">
        <v>45798</v>
      </c>
      <c r="D636" s="34" t="s">
        <v>183</v>
      </c>
    </row>
    <row r="637" spans="1:4" x14ac:dyDescent="0.25">
      <c r="A637" s="89">
        <v>20004043</v>
      </c>
      <c r="B637" s="27" t="s">
        <v>905</v>
      </c>
      <c r="C637" s="30">
        <v>45799</v>
      </c>
      <c r="D637" s="34" t="s">
        <v>183</v>
      </c>
    </row>
    <row r="638" spans="1:4" x14ac:dyDescent="0.25">
      <c r="A638" s="89">
        <v>20004044</v>
      </c>
      <c r="B638" s="27" t="s">
        <v>906</v>
      </c>
      <c r="C638" s="30">
        <v>45799</v>
      </c>
      <c r="D638" s="34" t="s">
        <v>183</v>
      </c>
    </row>
    <row r="639" spans="1:4" x14ac:dyDescent="0.25">
      <c r="A639" s="12">
        <v>20004045</v>
      </c>
      <c r="B639" s="27" t="s">
        <v>907</v>
      </c>
      <c r="C639" s="30">
        <v>45799</v>
      </c>
      <c r="D639" s="34" t="s">
        <v>183</v>
      </c>
    </row>
    <row r="640" spans="1:4" x14ac:dyDescent="0.25">
      <c r="A640" s="12">
        <v>20050432</v>
      </c>
      <c r="B640" s="27" t="s">
        <v>5401</v>
      </c>
      <c r="C640" s="30">
        <v>45799</v>
      </c>
      <c r="D640" s="34" t="s">
        <v>165</v>
      </c>
    </row>
    <row r="641" spans="1:4" x14ac:dyDescent="0.25">
      <c r="A641" s="12">
        <v>20019504</v>
      </c>
      <c r="B641" s="27" t="s">
        <v>1596</v>
      </c>
      <c r="C641" s="30">
        <v>45820</v>
      </c>
      <c r="D641" s="34" t="s">
        <v>165</v>
      </c>
    </row>
    <row r="642" spans="1:4" x14ac:dyDescent="0.25">
      <c r="A642" s="12">
        <v>20042619</v>
      </c>
      <c r="B642" s="27" t="s">
        <v>4592</v>
      </c>
      <c r="C642" s="30">
        <v>45826</v>
      </c>
      <c r="D642" s="34" t="s">
        <v>165</v>
      </c>
    </row>
    <row r="643" spans="1:4" x14ac:dyDescent="0.25">
      <c r="A643" s="12">
        <v>20042568</v>
      </c>
      <c r="B643" s="27" t="s">
        <v>4572</v>
      </c>
      <c r="C643" s="30">
        <v>45831</v>
      </c>
      <c r="D643" s="34" t="s">
        <v>183</v>
      </c>
    </row>
    <row r="644" spans="1:4" x14ac:dyDescent="0.25">
      <c r="A644" s="12">
        <v>20009392</v>
      </c>
      <c r="B644" s="27" t="s">
        <v>1180</v>
      </c>
      <c r="C644" s="30">
        <v>45834</v>
      </c>
      <c r="D644" s="34" t="s">
        <v>183</v>
      </c>
    </row>
    <row r="645" spans="1:4" x14ac:dyDescent="0.25">
      <c r="A645" s="12">
        <v>20050472</v>
      </c>
      <c r="B645" s="27" t="s">
        <v>5405</v>
      </c>
      <c r="C645" s="30">
        <v>45834</v>
      </c>
      <c r="D645" s="34" t="s">
        <v>183</v>
      </c>
    </row>
    <row r="646" spans="1:4" x14ac:dyDescent="0.25">
      <c r="A646" s="12">
        <v>20043756</v>
      </c>
      <c r="B646" s="27" t="s">
        <v>5060</v>
      </c>
      <c r="C646" s="30">
        <v>45841</v>
      </c>
      <c r="D646" s="34" t="s">
        <v>183</v>
      </c>
    </row>
    <row r="647" spans="1:4" x14ac:dyDescent="0.25">
      <c r="A647" s="12">
        <v>20001511</v>
      </c>
      <c r="B647" s="27" t="s">
        <v>586</v>
      </c>
      <c r="C647" s="30">
        <v>45848</v>
      </c>
      <c r="D647" s="34" t="s">
        <v>165</v>
      </c>
    </row>
    <row r="648" spans="1:4" x14ac:dyDescent="0.25">
      <c r="A648" s="12">
        <v>20021961</v>
      </c>
      <c r="B648" s="27" t="s">
        <v>1758</v>
      </c>
      <c r="C648" s="30">
        <v>45848</v>
      </c>
      <c r="D648" s="34" t="s">
        <v>165</v>
      </c>
    </row>
    <row r="649" spans="1:4" x14ac:dyDescent="0.25">
      <c r="A649" s="12">
        <v>20021970</v>
      </c>
      <c r="B649" s="27" t="s">
        <v>1766</v>
      </c>
      <c r="C649" s="30">
        <v>45848</v>
      </c>
      <c r="D649" s="34" t="s">
        <v>165</v>
      </c>
    </row>
    <row r="650" spans="1:4" x14ac:dyDescent="0.25">
      <c r="A650" s="12">
        <v>20028047</v>
      </c>
      <c r="B650" s="27" t="s">
        <v>1894</v>
      </c>
      <c r="C650" s="30">
        <v>45848</v>
      </c>
      <c r="D650" s="34" t="s">
        <v>165</v>
      </c>
    </row>
    <row r="651" spans="1:4" x14ac:dyDescent="0.25">
      <c r="A651" s="12">
        <v>20031894</v>
      </c>
      <c r="B651" s="27" t="s">
        <v>2382</v>
      </c>
      <c r="C651" s="30">
        <v>45848</v>
      </c>
      <c r="D651" s="34" t="s">
        <v>165</v>
      </c>
    </row>
    <row r="652" spans="1:4" x14ac:dyDescent="0.25">
      <c r="A652" s="12">
        <v>20042654</v>
      </c>
      <c r="B652" s="27" t="s">
        <v>4599</v>
      </c>
      <c r="C652" s="30">
        <v>45855</v>
      </c>
      <c r="D652" s="34" t="s">
        <v>165</v>
      </c>
    </row>
    <row r="653" spans="1:4" x14ac:dyDescent="0.25">
      <c r="A653" s="12">
        <v>20001120</v>
      </c>
      <c r="B653" s="27" t="s">
        <v>462</v>
      </c>
      <c r="C653" s="30">
        <v>45869</v>
      </c>
      <c r="D653" s="34" t="s">
        <v>165</v>
      </c>
    </row>
    <row r="654" spans="1:4" x14ac:dyDescent="0.25">
      <c r="A654" s="12">
        <v>20001121</v>
      </c>
      <c r="B654" s="27" t="s">
        <v>463</v>
      </c>
      <c r="C654" s="30">
        <v>45869</v>
      </c>
      <c r="D654" s="34" t="s">
        <v>165</v>
      </c>
    </row>
    <row r="655" spans="1:4" x14ac:dyDescent="0.25">
      <c r="A655" s="12">
        <v>20019491</v>
      </c>
      <c r="B655" s="27" t="s">
        <v>1594</v>
      </c>
      <c r="C655" s="30">
        <v>45869</v>
      </c>
      <c r="D655" s="34" t="s">
        <v>165</v>
      </c>
    </row>
    <row r="656" spans="1:4" x14ac:dyDescent="0.25">
      <c r="A656" s="12">
        <v>20039808</v>
      </c>
      <c r="B656" s="27" t="s">
        <v>3827</v>
      </c>
      <c r="C656" s="30">
        <v>45875</v>
      </c>
      <c r="D656" s="34" t="s">
        <v>165</v>
      </c>
    </row>
    <row r="657" spans="1:4" x14ac:dyDescent="0.25">
      <c r="A657" s="12">
        <v>20000817</v>
      </c>
      <c r="B657" s="27" t="s">
        <v>378</v>
      </c>
      <c r="C657" s="30">
        <v>45875</v>
      </c>
      <c r="D657" s="34" t="s">
        <v>165</v>
      </c>
    </row>
    <row r="658" spans="1:4" x14ac:dyDescent="0.25">
      <c r="A658" s="12">
        <v>20029330</v>
      </c>
      <c r="B658" s="27" t="s">
        <v>2051</v>
      </c>
      <c r="C658" s="30">
        <v>45875</v>
      </c>
      <c r="D658" s="34" t="s">
        <v>165</v>
      </c>
    </row>
    <row r="659" spans="1:4" x14ac:dyDescent="0.25">
      <c r="A659" s="12">
        <v>20029332</v>
      </c>
      <c r="B659" s="27" t="s">
        <v>2053</v>
      </c>
      <c r="C659" s="30">
        <v>45875</v>
      </c>
      <c r="D659" s="34" t="s">
        <v>165</v>
      </c>
    </row>
    <row r="660" spans="1:4" x14ac:dyDescent="0.25">
      <c r="A660" s="12">
        <v>20039760</v>
      </c>
      <c r="B660" s="27" t="s">
        <v>3818</v>
      </c>
      <c r="C660" s="30">
        <v>45875</v>
      </c>
      <c r="D660" s="34" t="s">
        <v>165</v>
      </c>
    </row>
    <row r="661" spans="1:4" x14ac:dyDescent="0.25">
      <c r="A661" s="12">
        <v>20043579</v>
      </c>
      <c r="B661" s="27" t="s">
        <v>4950</v>
      </c>
      <c r="C661" s="30">
        <v>45875</v>
      </c>
      <c r="D661" s="34" t="s">
        <v>165</v>
      </c>
    </row>
    <row r="662" spans="1:4" x14ac:dyDescent="0.25">
      <c r="A662" s="12">
        <v>20043595</v>
      </c>
      <c r="B662" s="27" t="s">
        <v>4951</v>
      </c>
      <c r="C662" s="30">
        <v>45875</v>
      </c>
      <c r="D662" s="34" t="s">
        <v>165</v>
      </c>
    </row>
    <row r="663" spans="1:4" x14ac:dyDescent="0.25">
      <c r="A663" s="12">
        <v>20041549</v>
      </c>
      <c r="B663" s="27" t="s">
        <v>4284</v>
      </c>
      <c r="C663" s="30">
        <v>45884</v>
      </c>
      <c r="D663" s="34" t="s">
        <v>183</v>
      </c>
    </row>
    <row r="664" spans="1:4" x14ac:dyDescent="0.25">
      <c r="A664" s="12">
        <v>20033800</v>
      </c>
      <c r="B664" s="27" t="s">
        <v>2603</v>
      </c>
      <c r="C664" s="30">
        <v>45897</v>
      </c>
      <c r="D664" s="34" t="s">
        <v>183</v>
      </c>
    </row>
    <row r="665" spans="1:4" x14ac:dyDescent="0.25">
      <c r="A665" s="12">
        <v>20043043</v>
      </c>
      <c r="B665" s="27" t="s">
        <v>4759</v>
      </c>
      <c r="C665" s="30">
        <v>45902</v>
      </c>
      <c r="D665" s="34" t="s">
        <v>183</v>
      </c>
    </row>
    <row r="666" spans="1:4" x14ac:dyDescent="0.25">
      <c r="A666" s="12">
        <v>20041567</v>
      </c>
      <c r="B666" s="27" t="s">
        <v>4275</v>
      </c>
      <c r="C666" s="30">
        <v>45904</v>
      </c>
      <c r="D666" s="34" t="s">
        <v>183</v>
      </c>
    </row>
    <row r="667" spans="1:4" x14ac:dyDescent="0.25">
      <c r="A667" s="12">
        <v>20040679</v>
      </c>
      <c r="B667" s="27" t="s">
        <v>4024</v>
      </c>
      <c r="C667" s="30">
        <v>45904</v>
      </c>
      <c r="D667" s="34" t="s">
        <v>183</v>
      </c>
    </row>
    <row r="668" spans="1:4" x14ac:dyDescent="0.25">
      <c r="A668" s="12">
        <v>20050813</v>
      </c>
      <c r="B668" s="27" t="s">
        <v>5606</v>
      </c>
      <c r="C668" s="30">
        <v>45911</v>
      </c>
      <c r="D668" s="34" t="s">
        <v>183</v>
      </c>
    </row>
    <row r="669" spans="1:4" x14ac:dyDescent="0.25">
      <c r="A669" s="12">
        <v>20050761</v>
      </c>
      <c r="B669" s="27" t="s">
        <v>5593</v>
      </c>
      <c r="C669" s="30">
        <v>45911</v>
      </c>
      <c r="D669" s="34" t="s">
        <v>183</v>
      </c>
    </row>
    <row r="670" spans="1:4" x14ac:dyDescent="0.25">
      <c r="A670" s="12">
        <v>20034090</v>
      </c>
      <c r="B670" s="27" t="s">
        <v>2662</v>
      </c>
      <c r="C670" s="30">
        <v>45911</v>
      </c>
      <c r="D670" s="34" t="s">
        <v>183</v>
      </c>
    </row>
    <row r="671" spans="1:4" x14ac:dyDescent="0.25">
      <c r="A671" s="12">
        <v>20001117</v>
      </c>
      <c r="B671" s="27" t="s">
        <v>459</v>
      </c>
      <c r="C671" s="30">
        <v>45915</v>
      </c>
      <c r="D671" s="34" t="s">
        <v>183</v>
      </c>
    </row>
    <row r="672" spans="1:4" x14ac:dyDescent="0.25">
      <c r="A672" s="12">
        <v>20018080</v>
      </c>
      <c r="B672" s="27" t="s">
        <v>1531</v>
      </c>
      <c r="C672" s="30">
        <v>45915</v>
      </c>
      <c r="D672" s="34" t="s">
        <v>183</v>
      </c>
    </row>
    <row r="673" spans="1:4" x14ac:dyDescent="0.25">
      <c r="A673" s="12">
        <v>20043029</v>
      </c>
      <c r="B673" s="27" t="s">
        <v>4752</v>
      </c>
      <c r="C673" s="30">
        <v>45919</v>
      </c>
      <c r="D673" s="34" t="s">
        <v>165</v>
      </c>
    </row>
    <row r="674" spans="1:4" x14ac:dyDescent="0.25">
      <c r="A674" s="12">
        <v>20050973</v>
      </c>
      <c r="B674" s="27" t="s">
        <v>11285</v>
      </c>
      <c r="C674" s="30">
        <v>45924</v>
      </c>
      <c r="D674" s="34" t="s">
        <v>189</v>
      </c>
    </row>
    <row r="675" spans="1:4" x14ac:dyDescent="0.25">
      <c r="A675" s="12">
        <v>26000622</v>
      </c>
      <c r="B675" s="27" t="s">
        <v>4947</v>
      </c>
      <c r="C675" s="30">
        <v>45938</v>
      </c>
      <c r="D675" s="34" t="s">
        <v>11320</v>
      </c>
    </row>
    <row r="676" spans="1:4" x14ac:dyDescent="0.25">
      <c r="A676" s="12">
        <v>20043905</v>
      </c>
      <c r="B676" s="27" t="s">
        <v>5132</v>
      </c>
      <c r="C676" s="30">
        <v>45945</v>
      </c>
      <c r="D676" s="34" t="s">
        <v>183</v>
      </c>
    </row>
    <row r="677" spans="1:4" x14ac:dyDescent="0.25">
      <c r="A677" s="12">
        <v>20043680</v>
      </c>
      <c r="B677" s="27" t="s">
        <v>5004</v>
      </c>
      <c r="C677" s="30">
        <v>45972</v>
      </c>
      <c r="D677" s="34" t="s">
        <v>165</v>
      </c>
    </row>
    <row r="678" spans="1:4" x14ac:dyDescent="0.25">
      <c r="A678" s="12">
        <v>20043681</v>
      </c>
      <c r="B678" s="27" t="s">
        <v>5005</v>
      </c>
      <c r="C678" s="30">
        <v>45972</v>
      </c>
      <c r="D678" s="34" t="s">
        <v>165</v>
      </c>
    </row>
    <row r="679" spans="1:4" x14ac:dyDescent="0.25">
      <c r="A679" s="12">
        <v>20050955</v>
      </c>
      <c r="B679" s="27" t="s">
        <v>11343</v>
      </c>
      <c r="C679" s="30">
        <v>45987</v>
      </c>
      <c r="D679" s="34" t="s">
        <v>156</v>
      </c>
    </row>
    <row r="680" spans="1:4" x14ac:dyDescent="0.25">
      <c r="A680" s="12">
        <v>20029249</v>
      </c>
      <c r="B680" s="27" t="s">
        <v>1997</v>
      </c>
      <c r="C680" s="30">
        <v>45988</v>
      </c>
      <c r="D680" s="34" t="s">
        <v>183</v>
      </c>
    </row>
    <row r="681" spans="1:4" x14ac:dyDescent="0.25">
      <c r="A681" s="12">
        <v>20043568</v>
      </c>
      <c r="B681" s="27" t="s">
        <v>4938</v>
      </c>
      <c r="C681" s="30">
        <v>45988</v>
      </c>
      <c r="D681" s="34" t="s">
        <v>183</v>
      </c>
    </row>
    <row r="682" spans="1:4" x14ac:dyDescent="0.25">
      <c r="A682" s="12">
        <v>20031987</v>
      </c>
      <c r="B682" s="27" t="s">
        <v>2389</v>
      </c>
      <c r="C682" s="30">
        <v>45992</v>
      </c>
      <c r="D682" s="34" t="s">
        <v>183</v>
      </c>
    </row>
    <row r="683" spans="1:4" x14ac:dyDescent="0.25">
      <c r="A683" s="12">
        <v>20043737</v>
      </c>
      <c r="B683" s="27" t="s">
        <v>5035</v>
      </c>
      <c r="C683" s="30">
        <v>46000</v>
      </c>
      <c r="D683" s="34" t="s">
        <v>183</v>
      </c>
    </row>
    <row r="684" spans="1:4" x14ac:dyDescent="0.25">
      <c r="A684" s="12">
        <v>20040801</v>
      </c>
      <c r="B684" s="27" t="s">
        <v>4041</v>
      </c>
      <c r="C684" s="30">
        <v>46000</v>
      </c>
      <c r="D684" s="34" t="s">
        <v>183</v>
      </c>
    </row>
    <row r="685" spans="1:4" x14ac:dyDescent="0.25">
      <c r="A685" s="12">
        <v>20030824</v>
      </c>
      <c r="B685" s="27" t="s">
        <v>2228</v>
      </c>
      <c r="C685" s="30">
        <v>46000</v>
      </c>
      <c r="D685" s="34" t="s">
        <v>183</v>
      </c>
    </row>
    <row r="686" spans="1:4" x14ac:dyDescent="0.25">
      <c r="A686" s="12">
        <v>20030827</v>
      </c>
      <c r="B686" s="27" t="s">
        <v>2231</v>
      </c>
      <c r="C686" s="30">
        <v>46000</v>
      </c>
      <c r="D686" s="34" t="s">
        <v>183</v>
      </c>
    </row>
    <row r="687" spans="1:4" x14ac:dyDescent="0.25">
      <c r="A687" s="12">
        <v>20041620</v>
      </c>
      <c r="B687" s="27" t="s">
        <v>4302</v>
      </c>
      <c r="C687" s="30">
        <v>46000</v>
      </c>
      <c r="D687" s="34" t="s">
        <v>183</v>
      </c>
    </row>
    <row r="688" spans="1:4" x14ac:dyDescent="0.25">
      <c r="A688" s="12">
        <v>20030829</v>
      </c>
      <c r="B688" s="27" t="s">
        <v>2233</v>
      </c>
      <c r="C688" s="30">
        <v>46000</v>
      </c>
      <c r="D688" s="34" t="s">
        <v>183</v>
      </c>
    </row>
    <row r="689" spans="1:4" x14ac:dyDescent="0.25">
      <c r="A689" s="12">
        <v>20028299</v>
      </c>
      <c r="B689" s="27" t="s">
        <v>1910</v>
      </c>
      <c r="C689" s="30">
        <v>46000</v>
      </c>
      <c r="D689" s="34" t="s">
        <v>183</v>
      </c>
    </row>
    <row r="690" spans="1:4" x14ac:dyDescent="0.25">
      <c r="A690" s="12">
        <v>20050983</v>
      </c>
      <c r="B690" s="27" t="s">
        <v>11292</v>
      </c>
      <c r="C690" s="30">
        <v>46000</v>
      </c>
      <c r="D690" s="34" t="s">
        <v>183</v>
      </c>
    </row>
    <row r="691" spans="1:4" x14ac:dyDescent="0.25">
      <c r="A691" s="12">
        <v>20043679</v>
      </c>
      <c r="B691" s="27" t="s">
        <v>5002</v>
      </c>
      <c r="C691" s="30">
        <v>46000</v>
      </c>
      <c r="D691" s="34" t="s">
        <v>183</v>
      </c>
    </row>
    <row r="692" spans="1:4" x14ac:dyDescent="0.25">
      <c r="A692" s="12">
        <v>20043237</v>
      </c>
      <c r="B692" s="27" t="s">
        <v>4808</v>
      </c>
      <c r="C692" s="30">
        <v>46003</v>
      </c>
      <c r="D692" s="34" t="s">
        <v>165</v>
      </c>
    </row>
    <row r="693" spans="1:4" x14ac:dyDescent="0.25">
      <c r="A693" s="12">
        <v>20042796</v>
      </c>
      <c r="B693" s="27" t="s">
        <v>4662</v>
      </c>
      <c r="C693" s="30">
        <v>46041</v>
      </c>
      <c r="D693" s="34" t="s">
        <v>165</v>
      </c>
    </row>
    <row r="694" spans="1:4" x14ac:dyDescent="0.25">
      <c r="A694" s="12">
        <v>20042797</v>
      </c>
      <c r="B694" s="27" t="s">
        <v>4663</v>
      </c>
      <c r="C694" s="30">
        <v>46041</v>
      </c>
      <c r="D694" s="34" t="s">
        <v>165</v>
      </c>
    </row>
    <row r="695" spans="1:4" x14ac:dyDescent="0.25">
      <c r="A695" s="12">
        <v>20040299</v>
      </c>
      <c r="B695" s="27" t="s">
        <v>3936</v>
      </c>
      <c r="C695" s="30">
        <v>46055</v>
      </c>
      <c r="D695" s="34" t="s">
        <v>165</v>
      </c>
    </row>
    <row r="696" spans="1:4" x14ac:dyDescent="0.25">
      <c r="A696" s="12">
        <v>20030278</v>
      </c>
      <c r="B696" s="27" t="s">
        <v>2181</v>
      </c>
      <c r="C696" s="30">
        <v>46055</v>
      </c>
      <c r="D696" s="34" t="s">
        <v>165</v>
      </c>
    </row>
    <row r="697" spans="1:4" x14ac:dyDescent="0.25">
      <c r="A697" s="12">
        <v>20034719</v>
      </c>
      <c r="B697" s="27" t="s">
        <v>2747</v>
      </c>
      <c r="C697" s="30">
        <v>46055</v>
      </c>
      <c r="D697" s="34" t="s">
        <v>165</v>
      </c>
    </row>
    <row r="698" spans="1:4" x14ac:dyDescent="0.25">
      <c r="A698" s="12">
        <v>20032101</v>
      </c>
      <c r="B698" s="27" t="s">
        <v>2409</v>
      </c>
      <c r="C698" s="30">
        <v>46055</v>
      </c>
      <c r="D698" s="34" t="s">
        <v>165</v>
      </c>
    </row>
    <row r="699" spans="1:4" x14ac:dyDescent="0.25">
      <c r="A699" s="12">
        <v>20030876</v>
      </c>
      <c r="B699" s="27" t="s">
        <v>2260</v>
      </c>
      <c r="C699" s="30">
        <v>46055</v>
      </c>
      <c r="D699" s="34" t="s">
        <v>165</v>
      </c>
    </row>
    <row r="700" spans="1:4" x14ac:dyDescent="0.25">
      <c r="A700" s="12">
        <v>20041660</v>
      </c>
      <c r="B700" s="27" t="s">
        <v>10960</v>
      </c>
      <c r="C700" s="30">
        <v>46055</v>
      </c>
      <c r="D700" s="34" t="s">
        <v>165</v>
      </c>
    </row>
    <row r="701" spans="1:4" x14ac:dyDescent="0.25">
      <c r="A701" s="12">
        <v>20050392</v>
      </c>
      <c r="B701" s="27" t="s">
        <v>5384</v>
      </c>
      <c r="C701" s="30">
        <v>46055</v>
      </c>
      <c r="D701" s="34" t="s">
        <v>165</v>
      </c>
    </row>
    <row r="702" spans="1:4" x14ac:dyDescent="0.25">
      <c r="A702" s="12">
        <v>20037670</v>
      </c>
      <c r="B702" s="27" t="s">
        <v>3409</v>
      </c>
      <c r="C702" s="30">
        <v>46055</v>
      </c>
      <c r="D702" s="34" t="s">
        <v>165</v>
      </c>
    </row>
    <row r="703" spans="1:4" x14ac:dyDescent="0.25">
      <c r="A703" s="12">
        <v>20040600</v>
      </c>
      <c r="B703" s="27" t="s">
        <v>4013</v>
      </c>
      <c r="C703" s="30">
        <v>46055</v>
      </c>
      <c r="D703" s="34" t="s">
        <v>165</v>
      </c>
    </row>
    <row r="704" spans="1:4" x14ac:dyDescent="0.25">
      <c r="A704" s="12">
        <v>20040599</v>
      </c>
      <c r="B704" s="27" t="s">
        <v>4012</v>
      </c>
      <c r="C704" s="30">
        <v>46055</v>
      </c>
      <c r="D704" s="34" t="s">
        <v>165</v>
      </c>
    </row>
    <row r="705" spans="1:5" x14ac:dyDescent="0.25">
      <c r="A705" s="12">
        <v>20041397</v>
      </c>
      <c r="B705" s="27" t="s">
        <v>4260</v>
      </c>
      <c r="C705" s="30">
        <v>46058</v>
      </c>
      <c r="D705" s="34" t="s">
        <v>165</v>
      </c>
    </row>
    <row r="706" spans="1:5" x14ac:dyDescent="0.25">
      <c r="A706" s="12">
        <v>20050552</v>
      </c>
      <c r="B706" s="27" t="s">
        <v>5436</v>
      </c>
      <c r="C706" s="30">
        <v>46058</v>
      </c>
      <c r="D706" s="34" t="s">
        <v>165</v>
      </c>
    </row>
    <row r="707" spans="1:5" x14ac:dyDescent="0.25">
      <c r="A707" s="12">
        <v>20043381</v>
      </c>
      <c r="B707" s="27" t="s">
        <v>4873</v>
      </c>
      <c r="C707" s="30">
        <v>46058</v>
      </c>
      <c r="D707" s="34" t="s">
        <v>165</v>
      </c>
    </row>
    <row r="708" spans="1:5" x14ac:dyDescent="0.25">
      <c r="A708" s="12">
        <v>20051046</v>
      </c>
      <c r="B708" s="27" t="s">
        <v>11483</v>
      </c>
      <c r="C708" s="30">
        <v>46058</v>
      </c>
      <c r="D708" s="34" t="s">
        <v>165</v>
      </c>
    </row>
    <row r="709" spans="1:5" x14ac:dyDescent="0.25">
      <c r="A709" s="12">
        <v>20051037</v>
      </c>
      <c r="B709" s="27" t="s">
        <v>11475</v>
      </c>
      <c r="C709" s="30">
        <v>46058</v>
      </c>
      <c r="D709" s="34" t="s">
        <v>165</v>
      </c>
    </row>
    <row r="710" spans="1:5" x14ac:dyDescent="0.25">
      <c r="A710" s="12">
        <v>20040943</v>
      </c>
      <c r="B710" s="27" t="s">
        <v>4109</v>
      </c>
      <c r="C710" s="30">
        <v>46062</v>
      </c>
      <c r="D710" s="34" t="s">
        <v>165</v>
      </c>
    </row>
    <row r="711" spans="1:5" x14ac:dyDescent="0.25">
      <c r="A711" s="93">
        <v>20000283</v>
      </c>
      <c r="B711" s="27" t="s">
        <v>314</v>
      </c>
      <c r="C711" s="30">
        <v>46063</v>
      </c>
      <c r="D711" s="34" t="s">
        <v>156</v>
      </c>
      <c r="E711" t="s">
        <v>11571</v>
      </c>
    </row>
    <row r="712" spans="1:5" x14ac:dyDescent="0.25">
      <c r="A712" s="93">
        <v>20001103</v>
      </c>
      <c r="B712" s="27" t="s">
        <v>448</v>
      </c>
      <c r="C712" s="30">
        <v>46063</v>
      </c>
      <c r="D712" s="34" t="s">
        <v>156</v>
      </c>
      <c r="E712" t="s">
        <v>11571</v>
      </c>
    </row>
    <row r="713" spans="1:5" x14ac:dyDescent="0.25">
      <c r="A713" s="93">
        <v>20001116</v>
      </c>
      <c r="B713" s="27" t="s">
        <v>458</v>
      </c>
      <c r="C713" s="30">
        <v>46063</v>
      </c>
      <c r="D713" s="34" t="s">
        <v>156</v>
      </c>
      <c r="E713" t="s">
        <v>11571</v>
      </c>
    </row>
    <row r="714" spans="1:5" x14ac:dyDescent="0.25">
      <c r="A714" s="93">
        <v>20006089</v>
      </c>
      <c r="B714" s="27" t="s">
        <v>1032</v>
      </c>
      <c r="C714" s="30">
        <v>46063</v>
      </c>
      <c r="D714" s="34" t="s">
        <v>156</v>
      </c>
      <c r="E714" t="s">
        <v>11571</v>
      </c>
    </row>
    <row r="715" spans="1:5" x14ac:dyDescent="0.25">
      <c r="A715" s="93">
        <v>20011004</v>
      </c>
      <c r="B715" s="27" t="s">
        <v>1267</v>
      </c>
      <c r="C715" s="30">
        <v>46063</v>
      </c>
      <c r="D715" s="34" t="s">
        <v>156</v>
      </c>
      <c r="E715" t="s">
        <v>11571</v>
      </c>
    </row>
    <row r="716" spans="1:5" x14ac:dyDescent="0.25">
      <c r="A716" s="93">
        <v>20019548</v>
      </c>
      <c r="B716" s="27" t="s">
        <v>1613</v>
      </c>
      <c r="C716" s="30">
        <v>46063</v>
      </c>
      <c r="D716" s="34" t="s">
        <v>156</v>
      </c>
      <c r="E716" t="s">
        <v>11571</v>
      </c>
    </row>
    <row r="717" spans="1:5" x14ac:dyDescent="0.25">
      <c r="A717" s="93">
        <v>20019644</v>
      </c>
      <c r="B717" s="27" t="s">
        <v>1632</v>
      </c>
      <c r="C717" s="30">
        <v>46063</v>
      </c>
      <c r="D717" s="34" t="s">
        <v>156</v>
      </c>
      <c r="E717" t="s">
        <v>11571</v>
      </c>
    </row>
    <row r="718" spans="1:5" x14ac:dyDescent="0.25">
      <c r="A718" s="93">
        <v>20029234</v>
      </c>
      <c r="B718" s="27" t="s">
        <v>1986</v>
      </c>
      <c r="C718" s="30">
        <v>46063</v>
      </c>
      <c r="D718" s="34" t="s">
        <v>156</v>
      </c>
      <c r="E718" t="s">
        <v>11571</v>
      </c>
    </row>
    <row r="719" spans="1:5" x14ac:dyDescent="0.25">
      <c r="A719" s="93">
        <v>20029245</v>
      </c>
      <c r="B719" s="27" t="s">
        <v>1993</v>
      </c>
      <c r="C719" s="30">
        <v>46063</v>
      </c>
      <c r="D719" s="34" t="s">
        <v>156</v>
      </c>
      <c r="E719" t="s">
        <v>11571</v>
      </c>
    </row>
    <row r="720" spans="1:5" x14ac:dyDescent="0.25">
      <c r="A720" s="93">
        <v>20029250</v>
      </c>
      <c r="B720" s="27" t="s">
        <v>1998</v>
      </c>
      <c r="C720" s="30">
        <v>46063</v>
      </c>
      <c r="D720" s="34" t="s">
        <v>156</v>
      </c>
      <c r="E720" t="s">
        <v>11571</v>
      </c>
    </row>
    <row r="721" spans="1:5" x14ac:dyDescent="0.25">
      <c r="A721" s="93">
        <v>20029251</v>
      </c>
      <c r="B721" s="27" t="s">
        <v>1999</v>
      </c>
      <c r="C721" s="30">
        <v>46063</v>
      </c>
      <c r="D721" s="34" t="s">
        <v>156</v>
      </c>
      <c r="E721" t="s">
        <v>11571</v>
      </c>
    </row>
    <row r="722" spans="1:5" x14ac:dyDescent="0.25">
      <c r="A722" s="93">
        <v>20029284</v>
      </c>
      <c r="B722" s="27" t="s">
        <v>2016</v>
      </c>
      <c r="C722" s="30">
        <v>46063</v>
      </c>
      <c r="D722" s="34" t="s">
        <v>156</v>
      </c>
      <c r="E722" t="s">
        <v>11571</v>
      </c>
    </row>
    <row r="723" spans="1:5" x14ac:dyDescent="0.25">
      <c r="A723" s="93">
        <v>20029299</v>
      </c>
      <c r="B723" s="27" t="s">
        <v>2030</v>
      </c>
      <c r="C723" s="30">
        <v>46063</v>
      </c>
      <c r="D723" s="34" t="s">
        <v>156</v>
      </c>
      <c r="E723" t="s">
        <v>11571</v>
      </c>
    </row>
    <row r="724" spans="1:5" x14ac:dyDescent="0.25">
      <c r="A724" s="93">
        <v>20029380</v>
      </c>
      <c r="B724" s="27" t="s">
        <v>2070</v>
      </c>
      <c r="C724" s="30">
        <v>46063</v>
      </c>
      <c r="D724" s="34" t="s">
        <v>156</v>
      </c>
      <c r="E724" t="s">
        <v>11571</v>
      </c>
    </row>
    <row r="725" spans="1:5" x14ac:dyDescent="0.25">
      <c r="A725" s="93">
        <v>20030290</v>
      </c>
      <c r="B725" s="27" t="s">
        <v>2182</v>
      </c>
      <c r="C725" s="30">
        <v>46063</v>
      </c>
      <c r="D725" s="34" t="s">
        <v>156</v>
      </c>
      <c r="E725" t="s">
        <v>11571</v>
      </c>
    </row>
    <row r="726" spans="1:5" x14ac:dyDescent="0.25">
      <c r="A726" s="93">
        <v>20034246</v>
      </c>
      <c r="B726" s="27" t="s">
        <v>2686</v>
      </c>
      <c r="C726" s="30">
        <v>46063</v>
      </c>
      <c r="D726" s="34" t="s">
        <v>156</v>
      </c>
      <c r="E726" t="s">
        <v>11571</v>
      </c>
    </row>
    <row r="727" spans="1:5" x14ac:dyDescent="0.25">
      <c r="A727" s="93">
        <v>20034828</v>
      </c>
      <c r="B727" s="27" t="s">
        <v>2770</v>
      </c>
      <c r="C727" s="30">
        <v>46063</v>
      </c>
      <c r="D727" s="34" t="s">
        <v>156</v>
      </c>
      <c r="E727" t="s">
        <v>11571</v>
      </c>
    </row>
    <row r="728" spans="1:5" x14ac:dyDescent="0.25">
      <c r="A728" s="93">
        <v>20036821</v>
      </c>
      <c r="B728" s="27" t="s">
        <v>3182</v>
      </c>
      <c r="C728" s="30">
        <v>46063</v>
      </c>
      <c r="D728" s="34" t="s">
        <v>156</v>
      </c>
      <c r="E728" t="s">
        <v>11571</v>
      </c>
    </row>
    <row r="729" spans="1:5" x14ac:dyDescent="0.25">
      <c r="A729" s="93">
        <v>20038594</v>
      </c>
      <c r="B729" s="27" t="s">
        <v>3560</v>
      </c>
      <c r="C729" s="30">
        <v>46063</v>
      </c>
      <c r="D729" s="34" t="s">
        <v>156</v>
      </c>
      <c r="E729" t="s">
        <v>11571</v>
      </c>
    </row>
    <row r="730" spans="1:5" x14ac:dyDescent="0.25">
      <c r="A730" s="93">
        <v>20042547</v>
      </c>
      <c r="B730" s="27" t="s">
        <v>4584</v>
      </c>
      <c r="C730" s="30">
        <v>46063</v>
      </c>
      <c r="D730" s="34" t="s">
        <v>156</v>
      </c>
      <c r="E730" t="s">
        <v>11571</v>
      </c>
    </row>
    <row r="731" spans="1:5" x14ac:dyDescent="0.25">
      <c r="A731" s="93">
        <v>20043382</v>
      </c>
      <c r="B731" s="27" t="s">
        <v>4874</v>
      </c>
      <c r="C731" s="30">
        <v>46063</v>
      </c>
      <c r="D731" s="34" t="s">
        <v>156</v>
      </c>
      <c r="E731" t="s">
        <v>11571</v>
      </c>
    </row>
    <row r="732" spans="1:5" x14ac:dyDescent="0.25">
      <c r="A732" s="93">
        <v>20043383</v>
      </c>
      <c r="B732" s="27" t="s">
        <v>4875</v>
      </c>
      <c r="C732" s="30">
        <v>46063</v>
      </c>
      <c r="D732" s="34" t="s">
        <v>156</v>
      </c>
      <c r="E732" t="s">
        <v>11571</v>
      </c>
    </row>
    <row r="733" spans="1:5" x14ac:dyDescent="0.25">
      <c r="A733" s="93">
        <v>20043384</v>
      </c>
      <c r="B733" s="27" t="s">
        <v>4876</v>
      </c>
      <c r="C733" s="30">
        <v>46063</v>
      </c>
      <c r="D733" s="34" t="s">
        <v>156</v>
      </c>
      <c r="E733" t="s">
        <v>11571</v>
      </c>
    </row>
    <row r="734" spans="1:5" x14ac:dyDescent="0.25">
      <c r="A734" s="93">
        <v>20043560</v>
      </c>
      <c r="B734" s="27" t="s">
        <v>4934</v>
      </c>
      <c r="C734" s="30">
        <v>46063</v>
      </c>
      <c r="D734" s="34" t="s">
        <v>156</v>
      </c>
      <c r="E734" t="s">
        <v>11571</v>
      </c>
    </row>
    <row r="735" spans="1:5" x14ac:dyDescent="0.25">
      <c r="A735" s="93">
        <v>20043582</v>
      </c>
      <c r="B735" s="27" t="s">
        <v>4953</v>
      </c>
      <c r="C735" s="30">
        <v>46063</v>
      </c>
      <c r="D735" s="34" t="s">
        <v>156</v>
      </c>
      <c r="E735" t="s">
        <v>11571</v>
      </c>
    </row>
    <row r="736" spans="1:5" x14ac:dyDescent="0.25">
      <c r="A736" s="93">
        <v>20043583</v>
      </c>
      <c r="B736" s="27" t="s">
        <v>4954</v>
      </c>
      <c r="C736" s="30">
        <v>46063</v>
      </c>
      <c r="D736" s="34" t="s">
        <v>156</v>
      </c>
      <c r="E736" t="s">
        <v>11571</v>
      </c>
    </row>
    <row r="737" spans="1:5" x14ac:dyDescent="0.25">
      <c r="A737" s="93">
        <v>20043598</v>
      </c>
      <c r="B737" s="27" t="s">
        <v>4955</v>
      </c>
      <c r="C737" s="30">
        <v>46063</v>
      </c>
      <c r="D737" s="34" t="s">
        <v>156</v>
      </c>
      <c r="E737" t="s">
        <v>11571</v>
      </c>
    </row>
    <row r="738" spans="1:5" x14ac:dyDescent="0.25">
      <c r="A738" s="93">
        <v>20043599</v>
      </c>
      <c r="B738" s="27" t="s">
        <v>4956</v>
      </c>
      <c r="C738" s="30">
        <v>46063</v>
      </c>
      <c r="D738" s="34" t="s">
        <v>156</v>
      </c>
      <c r="E738" t="s">
        <v>11571</v>
      </c>
    </row>
    <row r="739" spans="1:5" x14ac:dyDescent="0.25">
      <c r="A739" s="93">
        <v>20043621</v>
      </c>
      <c r="B739" s="27" t="s">
        <v>4969</v>
      </c>
      <c r="C739" s="30">
        <v>46063</v>
      </c>
      <c r="D739" s="34" t="s">
        <v>156</v>
      </c>
      <c r="E739" t="s">
        <v>11571</v>
      </c>
    </row>
    <row r="740" spans="1:5" x14ac:dyDescent="0.25">
      <c r="A740" s="93">
        <v>20043629</v>
      </c>
      <c r="B740" s="27" t="s">
        <v>4968</v>
      </c>
      <c r="C740" s="30">
        <v>46063</v>
      </c>
      <c r="D740" s="34" t="s">
        <v>156</v>
      </c>
      <c r="E740" t="s">
        <v>11571</v>
      </c>
    </row>
    <row r="741" spans="1:5" x14ac:dyDescent="0.25">
      <c r="A741" s="93">
        <v>20043630</v>
      </c>
      <c r="B741" s="27" t="s">
        <v>4971</v>
      </c>
      <c r="C741" s="30">
        <v>46063</v>
      </c>
      <c r="D741" s="34" t="s">
        <v>156</v>
      </c>
      <c r="E741" t="s">
        <v>11571</v>
      </c>
    </row>
    <row r="742" spans="1:5" x14ac:dyDescent="0.25">
      <c r="A742" s="93">
        <v>20043668</v>
      </c>
      <c r="B742" s="27" t="s">
        <v>4996</v>
      </c>
      <c r="C742" s="30">
        <v>46063</v>
      </c>
      <c r="D742" s="34" t="s">
        <v>156</v>
      </c>
      <c r="E742" t="s">
        <v>11571</v>
      </c>
    </row>
    <row r="743" spans="1:5" x14ac:dyDescent="0.25">
      <c r="A743" s="93">
        <v>20043672</v>
      </c>
      <c r="B743" s="27" t="s">
        <v>4997</v>
      </c>
      <c r="C743" s="30">
        <v>46063</v>
      </c>
      <c r="D743" s="34" t="s">
        <v>156</v>
      </c>
      <c r="E743" t="s">
        <v>11571</v>
      </c>
    </row>
    <row r="744" spans="1:5" x14ac:dyDescent="0.25">
      <c r="A744" s="93">
        <v>20043673</v>
      </c>
      <c r="B744" s="27" t="s">
        <v>4998</v>
      </c>
      <c r="C744" s="30">
        <v>46063</v>
      </c>
      <c r="D744" s="34" t="s">
        <v>156</v>
      </c>
      <c r="E744" t="s">
        <v>11571</v>
      </c>
    </row>
    <row r="745" spans="1:5" x14ac:dyDescent="0.25">
      <c r="A745" s="93">
        <v>20043675</v>
      </c>
      <c r="B745" s="27" t="s">
        <v>5000</v>
      </c>
      <c r="C745" s="30">
        <v>46063</v>
      </c>
      <c r="D745" s="34" t="s">
        <v>156</v>
      </c>
      <c r="E745" t="s">
        <v>11571</v>
      </c>
    </row>
    <row r="746" spans="1:5" x14ac:dyDescent="0.25">
      <c r="A746" s="93">
        <v>20043676</v>
      </c>
      <c r="B746" s="27" t="s">
        <v>5006</v>
      </c>
      <c r="C746" s="30">
        <v>46063</v>
      </c>
      <c r="D746" s="34" t="s">
        <v>156</v>
      </c>
      <c r="E746" t="s">
        <v>11571</v>
      </c>
    </row>
    <row r="747" spans="1:5" x14ac:dyDescent="0.25">
      <c r="A747" s="93">
        <v>20043709</v>
      </c>
      <c r="B747" s="27" t="s">
        <v>5019</v>
      </c>
      <c r="C747" s="30">
        <v>46063</v>
      </c>
      <c r="D747" s="34" t="s">
        <v>156</v>
      </c>
      <c r="E747" t="s">
        <v>11571</v>
      </c>
    </row>
    <row r="748" spans="1:5" x14ac:dyDescent="0.25">
      <c r="A748" s="93">
        <v>20043714</v>
      </c>
      <c r="B748" s="27" t="s">
        <v>5033</v>
      </c>
      <c r="C748" s="30">
        <v>46063</v>
      </c>
      <c r="D748" s="34" t="s">
        <v>156</v>
      </c>
      <c r="E748" t="s">
        <v>11571</v>
      </c>
    </row>
    <row r="749" spans="1:5" x14ac:dyDescent="0.25">
      <c r="A749" s="93">
        <v>20043721</v>
      </c>
      <c r="B749" s="27" t="s">
        <v>5036</v>
      </c>
      <c r="C749" s="30">
        <v>46063</v>
      </c>
      <c r="D749" s="34" t="s">
        <v>156</v>
      </c>
      <c r="E749" t="s">
        <v>11571</v>
      </c>
    </row>
    <row r="750" spans="1:5" x14ac:dyDescent="0.25">
      <c r="A750" s="93">
        <v>20043722</v>
      </c>
      <c r="B750" s="27" t="s">
        <v>5037</v>
      </c>
      <c r="C750" s="30">
        <v>46063</v>
      </c>
      <c r="D750" s="34" t="s">
        <v>156</v>
      </c>
      <c r="E750" t="s">
        <v>11571</v>
      </c>
    </row>
    <row r="751" spans="1:5" x14ac:dyDescent="0.25">
      <c r="A751" s="93">
        <v>20043723</v>
      </c>
      <c r="B751" s="27" t="s">
        <v>5038</v>
      </c>
      <c r="C751" s="30">
        <v>46063</v>
      </c>
      <c r="D751" s="34" t="s">
        <v>156</v>
      </c>
      <c r="E751" t="s">
        <v>11571</v>
      </c>
    </row>
    <row r="752" spans="1:5" x14ac:dyDescent="0.25">
      <c r="A752" s="93">
        <v>20043724</v>
      </c>
      <c r="B752" s="27" t="s">
        <v>5039</v>
      </c>
      <c r="C752" s="30">
        <v>46063</v>
      </c>
      <c r="D752" s="34" t="s">
        <v>156</v>
      </c>
      <c r="E752" t="s">
        <v>11571</v>
      </c>
    </row>
    <row r="753" spans="1:5" x14ac:dyDescent="0.25">
      <c r="A753" s="93">
        <v>20043781</v>
      </c>
      <c r="B753" s="27" t="s">
        <v>5066</v>
      </c>
      <c r="C753" s="30">
        <v>46063</v>
      </c>
      <c r="D753" s="34" t="s">
        <v>156</v>
      </c>
      <c r="E753" t="s">
        <v>11571</v>
      </c>
    </row>
    <row r="754" spans="1:5" x14ac:dyDescent="0.25">
      <c r="A754" s="93">
        <v>20043820</v>
      </c>
      <c r="B754" s="27" t="s">
        <v>5085</v>
      </c>
      <c r="C754" s="30">
        <v>46063</v>
      </c>
      <c r="D754" s="34" t="s">
        <v>156</v>
      </c>
      <c r="E754" t="s">
        <v>11571</v>
      </c>
    </row>
    <row r="755" spans="1:5" x14ac:dyDescent="0.25">
      <c r="A755" s="93">
        <v>20043821</v>
      </c>
      <c r="B755" s="27" t="s">
        <v>5086</v>
      </c>
      <c r="C755" s="30">
        <v>46063</v>
      </c>
      <c r="D755" s="34" t="s">
        <v>156</v>
      </c>
      <c r="E755" t="s">
        <v>11571</v>
      </c>
    </row>
    <row r="756" spans="1:5" x14ac:dyDescent="0.25">
      <c r="A756" s="93">
        <v>20043822</v>
      </c>
      <c r="B756" s="27" t="s">
        <v>5088</v>
      </c>
      <c r="C756" s="30">
        <v>46063</v>
      </c>
      <c r="D756" s="34" t="s">
        <v>156</v>
      </c>
      <c r="E756" t="s">
        <v>11571</v>
      </c>
    </row>
    <row r="757" spans="1:5" x14ac:dyDescent="0.25">
      <c r="A757" s="93">
        <v>20043823</v>
      </c>
      <c r="B757" s="27" t="s">
        <v>5089</v>
      </c>
      <c r="C757" s="30">
        <v>46063</v>
      </c>
      <c r="D757" s="34" t="s">
        <v>156</v>
      </c>
      <c r="E757" t="s">
        <v>11571</v>
      </c>
    </row>
    <row r="758" spans="1:5" x14ac:dyDescent="0.25">
      <c r="A758" s="93">
        <v>20043824</v>
      </c>
      <c r="B758" s="27" t="s">
        <v>5090</v>
      </c>
      <c r="C758" s="30">
        <v>46063</v>
      </c>
      <c r="D758" s="34" t="s">
        <v>156</v>
      </c>
      <c r="E758" t="s">
        <v>11571</v>
      </c>
    </row>
    <row r="759" spans="1:5" x14ac:dyDescent="0.25">
      <c r="A759" s="93">
        <v>20043825</v>
      </c>
      <c r="B759" s="27" t="s">
        <v>5091</v>
      </c>
      <c r="C759" s="30">
        <v>46063</v>
      </c>
      <c r="D759" s="34" t="s">
        <v>156</v>
      </c>
      <c r="E759" t="s">
        <v>11571</v>
      </c>
    </row>
    <row r="760" spans="1:5" x14ac:dyDescent="0.25">
      <c r="A760" s="93">
        <v>20043826</v>
      </c>
      <c r="B760" s="27" t="s">
        <v>5092</v>
      </c>
      <c r="C760" s="30">
        <v>46063</v>
      </c>
      <c r="D760" s="34" t="s">
        <v>156</v>
      </c>
      <c r="E760" t="s">
        <v>11571</v>
      </c>
    </row>
    <row r="761" spans="1:5" x14ac:dyDescent="0.25">
      <c r="A761" s="93">
        <v>20043868</v>
      </c>
      <c r="B761" s="27" t="s">
        <v>5115</v>
      </c>
      <c r="C761" s="30">
        <v>46063</v>
      </c>
      <c r="D761" s="34" t="s">
        <v>156</v>
      </c>
      <c r="E761" t="s">
        <v>11571</v>
      </c>
    </row>
    <row r="762" spans="1:5" x14ac:dyDescent="0.25">
      <c r="A762" s="93">
        <v>20043874</v>
      </c>
      <c r="B762" s="27" t="s">
        <v>5117</v>
      </c>
      <c r="C762" s="30">
        <v>46063</v>
      </c>
      <c r="D762" s="34" t="s">
        <v>156</v>
      </c>
      <c r="E762" t="s">
        <v>11571</v>
      </c>
    </row>
    <row r="763" spans="1:5" x14ac:dyDescent="0.25">
      <c r="A763" s="93">
        <v>20043877</v>
      </c>
      <c r="B763" s="27" t="s">
        <v>5124</v>
      </c>
      <c r="C763" s="30">
        <v>46063</v>
      </c>
      <c r="D763" s="34" t="s">
        <v>156</v>
      </c>
      <c r="E763" t="s">
        <v>11571</v>
      </c>
    </row>
    <row r="764" spans="1:5" x14ac:dyDescent="0.25">
      <c r="A764" s="93">
        <v>20043900</v>
      </c>
      <c r="B764" s="27" t="s">
        <v>5121</v>
      </c>
      <c r="C764" s="30">
        <v>46063</v>
      </c>
      <c r="D764" s="34" t="s">
        <v>156</v>
      </c>
      <c r="E764" t="s">
        <v>11571</v>
      </c>
    </row>
    <row r="765" spans="1:5" x14ac:dyDescent="0.25">
      <c r="A765" s="93">
        <v>20043903</v>
      </c>
      <c r="B765" s="27" t="s">
        <v>5125</v>
      </c>
      <c r="C765" s="30">
        <v>46063</v>
      </c>
      <c r="D765" s="34" t="s">
        <v>156</v>
      </c>
      <c r="E765" t="s">
        <v>11571</v>
      </c>
    </row>
    <row r="766" spans="1:5" x14ac:dyDescent="0.25">
      <c r="A766" s="93">
        <v>20043904</v>
      </c>
      <c r="B766" s="27" t="s">
        <v>5126</v>
      </c>
      <c r="C766" s="30">
        <v>46063</v>
      </c>
      <c r="D766" s="34" t="s">
        <v>156</v>
      </c>
      <c r="E766" t="s">
        <v>11571</v>
      </c>
    </row>
    <row r="767" spans="1:5" x14ac:dyDescent="0.25">
      <c r="A767" s="93">
        <v>20043908</v>
      </c>
      <c r="B767" s="27" t="s">
        <v>5127</v>
      </c>
      <c r="C767" s="30">
        <v>46063</v>
      </c>
      <c r="D767" s="34" t="s">
        <v>156</v>
      </c>
      <c r="E767" t="s">
        <v>11571</v>
      </c>
    </row>
    <row r="768" spans="1:5" x14ac:dyDescent="0.25">
      <c r="A768" s="93">
        <v>20043909</v>
      </c>
      <c r="B768" s="27" t="s">
        <v>5128</v>
      </c>
      <c r="C768" s="30">
        <v>46063</v>
      </c>
      <c r="D768" s="34" t="s">
        <v>156</v>
      </c>
      <c r="E768" t="s">
        <v>11571</v>
      </c>
    </row>
    <row r="769" spans="1:5" x14ac:dyDescent="0.25">
      <c r="A769" s="93">
        <v>20043910</v>
      </c>
      <c r="B769" s="27" t="s">
        <v>5129</v>
      </c>
      <c r="C769" s="30">
        <v>46063</v>
      </c>
      <c r="D769" s="34" t="s">
        <v>156</v>
      </c>
      <c r="E769" t="s">
        <v>11571</v>
      </c>
    </row>
    <row r="770" spans="1:5" x14ac:dyDescent="0.25">
      <c r="A770" s="93">
        <v>20043912</v>
      </c>
      <c r="B770" s="27" t="s">
        <v>5131</v>
      </c>
      <c r="C770" s="30">
        <v>46063</v>
      </c>
      <c r="D770" s="34" t="s">
        <v>156</v>
      </c>
      <c r="E770" t="s">
        <v>11571</v>
      </c>
    </row>
    <row r="771" spans="1:5" x14ac:dyDescent="0.25">
      <c r="A771" s="93">
        <v>20043920</v>
      </c>
      <c r="B771" s="27" t="s">
        <v>5140</v>
      </c>
      <c r="C771" s="30">
        <v>46063</v>
      </c>
      <c r="D771" s="34" t="s">
        <v>156</v>
      </c>
      <c r="E771" t="s">
        <v>11571</v>
      </c>
    </row>
    <row r="772" spans="1:5" x14ac:dyDescent="0.25">
      <c r="A772" s="93">
        <v>20043938</v>
      </c>
      <c r="B772" s="27" t="s">
        <v>5145</v>
      </c>
      <c r="C772" s="30">
        <v>46063</v>
      </c>
      <c r="D772" s="34" t="s">
        <v>156</v>
      </c>
      <c r="E772" t="s">
        <v>11571</v>
      </c>
    </row>
    <row r="773" spans="1:5" x14ac:dyDescent="0.25">
      <c r="A773" s="93">
        <v>20043941</v>
      </c>
      <c r="B773" s="27" t="s">
        <v>5154</v>
      </c>
      <c r="C773" s="30">
        <v>46063</v>
      </c>
      <c r="D773" s="34" t="s">
        <v>156</v>
      </c>
      <c r="E773" t="s">
        <v>11571</v>
      </c>
    </row>
    <row r="774" spans="1:5" x14ac:dyDescent="0.25">
      <c r="A774" s="93">
        <v>20044027</v>
      </c>
      <c r="B774" s="27" t="s">
        <v>5208</v>
      </c>
      <c r="C774" s="30">
        <v>46063</v>
      </c>
      <c r="D774" s="34" t="s">
        <v>156</v>
      </c>
      <c r="E774" t="s">
        <v>11571</v>
      </c>
    </row>
    <row r="775" spans="1:5" x14ac:dyDescent="0.25">
      <c r="A775" s="93">
        <v>20044058</v>
      </c>
      <c r="B775" s="27" t="s">
        <v>5209</v>
      </c>
      <c r="C775" s="30">
        <v>46063</v>
      </c>
      <c r="D775" s="34" t="s">
        <v>156</v>
      </c>
      <c r="E775" t="s">
        <v>11571</v>
      </c>
    </row>
    <row r="776" spans="1:5" x14ac:dyDescent="0.25">
      <c r="A776" s="93">
        <v>20044075</v>
      </c>
      <c r="B776" s="27" t="s">
        <v>5221</v>
      </c>
      <c r="C776" s="30">
        <v>46063</v>
      </c>
      <c r="D776" s="34" t="s">
        <v>156</v>
      </c>
      <c r="E776" t="s">
        <v>11571</v>
      </c>
    </row>
    <row r="777" spans="1:5" x14ac:dyDescent="0.25">
      <c r="A777" s="93">
        <v>20044098</v>
      </c>
      <c r="B777" s="27" t="s">
        <v>5228</v>
      </c>
      <c r="C777" s="30">
        <v>46063</v>
      </c>
      <c r="D777" s="34" t="s">
        <v>156</v>
      </c>
      <c r="E777" t="s">
        <v>11571</v>
      </c>
    </row>
    <row r="778" spans="1:5" x14ac:dyDescent="0.25">
      <c r="A778" s="93">
        <v>20044124</v>
      </c>
      <c r="B778" s="27" t="s">
        <v>5242</v>
      </c>
      <c r="C778" s="30">
        <v>46063</v>
      </c>
      <c r="D778" s="34" t="s">
        <v>156</v>
      </c>
      <c r="E778" t="s">
        <v>11571</v>
      </c>
    </row>
    <row r="779" spans="1:5" x14ac:dyDescent="0.25">
      <c r="A779" s="93">
        <v>20050303</v>
      </c>
      <c r="B779" s="27" t="s">
        <v>5333</v>
      </c>
      <c r="C779" s="30">
        <v>46063</v>
      </c>
      <c r="D779" s="34" t="s">
        <v>156</v>
      </c>
      <c r="E779" t="s">
        <v>11571</v>
      </c>
    </row>
    <row r="780" spans="1:5" x14ac:dyDescent="0.25">
      <c r="A780" s="93">
        <v>20050315</v>
      </c>
      <c r="B780" s="27" t="s">
        <v>5340</v>
      </c>
      <c r="C780" s="30">
        <v>46063</v>
      </c>
      <c r="D780" s="34" t="s">
        <v>156</v>
      </c>
      <c r="E780" t="s">
        <v>11571</v>
      </c>
    </row>
    <row r="781" spans="1:5" x14ac:dyDescent="0.25">
      <c r="A781" s="93">
        <v>20050316</v>
      </c>
      <c r="B781" s="27" t="s">
        <v>5341</v>
      </c>
      <c r="C781" s="30">
        <v>46063</v>
      </c>
      <c r="D781" s="34" t="s">
        <v>156</v>
      </c>
      <c r="E781" t="s">
        <v>11571</v>
      </c>
    </row>
    <row r="782" spans="1:5" x14ac:dyDescent="0.25">
      <c r="A782" s="93">
        <v>20050332</v>
      </c>
      <c r="B782" s="27" t="s">
        <v>5339</v>
      </c>
      <c r="C782" s="30">
        <v>46063</v>
      </c>
      <c r="D782" s="34" t="s">
        <v>156</v>
      </c>
      <c r="E782" t="s">
        <v>11571</v>
      </c>
    </row>
    <row r="783" spans="1:5" x14ac:dyDescent="0.25">
      <c r="A783" s="93">
        <v>20050333</v>
      </c>
      <c r="B783" s="27" t="s">
        <v>5342</v>
      </c>
      <c r="C783" s="30">
        <v>46063</v>
      </c>
      <c r="D783" s="34" t="s">
        <v>156</v>
      </c>
      <c r="E783" t="s">
        <v>11571</v>
      </c>
    </row>
    <row r="784" spans="1:5" x14ac:dyDescent="0.25">
      <c r="A784" s="93">
        <v>20050334</v>
      </c>
      <c r="B784" s="27" t="s">
        <v>5343</v>
      </c>
      <c r="C784" s="30">
        <v>46063</v>
      </c>
      <c r="D784" s="34" t="s">
        <v>156</v>
      </c>
      <c r="E784" t="s">
        <v>11571</v>
      </c>
    </row>
    <row r="785" spans="1:5" x14ac:dyDescent="0.25">
      <c r="A785" s="93">
        <v>20050335</v>
      </c>
      <c r="B785" s="27" t="s">
        <v>5344</v>
      </c>
      <c r="C785" s="30">
        <v>46063</v>
      </c>
      <c r="D785" s="34" t="s">
        <v>156</v>
      </c>
      <c r="E785" t="s">
        <v>11571</v>
      </c>
    </row>
    <row r="786" spans="1:5" x14ac:dyDescent="0.25">
      <c r="A786" s="93">
        <v>20050342</v>
      </c>
      <c r="B786" s="27" t="s">
        <v>5345</v>
      </c>
      <c r="C786" s="30">
        <v>46063</v>
      </c>
      <c r="D786" s="34" t="s">
        <v>156</v>
      </c>
      <c r="E786" t="s">
        <v>11571</v>
      </c>
    </row>
    <row r="787" spans="1:5" x14ac:dyDescent="0.25">
      <c r="A787" s="93">
        <v>20050343</v>
      </c>
      <c r="B787" s="27" t="s">
        <v>5346</v>
      </c>
      <c r="C787" s="30">
        <v>46063</v>
      </c>
      <c r="D787" s="34" t="s">
        <v>156</v>
      </c>
      <c r="E787" t="s">
        <v>11571</v>
      </c>
    </row>
    <row r="788" spans="1:5" x14ac:dyDescent="0.25">
      <c r="A788" s="93">
        <v>20050534</v>
      </c>
      <c r="B788" s="27" t="s">
        <v>5428</v>
      </c>
      <c r="C788" s="30">
        <v>46063</v>
      </c>
      <c r="D788" s="34" t="s">
        <v>156</v>
      </c>
      <c r="E788" t="s">
        <v>11571</v>
      </c>
    </row>
    <row r="789" spans="1:5" x14ac:dyDescent="0.25">
      <c r="A789" s="93">
        <v>20050536</v>
      </c>
      <c r="B789" s="27" t="s">
        <v>5430</v>
      </c>
      <c r="C789" s="30">
        <v>46063</v>
      </c>
      <c r="D789" s="34" t="s">
        <v>156</v>
      </c>
      <c r="E789" t="s">
        <v>11571</v>
      </c>
    </row>
    <row r="790" spans="1:5" x14ac:dyDescent="0.25">
      <c r="A790" s="93">
        <v>20050537</v>
      </c>
      <c r="B790" s="27" t="s">
        <v>5431</v>
      </c>
      <c r="C790" s="30">
        <v>46063</v>
      </c>
      <c r="D790" s="34" t="s">
        <v>156</v>
      </c>
      <c r="E790" t="s">
        <v>11571</v>
      </c>
    </row>
    <row r="791" spans="1:5" x14ac:dyDescent="0.25">
      <c r="A791" s="93">
        <v>20050538</v>
      </c>
      <c r="B791" s="27" t="s">
        <v>5432</v>
      </c>
      <c r="C791" s="30">
        <v>46063</v>
      </c>
      <c r="D791" s="34" t="s">
        <v>156</v>
      </c>
      <c r="E791" t="s">
        <v>11571</v>
      </c>
    </row>
    <row r="792" spans="1:5" x14ac:dyDescent="0.25">
      <c r="A792" s="93">
        <v>20050539</v>
      </c>
      <c r="B792" s="27" t="s">
        <v>5433</v>
      </c>
      <c r="C792" s="30">
        <v>46063</v>
      </c>
      <c r="D792" s="34" t="s">
        <v>156</v>
      </c>
      <c r="E792" t="s">
        <v>11571</v>
      </c>
    </row>
    <row r="793" spans="1:5" x14ac:dyDescent="0.25">
      <c r="A793" s="93">
        <v>20050540</v>
      </c>
      <c r="B793" s="27" t="s">
        <v>5434</v>
      </c>
      <c r="C793" s="30">
        <v>46063</v>
      </c>
      <c r="D793" s="34" t="s">
        <v>156</v>
      </c>
      <c r="E793" t="s">
        <v>11571</v>
      </c>
    </row>
    <row r="794" spans="1:5" x14ac:dyDescent="0.25">
      <c r="A794" s="93">
        <v>20050541</v>
      </c>
      <c r="B794" s="27" t="s">
        <v>5435</v>
      </c>
      <c r="C794" s="30">
        <v>46063</v>
      </c>
      <c r="D794" s="34" t="s">
        <v>156</v>
      </c>
      <c r="E794" t="s">
        <v>11571</v>
      </c>
    </row>
    <row r="795" spans="1:5" x14ac:dyDescent="0.25">
      <c r="A795" s="93">
        <v>20050812</v>
      </c>
      <c r="B795" s="27" t="s">
        <v>5601</v>
      </c>
      <c r="C795" s="30">
        <v>46063</v>
      </c>
      <c r="D795" s="34" t="s">
        <v>156</v>
      </c>
      <c r="E795" t="s">
        <v>11571</v>
      </c>
    </row>
    <row r="796" spans="1:5" x14ac:dyDescent="0.25">
      <c r="A796" s="93">
        <v>20042684</v>
      </c>
      <c r="B796" s="27" t="s">
        <v>4606</v>
      </c>
      <c r="C796" s="30">
        <v>46063</v>
      </c>
      <c r="D796" s="34" t="s">
        <v>156</v>
      </c>
      <c r="E796" t="s">
        <v>11571</v>
      </c>
    </row>
    <row r="797" spans="1:5" x14ac:dyDescent="0.25">
      <c r="A797" s="93">
        <v>20042685</v>
      </c>
      <c r="B797" s="27" t="s">
        <v>4607</v>
      </c>
      <c r="C797" s="30">
        <v>46063</v>
      </c>
      <c r="D797" s="34" t="s">
        <v>156</v>
      </c>
      <c r="E797" t="s">
        <v>11571</v>
      </c>
    </row>
    <row r="798" spans="1:5" x14ac:dyDescent="0.25">
      <c r="A798" s="93">
        <v>20050535</v>
      </c>
      <c r="B798" s="27" t="s">
        <v>5429</v>
      </c>
      <c r="C798" s="30">
        <v>46063</v>
      </c>
      <c r="D798" s="34" t="s">
        <v>156</v>
      </c>
      <c r="E798" t="s">
        <v>11571</v>
      </c>
    </row>
    <row r="799" spans="1:5" x14ac:dyDescent="0.25">
      <c r="A799" s="93">
        <v>20050758</v>
      </c>
      <c r="B799" s="27" t="s">
        <v>5589</v>
      </c>
      <c r="C799" s="30">
        <v>46064</v>
      </c>
      <c r="D799" s="34" t="s">
        <v>156</v>
      </c>
    </row>
    <row r="800" spans="1:5" x14ac:dyDescent="0.25">
      <c r="A800" s="93">
        <v>20050832</v>
      </c>
      <c r="B800" s="27" t="s">
        <v>10933</v>
      </c>
      <c r="C800" s="30">
        <v>46064</v>
      </c>
      <c r="D800" s="34" t="s">
        <v>156</v>
      </c>
    </row>
    <row r="801" spans="1:4" x14ac:dyDescent="0.25">
      <c r="A801" s="12">
        <v>20051058</v>
      </c>
      <c r="B801" s="27" t="s">
        <v>11495</v>
      </c>
      <c r="C801" s="30">
        <v>46072</v>
      </c>
      <c r="D801" s="34" t="s">
        <v>165</v>
      </c>
    </row>
    <row r="802" spans="1:4" x14ac:dyDescent="0.25">
      <c r="A802" s="93">
        <v>20050825</v>
      </c>
      <c r="B802" s="27" t="s">
        <v>11707</v>
      </c>
      <c r="C802" s="30">
        <v>46072</v>
      </c>
      <c r="D802" s="34" t="s">
        <v>183</v>
      </c>
    </row>
    <row r="803" spans="1:4" x14ac:dyDescent="0.25">
      <c r="A803" s="93">
        <v>20041610</v>
      </c>
      <c r="B803" s="27" t="s">
        <v>4278</v>
      </c>
      <c r="C803" s="30">
        <v>46072</v>
      </c>
      <c r="D803" s="34" t="s">
        <v>183</v>
      </c>
    </row>
    <row r="804" spans="1:4" x14ac:dyDescent="0.25">
      <c r="A804" s="93">
        <v>20043678</v>
      </c>
      <c r="B804" s="27" t="s">
        <v>5001</v>
      </c>
      <c r="C804" s="30">
        <v>46072</v>
      </c>
      <c r="D804" s="34" t="s">
        <v>183</v>
      </c>
    </row>
    <row r="805" spans="1:4" x14ac:dyDescent="0.25">
      <c r="A805" s="93">
        <v>20043870</v>
      </c>
      <c r="B805" s="27" t="s">
        <v>5116</v>
      </c>
      <c r="C805" s="30">
        <v>46072</v>
      </c>
      <c r="D805" s="34" t="s">
        <v>183</v>
      </c>
    </row>
    <row r="806" spans="1:4" x14ac:dyDescent="0.25">
      <c r="A806" s="93">
        <v>20010988</v>
      </c>
      <c r="B806" s="27" t="s">
        <v>1263</v>
      </c>
      <c r="C806" s="30">
        <v>46072</v>
      </c>
      <c r="D806" s="34" t="s">
        <v>183</v>
      </c>
    </row>
    <row r="807" spans="1:4" x14ac:dyDescent="0.25">
      <c r="A807" s="93">
        <v>20044306</v>
      </c>
      <c r="B807" s="27" t="s">
        <v>5323</v>
      </c>
      <c r="C807" s="30">
        <v>46073</v>
      </c>
      <c r="D807" s="34" t="s">
        <v>165</v>
      </c>
    </row>
    <row r="808" spans="1:4" x14ac:dyDescent="0.25">
      <c r="A808" s="93">
        <v>20042936</v>
      </c>
      <c r="B808" s="27" t="s">
        <v>4716</v>
      </c>
      <c r="C808" s="30">
        <v>46073</v>
      </c>
      <c r="D808" s="34" t="s">
        <v>165</v>
      </c>
    </row>
    <row r="809" spans="1:4" x14ac:dyDescent="0.25">
      <c r="A809" s="93">
        <v>26000661</v>
      </c>
      <c r="B809" s="27" t="s">
        <v>11763</v>
      </c>
      <c r="C809" s="30">
        <v>46087</v>
      </c>
      <c r="D809" s="34" t="s">
        <v>165</v>
      </c>
    </row>
    <row r="810" spans="1:4" x14ac:dyDescent="0.25">
      <c r="A810" s="93">
        <v>20051103</v>
      </c>
      <c r="B810" s="27" t="s">
        <v>11716</v>
      </c>
      <c r="C810" s="30">
        <v>46090</v>
      </c>
      <c r="D810" s="34" t="s">
        <v>165</v>
      </c>
    </row>
    <row r="811" spans="1:4" x14ac:dyDescent="0.25">
      <c r="A811" s="93">
        <v>20004461</v>
      </c>
      <c r="B811" s="27" t="s">
        <v>928</v>
      </c>
      <c r="C811" s="30">
        <v>46100</v>
      </c>
      <c r="D811" s="34" t="s">
        <v>165</v>
      </c>
    </row>
    <row r="812" spans="1:4" x14ac:dyDescent="0.25">
      <c r="A812" s="93">
        <v>20050884</v>
      </c>
      <c r="B812" s="27" t="s">
        <v>11085</v>
      </c>
      <c r="C812" s="30">
        <v>46100</v>
      </c>
      <c r="D812" s="34" t="s">
        <v>165</v>
      </c>
    </row>
    <row r="813" spans="1:4" x14ac:dyDescent="0.25">
      <c r="A813" s="93">
        <v>20050385</v>
      </c>
      <c r="B813" s="27" t="s">
        <v>5396</v>
      </c>
      <c r="C813" s="30">
        <v>46100</v>
      </c>
      <c r="D813" s="34" t="s">
        <v>165</v>
      </c>
    </row>
    <row r="814" spans="1:4" x14ac:dyDescent="0.25">
      <c r="A814" s="93">
        <v>20051112</v>
      </c>
      <c r="B814" s="27" t="s">
        <v>11722</v>
      </c>
      <c r="C814" s="30">
        <v>46100</v>
      </c>
      <c r="D814" s="34" t="s">
        <v>165</v>
      </c>
    </row>
    <row r="815" spans="1:4" x14ac:dyDescent="0.25">
      <c r="A815" s="93">
        <v>20044304</v>
      </c>
      <c r="B815" s="27" t="s">
        <v>5321</v>
      </c>
      <c r="C815" s="30">
        <v>46104</v>
      </c>
      <c r="D815" s="34" t="s">
        <v>165</v>
      </c>
    </row>
    <row r="816" spans="1:4" x14ac:dyDescent="0.25">
      <c r="A816" s="12">
        <v>26000646</v>
      </c>
      <c r="B816" s="27" t="s">
        <v>11744</v>
      </c>
      <c r="C816" s="30">
        <v>46104</v>
      </c>
      <c r="D816" s="34" t="s">
        <v>11320</v>
      </c>
    </row>
    <row r="817" spans="1:4" x14ac:dyDescent="0.25">
      <c r="A817" s="12">
        <v>26000648</v>
      </c>
      <c r="B817" s="27" t="s">
        <v>11747</v>
      </c>
      <c r="C817" s="30">
        <v>46104</v>
      </c>
      <c r="D817" s="34" t="s">
        <v>11320</v>
      </c>
    </row>
    <row r="818" spans="1:4" x14ac:dyDescent="0.25">
      <c r="A818" s="12">
        <v>26000644</v>
      </c>
      <c r="B818" s="27" t="s">
        <v>11742</v>
      </c>
      <c r="C818" s="30">
        <v>46104</v>
      </c>
      <c r="D818" s="34" t="s">
        <v>11320</v>
      </c>
    </row>
    <row r="819" spans="1:4" x14ac:dyDescent="0.25">
      <c r="A819" s="12">
        <v>26000860</v>
      </c>
      <c r="B819" s="27" t="s">
        <v>11309</v>
      </c>
      <c r="C819" s="30">
        <v>46107</v>
      </c>
      <c r="D819" s="34" t="s">
        <v>165</v>
      </c>
    </row>
    <row r="820" spans="1:4" x14ac:dyDescent="0.25">
      <c r="A820" s="12">
        <v>20036796</v>
      </c>
      <c r="B820" s="27" t="s">
        <v>3206</v>
      </c>
      <c r="C820" s="30">
        <v>46108</v>
      </c>
      <c r="D820" s="34" t="s">
        <v>165</v>
      </c>
    </row>
    <row r="821" spans="1:4" x14ac:dyDescent="0.25">
      <c r="A821" s="12">
        <v>20036797</v>
      </c>
      <c r="B821" s="27" t="s">
        <v>3207</v>
      </c>
      <c r="C821" s="30">
        <v>46108</v>
      </c>
      <c r="D821" s="34" t="s">
        <v>165</v>
      </c>
    </row>
    <row r="822" spans="1:4" x14ac:dyDescent="0.25">
      <c r="A822" s="12">
        <v>20051084</v>
      </c>
      <c r="B822" s="27" t="s">
        <v>11654</v>
      </c>
      <c r="C822" s="30">
        <v>46092</v>
      </c>
      <c r="D822" s="34" t="s">
        <v>165</v>
      </c>
    </row>
    <row r="823" spans="1:4" x14ac:dyDescent="0.25">
      <c r="A823" s="12">
        <v>20039450</v>
      </c>
      <c r="B823" s="27" t="s">
        <v>3768</v>
      </c>
      <c r="C823" s="30">
        <v>46086</v>
      </c>
      <c r="D823" s="34" t="s">
        <v>165</v>
      </c>
    </row>
  </sheetData>
  <autoFilter ref="A1:E821" xr:uid="{00000000-0001-0000-0200-000000000000}"/>
  <phoneticPr fontId="15" type="noConversion"/>
  <conditionalFormatting sqref="A1:A1048576">
    <cfRule type="duplicateValues" dxfId="128" priority="1"/>
    <cfRule type="duplicateValues" dxfId="127" priority="2"/>
  </conditionalFormatting>
  <conditionalFormatting sqref="A495">
    <cfRule type="duplicateValues" dxfId="126" priority="18"/>
    <cfRule type="duplicateValues" dxfId="125" priority="19"/>
  </conditionalFormatting>
  <conditionalFormatting sqref="A499">
    <cfRule type="duplicateValues" dxfId="124" priority="16"/>
    <cfRule type="duplicateValues" dxfId="123" priority="17"/>
  </conditionalFormatting>
  <conditionalFormatting sqref="A500:A504 A496:A498">
    <cfRule type="duplicateValues" dxfId="122" priority="64"/>
    <cfRule type="duplicateValues" dxfId="121" priority="65"/>
  </conditionalFormatting>
  <conditionalFormatting sqref="A581:A636">
    <cfRule type="duplicateValues" dxfId="120" priority="627"/>
  </conditionalFormatting>
  <conditionalFormatting sqref="A612:A636 A600:A609 A581:A598">
    <cfRule type="duplicateValues" dxfId="119" priority="356"/>
    <cfRule type="duplicateValues" dxfId="118" priority="357"/>
  </conditionalFormatting>
  <conditionalFormatting sqref="A637:A638">
    <cfRule type="duplicateValues" dxfId="117" priority="9"/>
    <cfRule type="duplicateValues" dxfId="116" priority="10"/>
    <cfRule type="duplicateValues" dxfId="115" priority="11"/>
  </conditionalFormatting>
  <conditionalFormatting sqref="A639:A692 A1:A419 A425:A494 A695:A704 A505:A580 A706:A1048576">
    <cfRule type="duplicateValues" dxfId="114" priority="135"/>
    <cfRule type="duplicateValues" dxfId="113" priority="136"/>
  </conditionalFormatting>
  <conditionalFormatting sqref="A693:A694">
    <cfRule type="duplicateValues" dxfId="112" priority="5"/>
    <cfRule type="duplicateValues" dxfId="111" priority="6"/>
  </conditionalFormatting>
  <conditionalFormatting sqref="A705">
    <cfRule type="duplicateValues" dxfId="110" priority="3"/>
    <cfRule type="duplicateValues" dxfId="109" priority="4"/>
  </conditionalFormatting>
  <conditionalFormatting sqref="F362:F363">
    <cfRule type="duplicateValues" dxfId="108" priority="58"/>
    <cfRule type="duplicateValues" dxfId="107" priority="59"/>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5">
    <tabColor theme="9" tint="-0.499984740745262"/>
  </sheetPr>
  <dimension ref="A1:N154"/>
  <sheetViews>
    <sheetView workbookViewId="0">
      <pane xSplit="4" ySplit="1" topLeftCell="E120" activePane="bottomRight" state="frozen"/>
      <selection pane="topRight" activeCell="E1" sqref="E1"/>
      <selection pane="bottomLeft" activeCell="A2" sqref="A2"/>
      <selection pane="bottomRight" activeCell="G1" sqref="G1:G1048576"/>
    </sheetView>
  </sheetViews>
  <sheetFormatPr defaultRowHeight="15" x14ac:dyDescent="0.25"/>
  <cols>
    <col min="1" max="1" width="14.5703125" bestFit="1" customWidth="1"/>
    <col min="2" max="2" width="43.85546875" bestFit="1" customWidth="1"/>
    <col min="3" max="3" width="10.42578125" style="30" bestFit="1" customWidth="1"/>
    <col min="4" max="4" width="15.5703125" bestFit="1" customWidth="1"/>
    <col min="5" max="5" width="42.5703125" bestFit="1" customWidth="1"/>
    <col min="6" max="6" width="24.5703125" style="12" bestFit="1" customWidth="1"/>
  </cols>
  <sheetData>
    <row r="1" spans="1:6" x14ac:dyDescent="0.25">
      <c r="A1" s="33" t="s">
        <v>22</v>
      </c>
      <c r="B1" s="33" t="s">
        <v>23</v>
      </c>
      <c r="C1" s="52" t="s">
        <v>134</v>
      </c>
      <c r="D1" s="33" t="s">
        <v>135</v>
      </c>
      <c r="E1" s="33" t="s">
        <v>29</v>
      </c>
      <c r="F1" s="67" t="s">
        <v>191</v>
      </c>
    </row>
    <row r="2" spans="1:6" x14ac:dyDescent="0.25">
      <c r="A2" s="85">
        <v>20011014</v>
      </c>
      <c r="B2" s="27" t="s">
        <v>1270</v>
      </c>
      <c r="C2" s="30">
        <v>43915</v>
      </c>
      <c r="D2" t="s">
        <v>138</v>
      </c>
      <c r="E2" t="s">
        <v>192</v>
      </c>
      <c r="F2" s="12" t="s">
        <v>193</v>
      </c>
    </row>
    <row r="3" spans="1:6" x14ac:dyDescent="0.25">
      <c r="A3" s="12">
        <v>26010000</v>
      </c>
      <c r="B3" s="27" t="s">
        <v>4520</v>
      </c>
      <c r="C3" s="30">
        <v>44035</v>
      </c>
      <c r="D3" t="s">
        <v>156</v>
      </c>
      <c r="E3" t="s">
        <v>194</v>
      </c>
      <c r="F3" s="12" t="s">
        <v>195</v>
      </c>
    </row>
    <row r="4" spans="1:6" x14ac:dyDescent="0.25">
      <c r="A4" s="12">
        <v>26010001</v>
      </c>
      <c r="B4" s="27" t="s">
        <v>4521</v>
      </c>
      <c r="C4" s="30">
        <v>44035</v>
      </c>
      <c r="D4" t="s">
        <v>156</v>
      </c>
      <c r="E4" t="s">
        <v>194</v>
      </c>
      <c r="F4" s="12" t="s">
        <v>195</v>
      </c>
    </row>
    <row r="5" spans="1:6" x14ac:dyDescent="0.25">
      <c r="A5" s="89">
        <v>26000698</v>
      </c>
      <c r="B5" s="27" t="s">
        <v>4549</v>
      </c>
      <c r="C5" s="30">
        <v>44074</v>
      </c>
      <c r="D5" t="s">
        <v>156</v>
      </c>
      <c r="E5" t="s">
        <v>196</v>
      </c>
      <c r="F5" s="12" t="s">
        <v>195</v>
      </c>
    </row>
    <row r="6" spans="1:6" x14ac:dyDescent="0.25">
      <c r="A6" s="89">
        <v>26000704</v>
      </c>
      <c r="B6" s="27" t="s">
        <v>4314</v>
      </c>
      <c r="C6" s="30">
        <v>44074</v>
      </c>
      <c r="D6" t="s">
        <v>156</v>
      </c>
      <c r="E6" t="s">
        <v>196</v>
      </c>
      <c r="F6" s="12" t="s">
        <v>195</v>
      </c>
    </row>
    <row r="7" spans="1:6" x14ac:dyDescent="0.25">
      <c r="A7" s="89">
        <v>26000700</v>
      </c>
      <c r="B7" s="27" t="s">
        <v>4313</v>
      </c>
      <c r="C7" s="30">
        <v>44074</v>
      </c>
      <c r="D7" t="s">
        <v>156</v>
      </c>
      <c r="E7" t="s">
        <v>196</v>
      </c>
      <c r="F7" s="12" t="s">
        <v>195</v>
      </c>
    </row>
    <row r="8" spans="1:6" x14ac:dyDescent="0.25">
      <c r="A8" s="89">
        <v>26000705</v>
      </c>
      <c r="B8" s="27" t="s">
        <v>10935</v>
      </c>
      <c r="C8" s="30">
        <v>44074</v>
      </c>
      <c r="D8" t="s">
        <v>156</v>
      </c>
      <c r="E8" t="s">
        <v>196</v>
      </c>
      <c r="F8" s="12" t="s">
        <v>195</v>
      </c>
    </row>
    <row r="9" spans="1:6" x14ac:dyDescent="0.25">
      <c r="A9" s="12">
        <v>26000696</v>
      </c>
      <c r="B9" s="27" t="s">
        <v>4547</v>
      </c>
      <c r="C9" s="30">
        <v>44054</v>
      </c>
      <c r="D9" t="s">
        <v>156</v>
      </c>
      <c r="E9" t="s">
        <v>197</v>
      </c>
      <c r="F9" s="12">
        <v>26000699</v>
      </c>
    </row>
    <row r="10" spans="1:6" x14ac:dyDescent="0.25">
      <c r="A10" s="12">
        <v>26000722</v>
      </c>
      <c r="B10" s="27" t="s">
        <v>4546</v>
      </c>
      <c r="C10" s="30">
        <v>44054</v>
      </c>
      <c r="D10" t="s">
        <v>156</v>
      </c>
      <c r="E10" t="s">
        <v>197</v>
      </c>
      <c r="F10" s="12">
        <v>26000401</v>
      </c>
    </row>
    <row r="11" spans="1:6" x14ac:dyDescent="0.25">
      <c r="A11" s="12">
        <v>20039914</v>
      </c>
      <c r="B11" s="27" t="s">
        <v>3853</v>
      </c>
      <c r="C11" s="30">
        <v>44111</v>
      </c>
      <c r="D11" t="s">
        <v>156</v>
      </c>
      <c r="E11" t="s">
        <v>198</v>
      </c>
      <c r="F11" s="12">
        <v>20042093</v>
      </c>
    </row>
    <row r="12" spans="1:6" x14ac:dyDescent="0.25">
      <c r="A12" s="89">
        <v>20042174</v>
      </c>
      <c r="B12" s="27" t="s">
        <v>4487</v>
      </c>
      <c r="C12" s="30">
        <v>44382</v>
      </c>
      <c r="D12" t="s">
        <v>156</v>
      </c>
      <c r="E12" t="s">
        <v>199</v>
      </c>
      <c r="F12" s="12">
        <v>20042675</v>
      </c>
    </row>
    <row r="13" spans="1:6" x14ac:dyDescent="0.25">
      <c r="A13" s="12">
        <v>20040718</v>
      </c>
      <c r="B13" s="27" t="s">
        <v>4030</v>
      </c>
      <c r="C13" s="30">
        <v>44645</v>
      </c>
      <c r="D13" t="s">
        <v>156</v>
      </c>
      <c r="E13" t="s">
        <v>200</v>
      </c>
      <c r="F13" s="12">
        <v>20026030</v>
      </c>
    </row>
    <row r="14" spans="1:6" x14ac:dyDescent="0.25">
      <c r="A14" s="12">
        <v>20040720</v>
      </c>
      <c r="B14" s="27" t="s">
        <v>4032</v>
      </c>
      <c r="C14" s="30">
        <v>44645</v>
      </c>
      <c r="D14" t="s">
        <v>156</v>
      </c>
      <c r="E14" t="s">
        <v>200</v>
      </c>
      <c r="F14" s="12">
        <v>20026030</v>
      </c>
    </row>
    <row r="15" spans="1:6" x14ac:dyDescent="0.25">
      <c r="A15" s="12">
        <v>20000430</v>
      </c>
      <c r="B15" s="27" t="s">
        <v>342</v>
      </c>
      <c r="C15" s="30">
        <v>44651</v>
      </c>
      <c r="D15" t="s">
        <v>156</v>
      </c>
      <c r="E15" t="s">
        <v>201</v>
      </c>
      <c r="F15" s="12" t="s">
        <v>202</v>
      </c>
    </row>
    <row r="16" spans="1:6" x14ac:dyDescent="0.25">
      <c r="A16" s="12">
        <v>26000675</v>
      </c>
      <c r="B16" s="27" t="s">
        <v>4551</v>
      </c>
      <c r="C16" s="30">
        <v>44651</v>
      </c>
      <c r="D16" t="s">
        <v>156</v>
      </c>
      <c r="E16" t="s">
        <v>203</v>
      </c>
      <c r="F16" s="12">
        <v>26000653</v>
      </c>
    </row>
    <row r="17" spans="1:6" x14ac:dyDescent="0.25">
      <c r="A17" s="12">
        <v>20032650</v>
      </c>
      <c r="B17" s="27" t="s">
        <v>2474</v>
      </c>
      <c r="C17" s="30">
        <v>44679</v>
      </c>
      <c r="D17" t="s">
        <v>156</v>
      </c>
      <c r="E17" t="s">
        <v>204</v>
      </c>
      <c r="F17" s="12">
        <v>20043308</v>
      </c>
    </row>
    <row r="18" spans="1:6" x14ac:dyDescent="0.25">
      <c r="A18" s="12">
        <v>26000859</v>
      </c>
      <c r="B18" s="27" t="s">
        <v>4684</v>
      </c>
      <c r="C18" s="30">
        <v>44680</v>
      </c>
      <c r="D18" t="s">
        <v>156</v>
      </c>
      <c r="E18" t="s">
        <v>196</v>
      </c>
      <c r="F18" s="12">
        <v>26000640</v>
      </c>
    </row>
    <row r="19" spans="1:6" x14ac:dyDescent="0.25">
      <c r="A19" s="12">
        <v>20001021</v>
      </c>
      <c r="B19" s="27" t="s">
        <v>414</v>
      </c>
      <c r="C19" s="30">
        <v>44713</v>
      </c>
      <c r="D19" t="s">
        <v>156</v>
      </c>
      <c r="E19" t="s">
        <v>205</v>
      </c>
      <c r="F19" s="12">
        <v>20041618</v>
      </c>
    </row>
    <row r="20" spans="1:6" x14ac:dyDescent="0.25">
      <c r="A20" s="12">
        <v>20006177</v>
      </c>
      <c r="B20" s="27" t="s">
        <v>1038</v>
      </c>
      <c r="C20" s="30">
        <v>44713</v>
      </c>
      <c r="D20" t="s">
        <v>156</v>
      </c>
      <c r="E20" t="s">
        <v>205</v>
      </c>
      <c r="F20" s="12">
        <v>20042675</v>
      </c>
    </row>
    <row r="21" spans="1:6" x14ac:dyDescent="0.25">
      <c r="A21" s="12">
        <v>20020077</v>
      </c>
      <c r="B21" s="27" t="s">
        <v>1666</v>
      </c>
      <c r="C21" s="30">
        <v>44713</v>
      </c>
      <c r="D21" t="s">
        <v>156</v>
      </c>
      <c r="E21" t="s">
        <v>205</v>
      </c>
      <c r="F21" s="12">
        <v>20041934</v>
      </c>
    </row>
    <row r="22" spans="1:6" x14ac:dyDescent="0.25">
      <c r="A22" s="12">
        <v>20032271</v>
      </c>
      <c r="B22" s="27" t="s">
        <v>2430</v>
      </c>
      <c r="C22" s="30">
        <v>44713</v>
      </c>
      <c r="D22" t="s">
        <v>156</v>
      </c>
      <c r="E22" t="s">
        <v>205</v>
      </c>
      <c r="F22" s="12" t="s">
        <v>202</v>
      </c>
    </row>
    <row r="23" spans="1:6" x14ac:dyDescent="0.25">
      <c r="A23" s="12">
        <v>20035298</v>
      </c>
      <c r="B23" s="27" t="s">
        <v>2925</v>
      </c>
      <c r="C23" s="30">
        <v>44713</v>
      </c>
      <c r="D23" t="s">
        <v>156</v>
      </c>
      <c r="E23" t="s">
        <v>205</v>
      </c>
      <c r="F23" s="12" t="s">
        <v>206</v>
      </c>
    </row>
    <row r="24" spans="1:6" x14ac:dyDescent="0.25">
      <c r="A24" s="12">
        <v>20040680</v>
      </c>
      <c r="B24" s="27" t="s">
        <v>11318</v>
      </c>
      <c r="C24" s="30">
        <v>44713</v>
      </c>
      <c r="D24" t="s">
        <v>156</v>
      </c>
      <c r="E24" t="s">
        <v>205</v>
      </c>
      <c r="F24" s="12">
        <v>20041682</v>
      </c>
    </row>
    <row r="25" spans="1:6" x14ac:dyDescent="0.25">
      <c r="A25" s="12">
        <v>26000689</v>
      </c>
      <c r="B25" s="27" t="s">
        <v>4560</v>
      </c>
      <c r="C25" s="30">
        <v>44713</v>
      </c>
      <c r="D25" t="s">
        <v>156</v>
      </c>
      <c r="E25" t="s">
        <v>205</v>
      </c>
      <c r="F25" s="12">
        <v>26000643</v>
      </c>
    </row>
    <row r="26" spans="1:6" x14ac:dyDescent="0.25">
      <c r="A26" s="12">
        <v>26000693</v>
      </c>
      <c r="B26" s="27" t="s">
        <v>10941</v>
      </c>
      <c r="C26" s="30">
        <v>44713</v>
      </c>
      <c r="D26" t="s">
        <v>156</v>
      </c>
      <c r="E26" t="s">
        <v>205</v>
      </c>
      <c r="F26" s="12">
        <v>26000649</v>
      </c>
    </row>
    <row r="27" spans="1:6" x14ac:dyDescent="0.25">
      <c r="A27" s="12">
        <v>20028459</v>
      </c>
      <c r="B27" s="27" t="s">
        <v>1915</v>
      </c>
      <c r="C27" s="30">
        <v>44713</v>
      </c>
      <c r="D27" t="s">
        <v>156</v>
      </c>
      <c r="E27" t="s">
        <v>205</v>
      </c>
      <c r="F27" s="12" t="s">
        <v>202</v>
      </c>
    </row>
    <row r="28" spans="1:6" x14ac:dyDescent="0.25">
      <c r="A28" s="12">
        <v>26000677</v>
      </c>
      <c r="B28" s="27" t="s">
        <v>4552</v>
      </c>
      <c r="C28" s="30">
        <v>44713</v>
      </c>
      <c r="D28" t="s">
        <v>156</v>
      </c>
      <c r="E28" t="s">
        <v>205</v>
      </c>
      <c r="F28" s="12">
        <v>26000665</v>
      </c>
    </row>
    <row r="29" spans="1:6" x14ac:dyDescent="0.25">
      <c r="A29" s="12">
        <v>26000715</v>
      </c>
      <c r="B29" s="27" t="s">
        <v>4371</v>
      </c>
      <c r="C29" s="30">
        <v>44713</v>
      </c>
      <c r="D29" t="s">
        <v>156</v>
      </c>
      <c r="E29" t="s">
        <v>205</v>
      </c>
      <c r="F29" s="12">
        <v>26000642</v>
      </c>
    </row>
    <row r="30" spans="1:6" x14ac:dyDescent="0.25">
      <c r="A30" s="12">
        <v>20029215</v>
      </c>
      <c r="B30" s="27" t="s">
        <v>1971</v>
      </c>
      <c r="C30" s="30">
        <v>44834</v>
      </c>
      <c r="D30" t="s">
        <v>156</v>
      </c>
      <c r="E30" t="s">
        <v>205</v>
      </c>
      <c r="F30" s="12">
        <v>20036848</v>
      </c>
    </row>
    <row r="31" spans="1:6" x14ac:dyDescent="0.25">
      <c r="A31" s="12">
        <v>20020049</v>
      </c>
      <c r="B31" s="27" t="s">
        <v>1660</v>
      </c>
      <c r="C31" s="30">
        <v>43888</v>
      </c>
      <c r="D31" t="s">
        <v>136</v>
      </c>
      <c r="E31" t="s">
        <v>207</v>
      </c>
      <c r="F31" s="12" t="s">
        <v>202</v>
      </c>
    </row>
    <row r="32" spans="1:6" x14ac:dyDescent="0.25">
      <c r="A32" s="12">
        <v>20037549</v>
      </c>
      <c r="B32" s="27" t="s">
        <v>11412</v>
      </c>
      <c r="C32" s="30">
        <v>43888</v>
      </c>
      <c r="D32" t="s">
        <v>136</v>
      </c>
      <c r="E32" t="s">
        <v>207</v>
      </c>
      <c r="F32" s="12">
        <v>20043323</v>
      </c>
    </row>
    <row r="33" spans="1:14" x14ac:dyDescent="0.25">
      <c r="A33" s="12">
        <v>20020075</v>
      </c>
      <c r="B33" s="27" t="s">
        <v>1665</v>
      </c>
      <c r="C33" s="30">
        <v>43965</v>
      </c>
      <c r="D33" t="s">
        <v>145</v>
      </c>
      <c r="E33" t="s">
        <v>208</v>
      </c>
      <c r="F33" s="12">
        <v>20041933</v>
      </c>
    </row>
    <row r="34" spans="1:14" x14ac:dyDescent="0.25">
      <c r="A34" s="89">
        <v>26000695</v>
      </c>
      <c r="B34" s="27" t="s">
        <v>11206</v>
      </c>
      <c r="C34" s="30">
        <v>44054</v>
      </c>
      <c r="D34" t="s">
        <v>146</v>
      </c>
      <c r="E34" t="s">
        <v>208</v>
      </c>
      <c r="F34" s="12">
        <v>26000645</v>
      </c>
    </row>
    <row r="35" spans="1:14" x14ac:dyDescent="0.25">
      <c r="A35" s="89">
        <v>26000671</v>
      </c>
      <c r="B35" s="27" t="s">
        <v>4550</v>
      </c>
      <c r="C35" s="30">
        <v>44054</v>
      </c>
      <c r="D35" t="s">
        <v>146</v>
      </c>
      <c r="E35" t="s">
        <v>208</v>
      </c>
      <c r="F35" s="12">
        <v>26000657</v>
      </c>
      <c r="N35" s="12"/>
    </row>
    <row r="36" spans="1:14" x14ac:dyDescent="0.25">
      <c r="A36" s="12">
        <v>26000712</v>
      </c>
      <c r="B36" s="27" t="s">
        <v>10936</v>
      </c>
      <c r="C36" s="30">
        <v>44410</v>
      </c>
      <c r="D36" t="s">
        <v>152</v>
      </c>
      <c r="E36" t="s">
        <v>207</v>
      </c>
      <c r="F36" s="12">
        <v>26000658</v>
      </c>
    </row>
    <row r="37" spans="1:14" x14ac:dyDescent="0.25">
      <c r="A37" s="12">
        <v>26000310</v>
      </c>
      <c r="B37" s="27" t="s">
        <v>2998</v>
      </c>
      <c r="C37" s="30">
        <v>45047</v>
      </c>
      <c r="D37" t="s">
        <v>156</v>
      </c>
      <c r="E37" t="s">
        <v>209</v>
      </c>
      <c r="F37" s="12">
        <v>26000276</v>
      </c>
    </row>
    <row r="38" spans="1:14" x14ac:dyDescent="0.25">
      <c r="A38" s="12">
        <v>20028456</v>
      </c>
      <c r="B38" s="27" t="s">
        <v>1913</v>
      </c>
      <c r="C38" s="30">
        <v>45047</v>
      </c>
      <c r="D38" t="s">
        <v>156</v>
      </c>
      <c r="E38" t="s">
        <v>192</v>
      </c>
      <c r="F38" s="12" t="s">
        <v>202</v>
      </c>
    </row>
    <row r="39" spans="1:14" x14ac:dyDescent="0.25">
      <c r="A39" s="12">
        <v>20028457</v>
      </c>
      <c r="B39" s="27" t="s">
        <v>1914</v>
      </c>
      <c r="C39" s="30">
        <v>45047</v>
      </c>
      <c r="D39" t="s">
        <v>156</v>
      </c>
      <c r="E39" t="s">
        <v>192</v>
      </c>
      <c r="F39" s="12" t="s">
        <v>202</v>
      </c>
    </row>
    <row r="40" spans="1:14" x14ac:dyDescent="0.25">
      <c r="A40" s="12">
        <v>26000270</v>
      </c>
      <c r="B40" s="27" t="s">
        <v>2997</v>
      </c>
      <c r="C40" s="30">
        <v>45047</v>
      </c>
      <c r="D40" t="s">
        <v>156</v>
      </c>
      <c r="E40" t="s">
        <v>192</v>
      </c>
      <c r="F40" s="12">
        <v>26000278</v>
      </c>
    </row>
    <row r="41" spans="1:14" x14ac:dyDescent="0.25">
      <c r="A41" s="12">
        <v>20040719</v>
      </c>
      <c r="B41" s="27" t="s">
        <v>4031</v>
      </c>
      <c r="C41" s="30">
        <v>45079</v>
      </c>
      <c r="D41" t="s">
        <v>156</v>
      </c>
      <c r="E41" t="s">
        <v>196</v>
      </c>
      <c r="F41" s="12" t="s">
        <v>202</v>
      </c>
    </row>
    <row r="42" spans="1:14" x14ac:dyDescent="0.25">
      <c r="A42" s="12">
        <v>20017972</v>
      </c>
      <c r="B42" s="27" t="s">
        <v>1518</v>
      </c>
      <c r="C42" s="30">
        <v>45113</v>
      </c>
      <c r="D42" t="s">
        <v>156</v>
      </c>
      <c r="E42" t="s">
        <v>210</v>
      </c>
      <c r="F42" s="12" t="s">
        <v>202</v>
      </c>
    </row>
    <row r="43" spans="1:14" x14ac:dyDescent="0.25">
      <c r="A43" s="12">
        <v>20017637</v>
      </c>
      <c r="B43" s="27" t="s">
        <v>1501</v>
      </c>
      <c r="C43" s="30">
        <v>45138</v>
      </c>
      <c r="D43" t="s">
        <v>156</v>
      </c>
      <c r="E43" t="s">
        <v>192</v>
      </c>
      <c r="F43" s="12">
        <v>20037709</v>
      </c>
    </row>
    <row r="44" spans="1:14" x14ac:dyDescent="0.25">
      <c r="A44" s="12">
        <v>20039471</v>
      </c>
      <c r="B44" s="27" t="s">
        <v>3778</v>
      </c>
      <c r="C44" s="30">
        <v>45138</v>
      </c>
      <c r="D44" t="s">
        <v>156</v>
      </c>
      <c r="E44" t="s">
        <v>192</v>
      </c>
      <c r="F44" s="12">
        <v>20041931</v>
      </c>
    </row>
    <row r="45" spans="1:14" x14ac:dyDescent="0.25">
      <c r="A45" s="12">
        <v>20039488</v>
      </c>
      <c r="B45" s="27" t="s">
        <v>3777</v>
      </c>
      <c r="C45" s="30">
        <v>45138</v>
      </c>
      <c r="D45" t="s">
        <v>156</v>
      </c>
      <c r="E45" t="s">
        <v>192</v>
      </c>
      <c r="F45" s="12">
        <v>20041930</v>
      </c>
    </row>
    <row r="46" spans="1:14" x14ac:dyDescent="0.25">
      <c r="A46" s="12">
        <v>20041641</v>
      </c>
      <c r="B46" s="27" t="s">
        <v>4315</v>
      </c>
      <c r="C46" s="30">
        <v>45138</v>
      </c>
      <c r="D46" t="s">
        <v>156</v>
      </c>
      <c r="E46" t="s">
        <v>192</v>
      </c>
      <c r="F46" s="12" t="s">
        <v>202</v>
      </c>
    </row>
    <row r="47" spans="1:14" x14ac:dyDescent="0.25">
      <c r="A47" s="12">
        <v>20039604</v>
      </c>
      <c r="B47" s="27" t="s">
        <v>11500</v>
      </c>
      <c r="C47" s="30">
        <v>45138</v>
      </c>
      <c r="D47" t="s">
        <v>156</v>
      </c>
      <c r="E47" t="s">
        <v>192</v>
      </c>
      <c r="F47" s="12" t="s">
        <v>195</v>
      </c>
    </row>
    <row r="48" spans="1:14" x14ac:dyDescent="0.25">
      <c r="A48" s="12">
        <v>26000699</v>
      </c>
      <c r="B48" s="27" t="s">
        <v>4545</v>
      </c>
      <c r="C48" s="30">
        <v>45170</v>
      </c>
      <c r="D48" t="s">
        <v>156</v>
      </c>
      <c r="E48" t="s">
        <v>209</v>
      </c>
      <c r="F48" s="12">
        <v>26000637</v>
      </c>
    </row>
    <row r="49" spans="1:6" x14ac:dyDescent="0.25">
      <c r="A49" s="12">
        <v>20039486</v>
      </c>
      <c r="B49" s="27" t="s">
        <v>3776</v>
      </c>
      <c r="C49" s="30">
        <v>45257</v>
      </c>
      <c r="D49" t="s">
        <v>156</v>
      </c>
      <c r="E49" t="s">
        <v>196</v>
      </c>
      <c r="F49" s="12">
        <v>20041929</v>
      </c>
    </row>
    <row r="50" spans="1:6" x14ac:dyDescent="0.25">
      <c r="A50" s="89">
        <v>26000065</v>
      </c>
      <c r="B50" s="27" t="s">
        <v>2876</v>
      </c>
      <c r="C50" s="30">
        <v>45257</v>
      </c>
      <c r="D50" t="s">
        <v>156</v>
      </c>
      <c r="E50" t="s">
        <v>196</v>
      </c>
      <c r="F50" s="12">
        <v>26000276</v>
      </c>
    </row>
    <row r="51" spans="1:6" x14ac:dyDescent="0.25">
      <c r="A51" s="89">
        <v>26000092</v>
      </c>
      <c r="B51" s="27" t="s">
        <v>3057</v>
      </c>
      <c r="C51" s="30">
        <v>45355</v>
      </c>
      <c r="D51" t="s">
        <v>156</v>
      </c>
      <c r="E51" t="s">
        <v>211</v>
      </c>
      <c r="F51" s="12" t="s">
        <v>202</v>
      </c>
    </row>
    <row r="52" spans="1:6" x14ac:dyDescent="0.25">
      <c r="A52" s="89">
        <v>26001125</v>
      </c>
      <c r="B52" s="27" t="s">
        <v>2894</v>
      </c>
      <c r="C52" s="30">
        <v>45350</v>
      </c>
      <c r="D52" t="s">
        <v>156</v>
      </c>
      <c r="E52" t="s">
        <v>195</v>
      </c>
      <c r="F52" s="12" t="s">
        <v>195</v>
      </c>
    </row>
    <row r="53" spans="1:6" x14ac:dyDescent="0.25">
      <c r="A53" s="89">
        <v>26000075</v>
      </c>
      <c r="B53" s="27" t="s">
        <v>2877</v>
      </c>
      <c r="C53" s="30">
        <v>45443</v>
      </c>
      <c r="D53" t="s">
        <v>156</v>
      </c>
      <c r="E53" t="s">
        <v>211</v>
      </c>
      <c r="F53" s="12">
        <v>26000281</v>
      </c>
    </row>
    <row r="54" spans="1:6" x14ac:dyDescent="0.25">
      <c r="A54" s="89">
        <v>26000085</v>
      </c>
      <c r="B54" s="27" t="s">
        <v>2879</v>
      </c>
      <c r="C54" s="30">
        <v>45443</v>
      </c>
      <c r="D54" t="s">
        <v>156</v>
      </c>
      <c r="E54" t="s">
        <v>211</v>
      </c>
      <c r="F54" s="12">
        <v>26000281</v>
      </c>
    </row>
    <row r="55" spans="1:6" x14ac:dyDescent="0.25">
      <c r="A55" s="89">
        <v>26000130</v>
      </c>
      <c r="B55" s="27" t="s">
        <v>2881</v>
      </c>
      <c r="C55" s="30">
        <v>45443</v>
      </c>
      <c r="D55" t="s">
        <v>156</v>
      </c>
      <c r="E55" t="s">
        <v>211</v>
      </c>
      <c r="F55" s="12">
        <v>26000140</v>
      </c>
    </row>
    <row r="56" spans="1:6" x14ac:dyDescent="0.25">
      <c r="A56" s="89">
        <v>26000150</v>
      </c>
      <c r="B56" s="27" t="s">
        <v>3968</v>
      </c>
      <c r="C56" s="30">
        <v>45443</v>
      </c>
      <c r="D56" t="s">
        <v>156</v>
      </c>
      <c r="E56" t="s">
        <v>211</v>
      </c>
      <c r="F56" s="12">
        <v>26000160</v>
      </c>
    </row>
    <row r="57" spans="1:6" x14ac:dyDescent="0.25">
      <c r="A57" s="89">
        <v>20032097</v>
      </c>
      <c r="B57" s="27" t="s">
        <v>2407</v>
      </c>
      <c r="C57" s="30">
        <v>45474</v>
      </c>
      <c r="D57" t="s">
        <v>156</v>
      </c>
      <c r="E57" t="s">
        <v>170</v>
      </c>
      <c r="F57" s="12">
        <v>20044260</v>
      </c>
    </row>
    <row r="58" spans="1:6" x14ac:dyDescent="0.25">
      <c r="A58" s="89">
        <v>20018101</v>
      </c>
      <c r="B58" s="27" t="s">
        <v>10918</v>
      </c>
      <c r="C58" s="30">
        <v>45475</v>
      </c>
      <c r="D58" t="s">
        <v>156</v>
      </c>
      <c r="E58" t="s">
        <v>212</v>
      </c>
      <c r="F58" s="12" t="s">
        <v>213</v>
      </c>
    </row>
    <row r="59" spans="1:6" x14ac:dyDescent="0.25">
      <c r="A59" s="89">
        <v>20018106</v>
      </c>
      <c r="B59" s="27" t="s">
        <v>1543</v>
      </c>
      <c r="C59" s="30">
        <v>45475</v>
      </c>
      <c r="D59" t="s">
        <v>156</v>
      </c>
      <c r="E59" t="s">
        <v>212</v>
      </c>
      <c r="F59" s="12" t="s">
        <v>214</v>
      </c>
    </row>
    <row r="60" spans="1:6" x14ac:dyDescent="0.25">
      <c r="A60" s="89">
        <v>20015368</v>
      </c>
      <c r="B60" s="27" t="s">
        <v>1375</v>
      </c>
      <c r="C60" s="30">
        <v>45481</v>
      </c>
      <c r="D60" t="s">
        <v>156</v>
      </c>
      <c r="E60" t="s">
        <v>212</v>
      </c>
      <c r="F60" s="12">
        <v>20044300</v>
      </c>
    </row>
    <row r="61" spans="1:6" x14ac:dyDescent="0.25">
      <c r="A61" s="89">
        <v>26000697</v>
      </c>
      <c r="B61" s="27" t="s">
        <v>4548</v>
      </c>
      <c r="C61" s="30">
        <v>45503</v>
      </c>
      <c r="D61" t="s">
        <v>156</v>
      </c>
      <c r="E61" t="s">
        <v>196</v>
      </c>
      <c r="F61" s="12">
        <v>26000655</v>
      </c>
    </row>
    <row r="62" spans="1:6" x14ac:dyDescent="0.25">
      <c r="A62" s="89">
        <v>20044298</v>
      </c>
      <c r="B62" s="27" t="s">
        <v>342</v>
      </c>
      <c r="C62" s="30">
        <v>45503</v>
      </c>
      <c r="D62" t="s">
        <v>156</v>
      </c>
      <c r="E62" t="s">
        <v>212</v>
      </c>
      <c r="F62" s="12" t="s">
        <v>202</v>
      </c>
    </row>
    <row r="63" spans="1:6" x14ac:dyDescent="0.25">
      <c r="A63" s="89">
        <v>20018104</v>
      </c>
      <c r="B63" s="27" t="s">
        <v>10919</v>
      </c>
      <c r="C63" s="30">
        <v>45503</v>
      </c>
      <c r="D63" t="s">
        <v>156</v>
      </c>
      <c r="E63" t="s">
        <v>212</v>
      </c>
      <c r="F63" s="12" t="s">
        <v>202</v>
      </c>
    </row>
    <row r="64" spans="1:6" x14ac:dyDescent="0.25">
      <c r="A64" s="89">
        <v>20036100</v>
      </c>
      <c r="B64" s="27" t="s">
        <v>3070</v>
      </c>
      <c r="C64" s="30">
        <v>45531</v>
      </c>
      <c r="D64" t="s">
        <v>156</v>
      </c>
      <c r="E64" t="s">
        <v>211</v>
      </c>
      <c r="F64" s="12">
        <v>20039303</v>
      </c>
    </row>
    <row r="65" spans="1:6" x14ac:dyDescent="0.25">
      <c r="A65" s="89">
        <v>20043200</v>
      </c>
      <c r="B65" s="27" t="s">
        <v>4799</v>
      </c>
      <c r="C65" s="30">
        <v>45531</v>
      </c>
      <c r="D65" t="s">
        <v>156</v>
      </c>
      <c r="E65" t="s">
        <v>211</v>
      </c>
      <c r="F65" s="12">
        <v>20035640</v>
      </c>
    </row>
    <row r="66" spans="1:6" x14ac:dyDescent="0.25">
      <c r="A66" s="89">
        <v>20006758</v>
      </c>
      <c r="B66" s="27" t="s">
        <v>1085</v>
      </c>
      <c r="C66" s="30">
        <v>45531</v>
      </c>
      <c r="D66" t="s">
        <v>156</v>
      </c>
      <c r="E66" t="s">
        <v>211</v>
      </c>
      <c r="F66" s="12">
        <v>20043891</v>
      </c>
    </row>
    <row r="67" spans="1:6" x14ac:dyDescent="0.25">
      <c r="A67" s="89">
        <v>20041612</v>
      </c>
      <c r="B67" s="27" t="s">
        <v>4297</v>
      </c>
      <c r="C67" s="30">
        <v>45531</v>
      </c>
      <c r="D67" t="s">
        <v>156</v>
      </c>
      <c r="E67" t="s">
        <v>211</v>
      </c>
      <c r="F67" s="12">
        <v>20043901</v>
      </c>
    </row>
    <row r="68" spans="1:6" x14ac:dyDescent="0.25">
      <c r="A68" s="89">
        <v>26000711</v>
      </c>
      <c r="B68" s="27" t="s">
        <v>4370</v>
      </c>
      <c r="C68" s="30">
        <v>45618</v>
      </c>
      <c r="D68" t="s">
        <v>156</v>
      </c>
      <c r="E68" t="s">
        <v>211</v>
      </c>
      <c r="F68" s="12">
        <v>26000656</v>
      </c>
    </row>
    <row r="69" spans="1:6" x14ac:dyDescent="0.25">
      <c r="A69" s="89">
        <v>26000692</v>
      </c>
      <c r="B69" s="27" t="s">
        <v>4562</v>
      </c>
      <c r="C69" s="30">
        <v>45625</v>
      </c>
      <c r="D69" t="s">
        <v>156</v>
      </c>
      <c r="E69" t="s">
        <v>196</v>
      </c>
      <c r="F69" s="12">
        <v>26000663</v>
      </c>
    </row>
    <row r="70" spans="1:6" x14ac:dyDescent="0.25">
      <c r="A70" s="12">
        <v>20009869</v>
      </c>
      <c r="B70" s="27" t="s">
        <v>1208</v>
      </c>
      <c r="C70" s="30">
        <v>45713</v>
      </c>
      <c r="D70" t="s">
        <v>156</v>
      </c>
      <c r="E70" t="s">
        <v>212</v>
      </c>
      <c r="F70" s="12" t="s">
        <v>202</v>
      </c>
    </row>
    <row r="71" spans="1:6" x14ac:dyDescent="0.25">
      <c r="A71" s="12">
        <v>20011136</v>
      </c>
      <c r="B71" s="27" t="s">
        <v>1278</v>
      </c>
      <c r="C71" s="30">
        <v>45713</v>
      </c>
      <c r="D71" t="s">
        <v>156</v>
      </c>
      <c r="E71" t="s">
        <v>212</v>
      </c>
      <c r="F71" s="12" t="s">
        <v>202</v>
      </c>
    </row>
    <row r="72" spans="1:6" x14ac:dyDescent="0.25">
      <c r="A72" s="12">
        <v>20029904</v>
      </c>
      <c r="B72" s="27" t="s">
        <v>2129</v>
      </c>
      <c r="C72" s="30">
        <v>45713</v>
      </c>
      <c r="D72" t="s">
        <v>156</v>
      </c>
      <c r="E72" t="s">
        <v>212</v>
      </c>
      <c r="F72" s="12" t="s">
        <v>195</v>
      </c>
    </row>
    <row r="73" spans="1:6" x14ac:dyDescent="0.25">
      <c r="A73" s="12">
        <v>20033948</v>
      </c>
      <c r="B73" s="27" t="s">
        <v>2630</v>
      </c>
      <c r="C73" s="30">
        <v>45713</v>
      </c>
      <c r="D73" t="s">
        <v>156</v>
      </c>
      <c r="E73" t="s">
        <v>212</v>
      </c>
      <c r="F73" s="12" t="s">
        <v>195</v>
      </c>
    </row>
    <row r="74" spans="1:6" x14ac:dyDescent="0.25">
      <c r="A74" s="12">
        <v>26000080</v>
      </c>
      <c r="B74" s="27" t="s">
        <v>2878</v>
      </c>
      <c r="C74" s="30">
        <v>45713</v>
      </c>
      <c r="D74" t="s">
        <v>156</v>
      </c>
      <c r="E74" t="s">
        <v>211</v>
      </c>
      <c r="F74" s="12">
        <v>26000281</v>
      </c>
    </row>
    <row r="75" spans="1:6" x14ac:dyDescent="0.25">
      <c r="A75" s="12">
        <v>20005252</v>
      </c>
      <c r="B75" s="27" t="s">
        <v>965</v>
      </c>
      <c r="C75" s="30">
        <v>45713</v>
      </c>
      <c r="D75" t="s">
        <v>156</v>
      </c>
      <c r="E75" t="s">
        <v>192</v>
      </c>
      <c r="F75" s="12">
        <v>20050442</v>
      </c>
    </row>
    <row r="76" spans="1:6" x14ac:dyDescent="0.25">
      <c r="A76" s="12">
        <v>20017979</v>
      </c>
      <c r="B76" s="27" t="s">
        <v>11243</v>
      </c>
      <c r="C76" s="30">
        <v>45713</v>
      </c>
      <c r="D76" t="s">
        <v>156</v>
      </c>
      <c r="E76" t="s">
        <v>192</v>
      </c>
      <c r="F76" s="12">
        <v>20043487</v>
      </c>
    </row>
    <row r="77" spans="1:6" x14ac:dyDescent="0.25">
      <c r="A77" s="12">
        <v>20029268</v>
      </c>
      <c r="B77" s="27" t="s">
        <v>2005</v>
      </c>
      <c r="C77" s="30">
        <v>45713</v>
      </c>
      <c r="D77" t="s">
        <v>156</v>
      </c>
      <c r="E77" t="s">
        <v>192</v>
      </c>
      <c r="F77" s="12">
        <v>20050485</v>
      </c>
    </row>
    <row r="78" spans="1:6" x14ac:dyDescent="0.25">
      <c r="A78" s="12">
        <v>20040134</v>
      </c>
      <c r="B78" s="27" t="s">
        <v>3890</v>
      </c>
      <c r="C78" s="30">
        <v>45713</v>
      </c>
      <c r="D78" t="s">
        <v>156</v>
      </c>
      <c r="E78" t="s">
        <v>192</v>
      </c>
      <c r="F78" s="12">
        <v>20040148</v>
      </c>
    </row>
    <row r="79" spans="1:6" x14ac:dyDescent="0.25">
      <c r="A79" s="92">
        <v>26000400</v>
      </c>
      <c r="B79" s="27" t="s">
        <v>4279</v>
      </c>
      <c r="C79" s="30">
        <v>45713</v>
      </c>
      <c r="D79" t="s">
        <v>156</v>
      </c>
      <c r="E79" t="s">
        <v>192</v>
      </c>
      <c r="F79" s="12">
        <v>26000648</v>
      </c>
    </row>
    <row r="80" spans="1:6" x14ac:dyDescent="0.25">
      <c r="A80" s="12">
        <v>26000401</v>
      </c>
      <c r="B80" s="27" t="s">
        <v>4546</v>
      </c>
      <c r="C80" s="30">
        <v>45713</v>
      </c>
      <c r="D80" t="s">
        <v>156</v>
      </c>
      <c r="E80" t="s">
        <v>192</v>
      </c>
      <c r="F80" s="12">
        <v>26000647</v>
      </c>
    </row>
    <row r="81" spans="1:6" x14ac:dyDescent="0.25">
      <c r="A81" s="12">
        <v>26000673</v>
      </c>
      <c r="B81" s="27" t="s">
        <v>11319</v>
      </c>
      <c r="C81" s="30">
        <v>45713</v>
      </c>
      <c r="D81" t="s">
        <v>156</v>
      </c>
      <c r="E81" t="s">
        <v>211</v>
      </c>
      <c r="F81" s="12">
        <v>26000651</v>
      </c>
    </row>
    <row r="82" spans="1:6" x14ac:dyDescent="0.25">
      <c r="A82" s="12">
        <v>26000691</v>
      </c>
      <c r="B82" s="27" t="s">
        <v>10940</v>
      </c>
      <c r="C82" s="30">
        <v>45713</v>
      </c>
      <c r="D82" t="s">
        <v>156</v>
      </c>
      <c r="E82" t="s">
        <v>211</v>
      </c>
      <c r="F82" s="12">
        <v>26000661</v>
      </c>
    </row>
    <row r="83" spans="1:6" x14ac:dyDescent="0.25">
      <c r="A83" s="12">
        <v>26000694</v>
      </c>
      <c r="B83" s="27" t="s">
        <v>10939</v>
      </c>
      <c r="C83" s="30">
        <v>45713</v>
      </c>
      <c r="D83" t="s">
        <v>156</v>
      </c>
      <c r="E83" t="s">
        <v>211</v>
      </c>
      <c r="F83" s="12">
        <v>26000659</v>
      </c>
    </row>
    <row r="84" spans="1:6" x14ac:dyDescent="0.25">
      <c r="A84" s="12">
        <v>26000714</v>
      </c>
      <c r="B84" s="27" t="s">
        <v>10937</v>
      </c>
      <c r="C84" s="30">
        <v>45713</v>
      </c>
      <c r="D84" t="s">
        <v>156</v>
      </c>
      <c r="E84" t="s">
        <v>211</v>
      </c>
      <c r="F84" s="12">
        <v>26000664</v>
      </c>
    </row>
    <row r="85" spans="1:6" x14ac:dyDescent="0.25">
      <c r="A85" s="12">
        <v>26000717</v>
      </c>
      <c r="B85" s="27" t="s">
        <v>10938</v>
      </c>
      <c r="C85" s="30">
        <v>45713</v>
      </c>
      <c r="D85" t="s">
        <v>156</v>
      </c>
      <c r="E85" t="s">
        <v>211</v>
      </c>
      <c r="F85" s="12">
        <v>26000646</v>
      </c>
    </row>
    <row r="86" spans="1:6" x14ac:dyDescent="0.25">
      <c r="A86" s="12">
        <v>20019167</v>
      </c>
      <c r="B86" s="27" t="s">
        <v>1578</v>
      </c>
      <c r="C86" s="30">
        <v>45776</v>
      </c>
      <c r="D86" t="s">
        <v>156</v>
      </c>
      <c r="E86" t="s">
        <v>211</v>
      </c>
      <c r="F86" s="12">
        <v>20044291</v>
      </c>
    </row>
    <row r="87" spans="1:6" x14ac:dyDescent="0.25">
      <c r="A87" s="12">
        <v>20033576</v>
      </c>
      <c r="B87" s="27" t="s">
        <v>11205</v>
      </c>
      <c r="C87" s="30">
        <v>45776</v>
      </c>
      <c r="D87" t="s">
        <v>156</v>
      </c>
      <c r="E87" t="s">
        <v>211</v>
      </c>
      <c r="F87" s="12" t="s">
        <v>195</v>
      </c>
    </row>
    <row r="88" spans="1:6" x14ac:dyDescent="0.25">
      <c r="A88" s="12">
        <v>26000656</v>
      </c>
      <c r="B88" s="27" t="s">
        <v>4758</v>
      </c>
      <c r="C88" s="30">
        <v>45776</v>
      </c>
      <c r="D88" t="s">
        <v>156</v>
      </c>
      <c r="E88" t="s">
        <v>211</v>
      </c>
      <c r="F88" s="12">
        <v>20050313</v>
      </c>
    </row>
    <row r="89" spans="1:6" x14ac:dyDescent="0.25">
      <c r="A89" s="12">
        <v>20017981</v>
      </c>
      <c r="B89" s="27" t="s">
        <v>1519</v>
      </c>
      <c r="C89" s="30">
        <v>45348</v>
      </c>
      <c r="D89" t="s">
        <v>189</v>
      </c>
      <c r="E89" t="s">
        <v>215</v>
      </c>
      <c r="F89" s="12">
        <v>20041608</v>
      </c>
    </row>
    <row r="90" spans="1:6" x14ac:dyDescent="0.25">
      <c r="A90" s="92">
        <v>20028611</v>
      </c>
      <c r="B90" s="27" t="s">
        <v>1925</v>
      </c>
      <c r="C90" s="30">
        <v>45776</v>
      </c>
      <c r="D90" t="s">
        <v>156</v>
      </c>
      <c r="E90" t="s">
        <v>216</v>
      </c>
      <c r="F90" s="12">
        <v>20042779</v>
      </c>
    </row>
    <row r="91" spans="1:6" x14ac:dyDescent="0.25">
      <c r="A91" s="12">
        <v>26000690</v>
      </c>
      <c r="B91" s="27" t="s">
        <v>4561</v>
      </c>
      <c r="C91" s="30">
        <v>45754</v>
      </c>
      <c r="D91" t="s">
        <v>156</v>
      </c>
      <c r="E91" t="s">
        <v>196</v>
      </c>
      <c r="F91" s="12">
        <v>26000641</v>
      </c>
    </row>
    <row r="92" spans="1:6" x14ac:dyDescent="0.25">
      <c r="A92" s="12">
        <v>20041641</v>
      </c>
      <c r="B92" s="27" t="s">
        <v>4315</v>
      </c>
      <c r="C92" s="30">
        <v>45789</v>
      </c>
      <c r="D92" t="s">
        <v>156</v>
      </c>
      <c r="E92" t="s">
        <v>11244</v>
      </c>
    </row>
    <row r="93" spans="1:6" x14ac:dyDescent="0.25">
      <c r="A93" s="12">
        <v>20001430</v>
      </c>
      <c r="B93" s="27" t="s">
        <v>559</v>
      </c>
      <c r="C93" s="30">
        <v>45897</v>
      </c>
      <c r="D93" t="s">
        <v>156</v>
      </c>
      <c r="E93" t="s">
        <v>196</v>
      </c>
      <c r="F93" s="12" t="s">
        <v>195</v>
      </c>
    </row>
    <row r="94" spans="1:6" x14ac:dyDescent="0.25">
      <c r="A94" s="12">
        <v>20001431</v>
      </c>
      <c r="B94" s="27" t="s">
        <v>560</v>
      </c>
      <c r="C94" s="30">
        <v>45898</v>
      </c>
      <c r="D94" t="s">
        <v>156</v>
      </c>
      <c r="E94" t="s">
        <v>11368</v>
      </c>
      <c r="F94" s="12" t="s">
        <v>11367</v>
      </c>
    </row>
    <row r="95" spans="1:6" x14ac:dyDescent="0.25">
      <c r="A95" s="12">
        <v>20050762</v>
      </c>
      <c r="B95" s="27" t="s">
        <v>11267</v>
      </c>
      <c r="C95" s="30">
        <v>45899</v>
      </c>
      <c r="D95" t="s">
        <v>156</v>
      </c>
    </row>
    <row r="96" spans="1:6" x14ac:dyDescent="0.25">
      <c r="A96" s="12">
        <v>20040495</v>
      </c>
      <c r="B96" s="27" t="s">
        <v>11316</v>
      </c>
      <c r="C96" s="30">
        <v>45930</v>
      </c>
      <c r="D96" t="s">
        <v>156</v>
      </c>
      <c r="E96" t="s">
        <v>196</v>
      </c>
      <c r="F96" s="12" t="s">
        <v>195</v>
      </c>
    </row>
    <row r="97" spans="1:6" x14ac:dyDescent="0.25">
      <c r="A97" s="84">
        <v>20040496</v>
      </c>
      <c r="B97" s="27" t="s">
        <v>11317</v>
      </c>
      <c r="C97" s="30">
        <v>45931</v>
      </c>
      <c r="D97" t="s">
        <v>156</v>
      </c>
      <c r="E97" t="s">
        <v>196</v>
      </c>
      <c r="F97" s="12" t="s">
        <v>195</v>
      </c>
    </row>
    <row r="98" spans="1:6" x14ac:dyDescent="0.25">
      <c r="A98" s="12">
        <v>26000673</v>
      </c>
      <c r="B98" s="27" t="s">
        <v>11319</v>
      </c>
      <c r="C98" s="30">
        <v>45932</v>
      </c>
      <c r="D98" t="s">
        <v>156</v>
      </c>
      <c r="E98" t="s">
        <v>196</v>
      </c>
      <c r="F98" s="12" t="s">
        <v>195</v>
      </c>
    </row>
    <row r="99" spans="1:6" x14ac:dyDescent="0.25">
      <c r="A99" s="12">
        <v>20020037</v>
      </c>
      <c r="B99" s="27" t="s">
        <v>11023</v>
      </c>
      <c r="C99" s="30">
        <v>45946</v>
      </c>
      <c r="D99" t="s">
        <v>156</v>
      </c>
      <c r="E99" t="s">
        <v>11321</v>
      </c>
      <c r="F99" s="12">
        <v>20050761</v>
      </c>
    </row>
    <row r="100" spans="1:6" x14ac:dyDescent="0.25">
      <c r="A100" s="12">
        <v>20019167</v>
      </c>
      <c r="B100" s="27" t="s">
        <v>1578</v>
      </c>
      <c r="C100" s="30">
        <v>45946</v>
      </c>
      <c r="D100" t="s">
        <v>156</v>
      </c>
      <c r="E100" t="s">
        <v>11321</v>
      </c>
      <c r="F100" s="12">
        <v>20044291</v>
      </c>
    </row>
    <row r="101" spans="1:6" x14ac:dyDescent="0.25">
      <c r="A101" s="12">
        <v>20005159</v>
      </c>
      <c r="B101" s="27" t="s">
        <v>951</v>
      </c>
      <c r="C101" s="30">
        <v>45959</v>
      </c>
      <c r="D101" t="s">
        <v>156</v>
      </c>
      <c r="E101" t="s">
        <v>211</v>
      </c>
      <c r="F101" s="12" t="s">
        <v>202</v>
      </c>
    </row>
    <row r="102" spans="1:6" x14ac:dyDescent="0.25">
      <c r="A102" s="12">
        <v>20008214</v>
      </c>
      <c r="B102" s="27" t="s">
        <v>1101</v>
      </c>
      <c r="C102" s="30">
        <v>45959</v>
      </c>
      <c r="D102" t="s">
        <v>156</v>
      </c>
      <c r="E102" t="s">
        <v>211</v>
      </c>
      <c r="F102" s="12">
        <v>20050462</v>
      </c>
    </row>
    <row r="103" spans="1:6" x14ac:dyDescent="0.25">
      <c r="A103" s="12">
        <v>20029268</v>
      </c>
      <c r="B103" s="27" t="s">
        <v>2005</v>
      </c>
      <c r="C103" s="30">
        <v>45959</v>
      </c>
      <c r="D103" t="s">
        <v>156</v>
      </c>
      <c r="E103" t="s">
        <v>211</v>
      </c>
      <c r="F103" s="12">
        <v>20050485</v>
      </c>
    </row>
    <row r="104" spans="1:6" x14ac:dyDescent="0.25">
      <c r="A104" s="12">
        <v>20034838</v>
      </c>
      <c r="B104" s="27" t="s">
        <v>2771</v>
      </c>
      <c r="C104" s="30">
        <v>45959</v>
      </c>
      <c r="D104" t="s">
        <v>156</v>
      </c>
      <c r="E104" t="s">
        <v>211</v>
      </c>
      <c r="F104" s="12" t="s">
        <v>202</v>
      </c>
    </row>
    <row r="105" spans="1:6" x14ac:dyDescent="0.25">
      <c r="A105" s="89">
        <v>20034839</v>
      </c>
      <c r="B105" s="27" t="s">
        <v>2772</v>
      </c>
      <c r="C105" s="30">
        <v>45959</v>
      </c>
      <c r="D105" t="s">
        <v>156</v>
      </c>
      <c r="E105" t="s">
        <v>211</v>
      </c>
      <c r="F105" s="12" t="s">
        <v>202</v>
      </c>
    </row>
    <row r="106" spans="1:6" x14ac:dyDescent="0.25">
      <c r="A106" s="12">
        <v>20043482</v>
      </c>
      <c r="B106" s="27" t="s">
        <v>4919</v>
      </c>
      <c r="C106" s="30">
        <v>45959</v>
      </c>
      <c r="D106" t="s">
        <v>156</v>
      </c>
      <c r="E106" t="s">
        <v>211</v>
      </c>
      <c r="F106" s="12">
        <v>20015520</v>
      </c>
    </row>
    <row r="107" spans="1:6" x14ac:dyDescent="0.25">
      <c r="A107" s="89">
        <v>20011163</v>
      </c>
      <c r="B107" s="27" t="s">
        <v>11250</v>
      </c>
      <c r="C107" s="30">
        <v>45959</v>
      </c>
      <c r="D107" t="s">
        <v>156</v>
      </c>
      <c r="E107" t="s">
        <v>211</v>
      </c>
      <c r="F107" s="12" t="s">
        <v>202</v>
      </c>
    </row>
    <row r="108" spans="1:6" x14ac:dyDescent="0.25">
      <c r="A108" s="89">
        <v>26000862</v>
      </c>
      <c r="B108" s="27" t="s">
        <v>11501</v>
      </c>
      <c r="C108" s="30">
        <v>46014</v>
      </c>
      <c r="D108" t="s">
        <v>156</v>
      </c>
      <c r="E108" t="s">
        <v>196</v>
      </c>
      <c r="F108" s="12">
        <v>26000745</v>
      </c>
    </row>
    <row r="109" spans="1:6" x14ac:dyDescent="0.25">
      <c r="A109" s="89">
        <v>20016154</v>
      </c>
      <c r="B109" s="27" t="s">
        <v>1442</v>
      </c>
      <c r="C109" s="30">
        <v>46064</v>
      </c>
      <c r="D109" t="s">
        <v>156</v>
      </c>
      <c r="E109" t="s">
        <v>11570</v>
      </c>
    </row>
    <row r="110" spans="1:6" x14ac:dyDescent="0.25">
      <c r="A110" s="93">
        <v>20042699</v>
      </c>
      <c r="B110" s="27" t="s">
        <v>4608</v>
      </c>
      <c r="C110" s="30">
        <v>46064</v>
      </c>
      <c r="D110" t="s">
        <v>156</v>
      </c>
      <c r="E110" t="s">
        <v>11570</v>
      </c>
    </row>
    <row r="111" spans="1:6" x14ac:dyDescent="0.25">
      <c r="A111" s="12">
        <v>20011466</v>
      </c>
      <c r="B111" s="27" t="s">
        <v>11418</v>
      </c>
      <c r="C111" s="30">
        <v>46064</v>
      </c>
      <c r="D111" t="s">
        <v>156</v>
      </c>
      <c r="E111" t="s">
        <v>211</v>
      </c>
      <c r="F111" s="12" t="s">
        <v>202</v>
      </c>
    </row>
    <row r="112" spans="1:6" x14ac:dyDescent="0.25">
      <c r="A112" s="12">
        <v>20019168</v>
      </c>
      <c r="B112" s="27" t="s">
        <v>1579</v>
      </c>
      <c r="C112" s="30">
        <v>46064</v>
      </c>
      <c r="D112" t="s">
        <v>156</v>
      </c>
      <c r="E112" t="s">
        <v>211</v>
      </c>
      <c r="F112" s="12">
        <v>20044291</v>
      </c>
    </row>
    <row r="113" spans="1:6" x14ac:dyDescent="0.25">
      <c r="A113" s="12">
        <v>20020033</v>
      </c>
      <c r="B113" s="27" t="s">
        <v>11022</v>
      </c>
      <c r="C113" s="30">
        <v>46064</v>
      </c>
      <c r="D113" t="s">
        <v>156</v>
      </c>
      <c r="E113" t="s">
        <v>211</v>
      </c>
      <c r="F113" s="12">
        <v>20050813</v>
      </c>
    </row>
    <row r="114" spans="1:6" x14ac:dyDescent="0.25">
      <c r="A114" s="89">
        <v>20020034</v>
      </c>
      <c r="B114" s="27" t="s">
        <v>10951</v>
      </c>
      <c r="C114" s="30">
        <v>46064</v>
      </c>
      <c r="D114" t="s">
        <v>156</v>
      </c>
      <c r="E114" t="s">
        <v>211</v>
      </c>
      <c r="F114" s="12">
        <v>20050813</v>
      </c>
    </row>
    <row r="115" spans="1:6" x14ac:dyDescent="0.25">
      <c r="A115" s="12">
        <v>20029265</v>
      </c>
      <c r="B115" s="27" t="s">
        <v>2002</v>
      </c>
      <c r="C115" s="30">
        <v>46064</v>
      </c>
      <c r="D115" t="s">
        <v>156</v>
      </c>
      <c r="E115" t="s">
        <v>211</v>
      </c>
      <c r="F115" s="12">
        <v>20050482</v>
      </c>
    </row>
    <row r="116" spans="1:6" x14ac:dyDescent="0.25">
      <c r="A116" s="12">
        <v>20029266</v>
      </c>
      <c r="B116" s="27" t="s">
        <v>2003</v>
      </c>
      <c r="C116" s="30">
        <v>46064</v>
      </c>
      <c r="D116" t="s">
        <v>156</v>
      </c>
      <c r="E116" t="s">
        <v>211</v>
      </c>
      <c r="F116" s="12">
        <v>20050483</v>
      </c>
    </row>
    <row r="117" spans="1:6" x14ac:dyDescent="0.25">
      <c r="A117" s="12">
        <v>20029267</v>
      </c>
      <c r="B117" s="27" t="s">
        <v>2004</v>
      </c>
      <c r="C117" s="30">
        <v>46064</v>
      </c>
      <c r="D117" t="s">
        <v>156</v>
      </c>
      <c r="E117" t="s">
        <v>211</v>
      </c>
      <c r="F117" s="12">
        <v>20050484</v>
      </c>
    </row>
    <row r="118" spans="1:6" x14ac:dyDescent="0.25">
      <c r="A118" s="89">
        <v>20032141</v>
      </c>
      <c r="B118" s="27" t="s">
        <v>2420</v>
      </c>
      <c r="C118" s="30">
        <v>46064</v>
      </c>
      <c r="D118" t="s">
        <v>156</v>
      </c>
      <c r="E118" t="s">
        <v>211</v>
      </c>
      <c r="F118" s="12">
        <v>20050832</v>
      </c>
    </row>
    <row r="119" spans="1:6" x14ac:dyDescent="0.25">
      <c r="A119" s="12">
        <v>20039472</v>
      </c>
      <c r="B119" s="27" t="s">
        <v>3779</v>
      </c>
      <c r="C119" s="30">
        <v>46064</v>
      </c>
      <c r="D119" t="s">
        <v>156</v>
      </c>
      <c r="E119" t="s">
        <v>211</v>
      </c>
      <c r="F119" s="12" t="s">
        <v>202</v>
      </c>
    </row>
    <row r="120" spans="1:6" x14ac:dyDescent="0.25">
      <c r="A120" s="12">
        <v>20039769</v>
      </c>
      <c r="B120" s="27" t="s">
        <v>3816</v>
      </c>
      <c r="C120" s="30">
        <v>46064</v>
      </c>
      <c r="D120" t="s">
        <v>156</v>
      </c>
      <c r="E120" t="s">
        <v>211</v>
      </c>
      <c r="F120" s="12">
        <v>20041682</v>
      </c>
    </row>
    <row r="121" spans="1:6" x14ac:dyDescent="0.25">
      <c r="A121" s="12">
        <v>20040148</v>
      </c>
      <c r="B121" s="27" t="s">
        <v>11034</v>
      </c>
      <c r="C121" s="30">
        <v>46064</v>
      </c>
      <c r="D121" t="s">
        <v>156</v>
      </c>
      <c r="E121" t="s">
        <v>211</v>
      </c>
      <c r="F121" s="12">
        <v>20050955</v>
      </c>
    </row>
    <row r="122" spans="1:6" x14ac:dyDescent="0.25">
      <c r="A122" s="12">
        <v>20020036</v>
      </c>
      <c r="B122" s="27" t="s">
        <v>11510</v>
      </c>
      <c r="C122" s="30">
        <v>46064</v>
      </c>
      <c r="D122" t="s">
        <v>156</v>
      </c>
      <c r="E122" t="s">
        <v>211</v>
      </c>
      <c r="F122" s="12">
        <v>20050758</v>
      </c>
    </row>
    <row r="123" spans="1:6" x14ac:dyDescent="0.25">
      <c r="A123" s="93">
        <v>20029393</v>
      </c>
      <c r="B123" s="27" t="s">
        <v>10922</v>
      </c>
      <c r="C123" s="30">
        <v>46064</v>
      </c>
      <c r="D123" t="s">
        <v>156</v>
      </c>
      <c r="E123" t="s">
        <v>211</v>
      </c>
      <c r="F123" s="12">
        <v>20050832</v>
      </c>
    </row>
    <row r="124" spans="1:6" x14ac:dyDescent="0.25">
      <c r="A124" s="84">
        <v>20040494</v>
      </c>
      <c r="B124" s="27" t="s">
        <v>11260</v>
      </c>
      <c r="C124" s="30">
        <v>46065</v>
      </c>
      <c r="D124" t="s">
        <v>156</v>
      </c>
      <c r="E124" t="s">
        <v>211</v>
      </c>
      <c r="F124" s="12" t="s">
        <v>202</v>
      </c>
    </row>
    <row r="125" spans="1:6" x14ac:dyDescent="0.25">
      <c r="A125" s="89">
        <v>20041627</v>
      </c>
      <c r="B125" s="27" t="s">
        <v>10925</v>
      </c>
      <c r="C125" s="30">
        <v>46065</v>
      </c>
      <c r="D125" t="s">
        <v>156</v>
      </c>
      <c r="E125" t="s">
        <v>211</v>
      </c>
      <c r="F125" s="12">
        <v>20050762</v>
      </c>
    </row>
    <row r="126" spans="1:6" x14ac:dyDescent="0.25">
      <c r="A126" s="12">
        <v>26000640</v>
      </c>
      <c r="B126" s="27" t="s">
        <v>11565</v>
      </c>
      <c r="C126" s="30">
        <v>46065</v>
      </c>
      <c r="D126" t="s">
        <v>156</v>
      </c>
      <c r="E126" t="s">
        <v>211</v>
      </c>
      <c r="F126" s="12">
        <v>26000645</v>
      </c>
    </row>
    <row r="127" spans="1:6" x14ac:dyDescent="0.25">
      <c r="A127" s="12">
        <v>20008214</v>
      </c>
      <c r="B127" s="27" t="s">
        <v>1101</v>
      </c>
      <c r="C127" s="30">
        <v>46080</v>
      </c>
      <c r="D127" t="s">
        <v>156</v>
      </c>
      <c r="E127" t="s">
        <v>211</v>
      </c>
      <c r="F127" s="12">
        <v>20050462</v>
      </c>
    </row>
    <row r="128" spans="1:6" x14ac:dyDescent="0.25">
      <c r="A128" s="12">
        <v>20011163</v>
      </c>
      <c r="B128" s="27" t="s">
        <v>11250</v>
      </c>
      <c r="C128" s="30">
        <v>46080</v>
      </c>
      <c r="D128" t="s">
        <v>156</v>
      </c>
      <c r="E128" t="s">
        <v>211</v>
      </c>
      <c r="F128" s="12" t="s">
        <v>202</v>
      </c>
    </row>
    <row r="129" spans="1:6" x14ac:dyDescent="0.25">
      <c r="A129" s="12">
        <v>20020033</v>
      </c>
      <c r="B129" s="27" t="s">
        <v>11022</v>
      </c>
      <c r="C129" s="30">
        <v>46080</v>
      </c>
      <c r="D129" t="s">
        <v>156</v>
      </c>
      <c r="E129" t="s">
        <v>211</v>
      </c>
      <c r="F129" s="12">
        <v>20050813</v>
      </c>
    </row>
    <row r="130" spans="1:6" x14ac:dyDescent="0.25">
      <c r="A130" s="12">
        <v>20032141</v>
      </c>
      <c r="B130" s="27" t="s">
        <v>2420</v>
      </c>
      <c r="C130" s="30">
        <v>46080</v>
      </c>
      <c r="D130" t="s">
        <v>156</v>
      </c>
      <c r="E130" t="s">
        <v>211</v>
      </c>
      <c r="F130" s="12">
        <v>20050423</v>
      </c>
    </row>
    <row r="131" spans="1:6" x14ac:dyDescent="0.25">
      <c r="A131" s="12">
        <v>20039472</v>
      </c>
      <c r="B131" s="27" t="s">
        <v>3779</v>
      </c>
      <c r="C131" s="30">
        <v>46080</v>
      </c>
      <c r="D131" t="s">
        <v>156</v>
      </c>
      <c r="E131" t="s">
        <v>211</v>
      </c>
      <c r="F131" s="12" t="s">
        <v>202</v>
      </c>
    </row>
    <row r="132" spans="1:6" x14ac:dyDescent="0.25">
      <c r="A132" s="12">
        <v>20041627</v>
      </c>
      <c r="B132" s="27" t="s">
        <v>10925</v>
      </c>
      <c r="C132" s="30">
        <v>46080</v>
      </c>
      <c r="D132" t="s">
        <v>156</v>
      </c>
      <c r="E132" t="s">
        <v>211</v>
      </c>
      <c r="F132" s="12">
        <v>20050762</v>
      </c>
    </row>
    <row r="133" spans="1:6" x14ac:dyDescent="0.25">
      <c r="A133" s="12">
        <v>20020037</v>
      </c>
      <c r="B133" s="27" t="s">
        <v>11023</v>
      </c>
      <c r="C133" s="30">
        <v>46080</v>
      </c>
      <c r="D133" t="s">
        <v>156</v>
      </c>
      <c r="E133" t="s">
        <v>211</v>
      </c>
      <c r="F133" s="12">
        <v>20050761</v>
      </c>
    </row>
    <row r="134" spans="1:6" x14ac:dyDescent="0.25">
      <c r="A134" s="12">
        <v>20040148</v>
      </c>
      <c r="B134" s="27" t="s">
        <v>11034</v>
      </c>
      <c r="C134" s="30">
        <v>46080</v>
      </c>
      <c r="D134" t="s">
        <v>156</v>
      </c>
      <c r="E134" t="s">
        <v>211</v>
      </c>
      <c r="F134" s="12">
        <v>20050955</v>
      </c>
    </row>
    <row r="135" spans="1:6" x14ac:dyDescent="0.25">
      <c r="A135" s="12">
        <v>20011466</v>
      </c>
      <c r="B135" s="27" t="s">
        <v>11418</v>
      </c>
      <c r="C135" s="30">
        <v>46080</v>
      </c>
      <c r="D135" t="s">
        <v>156</v>
      </c>
      <c r="E135" t="s">
        <v>211</v>
      </c>
      <c r="F135" s="12" t="s">
        <v>202</v>
      </c>
    </row>
    <row r="136" spans="1:6" x14ac:dyDescent="0.25">
      <c r="A136" s="12">
        <v>20020034</v>
      </c>
      <c r="B136" s="27" t="s">
        <v>10951</v>
      </c>
      <c r="C136" s="30">
        <v>46080</v>
      </c>
      <c r="D136" t="s">
        <v>156</v>
      </c>
      <c r="E136" t="s">
        <v>211</v>
      </c>
      <c r="F136" s="12">
        <v>20050813</v>
      </c>
    </row>
    <row r="137" spans="1:6" x14ac:dyDescent="0.25">
      <c r="A137" s="12">
        <v>20029266</v>
      </c>
      <c r="B137" s="27" t="s">
        <v>2003</v>
      </c>
      <c r="C137" s="30">
        <v>46080</v>
      </c>
      <c r="D137" t="s">
        <v>156</v>
      </c>
      <c r="E137" t="s">
        <v>211</v>
      </c>
      <c r="F137" s="12">
        <v>20050483</v>
      </c>
    </row>
    <row r="138" spans="1:6" x14ac:dyDescent="0.25">
      <c r="A138" s="12">
        <v>20029267</v>
      </c>
      <c r="B138" s="27" t="s">
        <v>2004</v>
      </c>
      <c r="C138" s="30">
        <v>46080</v>
      </c>
      <c r="D138" t="s">
        <v>156</v>
      </c>
      <c r="E138" t="s">
        <v>211</v>
      </c>
      <c r="F138" s="12">
        <v>20050484</v>
      </c>
    </row>
    <row r="139" spans="1:6" x14ac:dyDescent="0.25">
      <c r="A139" s="12">
        <v>20029265</v>
      </c>
      <c r="B139" s="27" t="s">
        <v>2002</v>
      </c>
      <c r="C139" s="30">
        <v>46080</v>
      </c>
      <c r="D139" t="s">
        <v>156</v>
      </c>
      <c r="E139" t="s">
        <v>211</v>
      </c>
      <c r="F139" s="12">
        <v>20050482</v>
      </c>
    </row>
    <row r="140" spans="1:6" x14ac:dyDescent="0.25">
      <c r="A140" s="12">
        <v>20019168</v>
      </c>
      <c r="B140" s="27" t="s">
        <v>1579</v>
      </c>
      <c r="C140" s="30">
        <v>46080</v>
      </c>
      <c r="D140" t="s">
        <v>156</v>
      </c>
      <c r="E140" t="s">
        <v>211</v>
      </c>
      <c r="F140" s="12">
        <v>20044291</v>
      </c>
    </row>
    <row r="141" spans="1:6" x14ac:dyDescent="0.25">
      <c r="A141" s="12">
        <v>26000639</v>
      </c>
      <c r="B141" s="27" t="s">
        <v>11661</v>
      </c>
      <c r="C141" s="30">
        <v>46111</v>
      </c>
      <c r="D141" t="s">
        <v>156</v>
      </c>
      <c r="E141" t="s">
        <v>196</v>
      </c>
      <c r="F141" s="12">
        <v>26000646</v>
      </c>
    </row>
    <row r="142" spans="1:6" ht="15.75" customHeight="1" x14ac:dyDescent="0.25">
      <c r="A142" s="12">
        <v>26000664</v>
      </c>
      <c r="B142" s="27" t="s">
        <v>11567</v>
      </c>
      <c r="C142" s="30">
        <v>46111</v>
      </c>
      <c r="D142" t="s">
        <v>156</v>
      </c>
      <c r="E142" t="s">
        <v>211</v>
      </c>
      <c r="F142" s="12" t="s">
        <v>11569</v>
      </c>
    </row>
    <row r="143" spans="1:6" x14ac:dyDescent="0.25">
      <c r="A143" s="12"/>
      <c r="B143" s="27"/>
    </row>
    <row r="144" spans="1:6" x14ac:dyDescent="0.25">
      <c r="A144" s="12"/>
      <c r="B144" s="27"/>
    </row>
    <row r="145" spans="1:2" x14ac:dyDescent="0.25">
      <c r="A145" s="12"/>
      <c r="B145" s="27"/>
    </row>
    <row r="146" spans="1:2" x14ac:dyDescent="0.25">
      <c r="A146" s="12"/>
      <c r="B146" s="27"/>
    </row>
    <row r="147" spans="1:2" x14ac:dyDescent="0.25">
      <c r="A147" s="12"/>
      <c r="B147" s="27"/>
    </row>
    <row r="148" spans="1:2" x14ac:dyDescent="0.25">
      <c r="A148" s="12"/>
      <c r="B148" s="27"/>
    </row>
    <row r="149" spans="1:2" x14ac:dyDescent="0.25">
      <c r="A149" s="12"/>
      <c r="B149" s="27"/>
    </row>
    <row r="150" spans="1:2" x14ac:dyDescent="0.25">
      <c r="A150" s="12"/>
      <c r="B150" s="27"/>
    </row>
    <row r="151" spans="1:2" x14ac:dyDescent="0.25">
      <c r="A151" s="12"/>
      <c r="B151" s="27"/>
    </row>
    <row r="152" spans="1:2" x14ac:dyDescent="0.25">
      <c r="A152" s="12"/>
      <c r="B152" s="27"/>
    </row>
    <row r="153" spans="1:2" x14ac:dyDescent="0.25">
      <c r="A153" s="12"/>
      <c r="B153" s="27"/>
    </row>
    <row r="154" spans="1:2" x14ac:dyDescent="0.25">
      <c r="A154" s="12"/>
      <c r="B154" s="27"/>
    </row>
  </sheetData>
  <autoFilter ref="A1:F108" xr:uid="{00000000-0001-0000-0300-000000000000}"/>
  <phoneticPr fontId="15" type="noConversion"/>
  <conditionalFormatting sqref="A12">
    <cfRule type="duplicateValues" dxfId="106" priority="124"/>
    <cfRule type="duplicateValues" dxfId="105" priority="125"/>
  </conditionalFormatting>
  <conditionalFormatting sqref="A13:A30">
    <cfRule type="duplicateValues" dxfId="104" priority="140"/>
    <cfRule type="duplicateValues" dxfId="103" priority="141"/>
  </conditionalFormatting>
  <conditionalFormatting sqref="A31">
    <cfRule type="duplicateValues" dxfId="102" priority="121"/>
    <cfRule type="duplicateValues" dxfId="101" priority="120"/>
  </conditionalFormatting>
  <conditionalFormatting sqref="A32">
    <cfRule type="duplicateValues" dxfId="100" priority="118"/>
    <cfRule type="duplicateValues" dxfId="99" priority="119"/>
  </conditionalFormatting>
  <conditionalFormatting sqref="A33">
    <cfRule type="duplicateValues" dxfId="98" priority="116"/>
    <cfRule type="duplicateValues" dxfId="97" priority="117"/>
  </conditionalFormatting>
  <conditionalFormatting sqref="A34">
    <cfRule type="duplicateValues" dxfId="96" priority="112"/>
    <cfRule type="duplicateValues" dxfId="95" priority="113"/>
  </conditionalFormatting>
  <conditionalFormatting sqref="A35">
    <cfRule type="duplicateValues" dxfId="94" priority="108"/>
    <cfRule type="duplicateValues" dxfId="93" priority="109"/>
  </conditionalFormatting>
  <conditionalFormatting sqref="A36:A42">
    <cfRule type="duplicateValues" dxfId="92" priority="107"/>
    <cfRule type="duplicateValues" dxfId="91" priority="106"/>
  </conditionalFormatting>
  <conditionalFormatting sqref="A43:A48">
    <cfRule type="duplicateValues" dxfId="90" priority="239"/>
    <cfRule type="duplicateValues" dxfId="89" priority="238"/>
  </conditionalFormatting>
  <conditionalFormatting sqref="A49:A69">
    <cfRule type="duplicateValues" dxfId="88" priority="632"/>
    <cfRule type="duplicateValues" dxfId="87" priority="633"/>
  </conditionalFormatting>
  <conditionalFormatting sqref="A64">
    <cfRule type="duplicateValues" dxfId="86" priority="101"/>
    <cfRule type="duplicateValues" dxfId="85" priority="100"/>
  </conditionalFormatting>
  <conditionalFormatting sqref="A65">
    <cfRule type="duplicateValues" dxfId="84" priority="99"/>
    <cfRule type="duplicateValues" dxfId="83" priority="98"/>
  </conditionalFormatting>
  <conditionalFormatting sqref="A66">
    <cfRule type="duplicateValues" dxfId="82" priority="97"/>
    <cfRule type="duplicateValues" dxfId="81" priority="96"/>
  </conditionalFormatting>
  <conditionalFormatting sqref="A67:A69">
    <cfRule type="duplicateValues" dxfId="80" priority="207"/>
    <cfRule type="duplicateValues" dxfId="79" priority="206"/>
  </conditionalFormatting>
  <conditionalFormatting sqref="A89">
    <cfRule type="duplicateValues" dxfId="78" priority="630"/>
    <cfRule type="duplicateValues" dxfId="77" priority="631"/>
  </conditionalFormatting>
  <conditionalFormatting sqref="A91 A1:A88 A93:A95 A157:A1048576">
    <cfRule type="duplicateValues" dxfId="76" priority="91"/>
  </conditionalFormatting>
  <conditionalFormatting sqref="A92">
    <cfRule type="duplicateValues" dxfId="75" priority="86"/>
    <cfRule type="duplicateValues" dxfId="74" priority="85"/>
  </conditionalFormatting>
  <conditionalFormatting sqref="A96:A100">
    <cfRule type="duplicateValues" dxfId="73" priority="83"/>
    <cfRule type="duplicateValues" dxfId="72" priority="84"/>
  </conditionalFormatting>
  <conditionalFormatting sqref="A101">
    <cfRule type="duplicateValues" dxfId="71" priority="81"/>
    <cfRule type="duplicateValues" dxfId="70" priority="82"/>
  </conditionalFormatting>
  <conditionalFormatting sqref="A102">
    <cfRule type="duplicateValues" dxfId="69" priority="80"/>
    <cfRule type="duplicateValues" dxfId="68" priority="79"/>
  </conditionalFormatting>
  <conditionalFormatting sqref="A103">
    <cfRule type="duplicateValues" dxfId="67" priority="78"/>
    <cfRule type="duplicateValues" dxfId="66" priority="77"/>
  </conditionalFormatting>
  <conditionalFormatting sqref="A104">
    <cfRule type="duplicateValues" dxfId="65" priority="75"/>
    <cfRule type="duplicateValues" dxfId="64" priority="76"/>
  </conditionalFormatting>
  <conditionalFormatting sqref="A105">
    <cfRule type="duplicateValues" dxfId="63" priority="73"/>
    <cfRule type="duplicateValues" dxfId="62" priority="74"/>
  </conditionalFormatting>
  <conditionalFormatting sqref="A106">
    <cfRule type="duplicateValues" dxfId="61" priority="72"/>
    <cfRule type="duplicateValues" dxfId="60" priority="71"/>
  </conditionalFormatting>
  <conditionalFormatting sqref="A107:A109">
    <cfRule type="duplicateValues" dxfId="59" priority="68"/>
    <cfRule type="duplicateValues" dxfId="58" priority="69"/>
    <cfRule type="duplicateValues" dxfId="57" priority="70"/>
  </conditionalFormatting>
  <conditionalFormatting sqref="A110">
    <cfRule type="duplicateValues" dxfId="56" priority="66"/>
    <cfRule type="duplicateValues" dxfId="55" priority="67"/>
    <cfRule type="duplicateValues" dxfId="54" priority="65"/>
  </conditionalFormatting>
  <conditionalFormatting sqref="A111">
    <cfRule type="duplicateValues" dxfId="53" priority="64"/>
    <cfRule type="duplicateValues" dxfId="52" priority="63"/>
    <cfRule type="duplicateValues" dxfId="51" priority="62"/>
  </conditionalFormatting>
  <conditionalFormatting sqref="A112">
    <cfRule type="duplicateValues" dxfId="50" priority="59"/>
    <cfRule type="duplicateValues" dxfId="49" priority="61"/>
    <cfRule type="duplicateValues" dxfId="48" priority="60"/>
  </conditionalFormatting>
  <conditionalFormatting sqref="A113">
    <cfRule type="duplicateValues" dxfId="47" priority="58"/>
    <cfRule type="duplicateValues" dxfId="46" priority="57"/>
    <cfRule type="duplicateValues" dxfId="45" priority="56"/>
  </conditionalFormatting>
  <conditionalFormatting sqref="A114">
    <cfRule type="duplicateValues" dxfId="44" priority="55"/>
    <cfRule type="duplicateValues" dxfId="43" priority="54"/>
    <cfRule type="duplicateValues" dxfId="42" priority="53"/>
  </conditionalFormatting>
  <conditionalFormatting sqref="A115">
    <cfRule type="duplicateValues" dxfId="41" priority="52"/>
    <cfRule type="duplicateValues" dxfId="40" priority="51"/>
    <cfRule type="duplicateValues" dxfId="39" priority="50"/>
  </conditionalFormatting>
  <conditionalFormatting sqref="A116">
    <cfRule type="duplicateValues" dxfId="38" priority="49"/>
    <cfRule type="duplicateValues" dxfId="37" priority="48"/>
    <cfRule type="duplicateValues" dxfId="36" priority="47"/>
  </conditionalFormatting>
  <conditionalFormatting sqref="A117">
    <cfRule type="duplicateValues" dxfId="35" priority="43"/>
    <cfRule type="duplicateValues" dxfId="34" priority="42"/>
    <cfRule type="duplicateValues" dxfId="33" priority="41"/>
  </conditionalFormatting>
  <conditionalFormatting sqref="A118">
    <cfRule type="duplicateValues" dxfId="32" priority="38"/>
    <cfRule type="duplicateValues" dxfId="31" priority="40"/>
    <cfRule type="duplicateValues" dxfId="30" priority="39"/>
    <cfRule type="duplicateValues" dxfId="29" priority="37"/>
  </conditionalFormatting>
  <conditionalFormatting sqref="A119">
    <cfRule type="duplicateValues" dxfId="28" priority="34"/>
    <cfRule type="duplicateValues" dxfId="27" priority="36"/>
    <cfRule type="duplicateValues" dxfId="26" priority="35"/>
  </conditionalFormatting>
  <conditionalFormatting sqref="A120">
    <cfRule type="duplicateValues" dxfId="25" priority="32"/>
    <cfRule type="duplicateValues" dxfId="24" priority="33"/>
    <cfRule type="duplicateValues" dxfId="23" priority="31"/>
  </conditionalFormatting>
  <conditionalFormatting sqref="A121">
    <cfRule type="duplicateValues" dxfId="22" priority="27"/>
    <cfRule type="duplicateValues" dxfId="21" priority="26"/>
    <cfRule type="duplicateValues" dxfId="20" priority="25"/>
  </conditionalFormatting>
  <conditionalFormatting sqref="A122">
    <cfRule type="duplicateValues" dxfId="19" priority="22"/>
    <cfRule type="duplicateValues" dxfId="18" priority="24"/>
    <cfRule type="duplicateValues" dxfId="17" priority="23"/>
  </conditionalFormatting>
  <conditionalFormatting sqref="A123">
    <cfRule type="duplicateValues" dxfId="16" priority="21"/>
    <cfRule type="duplicateValues" dxfId="15" priority="20"/>
    <cfRule type="duplicateValues" dxfId="14" priority="19"/>
  </conditionalFormatting>
  <conditionalFormatting sqref="A124">
    <cfRule type="duplicateValues" dxfId="13" priority="18"/>
    <cfRule type="duplicateValues" dxfId="12" priority="17"/>
    <cfRule type="duplicateValues" dxfId="11" priority="16"/>
  </conditionalFormatting>
  <conditionalFormatting sqref="A125">
    <cfRule type="duplicateValues" dxfId="10" priority="12"/>
    <cfRule type="duplicateValues" dxfId="9" priority="13"/>
    <cfRule type="duplicateValues" dxfId="8" priority="14"/>
    <cfRule type="duplicateValues" dxfId="7" priority="15"/>
  </conditionalFormatting>
  <conditionalFormatting sqref="A126:A140">
    <cfRule type="duplicateValues" dxfId="6" priority="11"/>
    <cfRule type="duplicateValues" dxfId="5" priority="9"/>
    <cfRule type="duplicateValues" dxfId="4" priority="10"/>
  </conditionalFormatting>
  <conditionalFormatting sqref="A141:A154">
    <cfRule type="duplicateValues" dxfId="3" priority="638"/>
    <cfRule type="duplicateValues" dxfId="2" priority="639"/>
  </conditionalFormatting>
  <conditionalFormatting sqref="N35">
    <cfRule type="duplicateValues" dxfId="1" priority="111"/>
    <cfRule type="duplicateValues" dxfId="0" priority="110"/>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1">
    <tabColor rgb="FFFFC000"/>
  </sheetPr>
  <dimension ref="A1:O66"/>
  <sheetViews>
    <sheetView zoomScale="98" zoomScaleNormal="98" workbookViewId="0">
      <pane ySplit="1" topLeftCell="A2" activePane="bottomLeft" state="frozen"/>
      <selection activeCell="F24" sqref="F24"/>
      <selection pane="bottomLeft" activeCell="F24" sqref="F24"/>
    </sheetView>
  </sheetViews>
  <sheetFormatPr defaultColWidth="8.5703125" defaultRowHeight="15" x14ac:dyDescent="0.25"/>
  <cols>
    <col min="1" max="1" width="9.42578125" style="56" bestFit="1" customWidth="1"/>
    <col min="2" max="2" width="45.42578125" style="56" bestFit="1" customWidth="1"/>
    <col min="3" max="3" width="55.140625" style="56" bestFit="1" customWidth="1"/>
    <col min="4" max="4" width="16.140625" style="56" bestFit="1" customWidth="1"/>
    <col min="5" max="5" width="5.5703125" style="56" customWidth="1"/>
    <col min="6" max="6" width="14.85546875" style="69" bestFit="1" customWidth="1"/>
    <col min="7" max="7" width="33.140625" style="56" bestFit="1" customWidth="1"/>
    <col min="8" max="8" width="5.5703125" style="56" customWidth="1"/>
    <col min="9" max="9" width="22.42578125" style="56" bestFit="1" customWidth="1"/>
    <col min="10" max="10" width="8.5703125" style="58"/>
    <col min="11" max="11" width="11.140625" style="61" bestFit="1" customWidth="1"/>
    <col min="12" max="12" width="10" style="56" bestFit="1" customWidth="1"/>
    <col min="13" max="13" width="47.85546875" style="62" customWidth="1"/>
    <col min="14" max="14" width="34.5703125" style="56" bestFit="1" customWidth="1"/>
    <col min="15" max="15" width="92.7109375" style="56" bestFit="1" customWidth="1"/>
    <col min="16" max="16" width="33.140625" style="56" bestFit="1" customWidth="1"/>
    <col min="17" max="17" width="8.5703125" style="56"/>
    <col min="18" max="18" width="11" style="56" bestFit="1" customWidth="1"/>
    <col min="19" max="16384" width="8.5703125" style="56"/>
  </cols>
  <sheetData>
    <row r="1" spans="1:15" s="73" customFormat="1" x14ac:dyDescent="0.25">
      <c r="A1" s="72" t="s">
        <v>11587</v>
      </c>
      <c r="B1" s="72" t="s">
        <v>10851</v>
      </c>
      <c r="C1" s="72" t="s">
        <v>10852</v>
      </c>
      <c r="D1" s="72" t="s">
        <v>11588</v>
      </c>
      <c r="F1" s="74" t="s">
        <v>11587</v>
      </c>
      <c r="G1" s="74" t="s">
        <v>10853</v>
      </c>
      <c r="I1" s="75" t="s">
        <v>10854</v>
      </c>
      <c r="J1" s="76"/>
      <c r="K1" s="105" t="s">
        <v>10902</v>
      </c>
      <c r="L1" s="105"/>
      <c r="M1" s="105"/>
    </row>
    <row r="2" spans="1:15" x14ac:dyDescent="0.25">
      <c r="A2" s="59"/>
      <c r="B2" s="59" t="s">
        <v>10917</v>
      </c>
      <c r="C2" s="59" t="s">
        <v>10917</v>
      </c>
      <c r="D2" s="59"/>
      <c r="F2" s="70"/>
      <c r="G2" s="60" t="s">
        <v>10917</v>
      </c>
      <c r="I2" s="57" t="s">
        <v>11589</v>
      </c>
      <c r="K2" s="71" t="s">
        <v>10903</v>
      </c>
      <c r="L2" s="77" t="s">
        <v>11587</v>
      </c>
      <c r="M2" s="77" t="s">
        <v>10851</v>
      </c>
      <c r="N2" s="73" t="s">
        <v>10852</v>
      </c>
      <c r="O2" s="73" t="s">
        <v>10946</v>
      </c>
    </row>
    <row r="3" spans="1:15" x14ac:dyDescent="0.25">
      <c r="A3" s="59">
        <v>3003</v>
      </c>
      <c r="B3" s="59" t="s">
        <v>11793</v>
      </c>
      <c r="C3" s="59" t="s">
        <v>10856</v>
      </c>
      <c r="D3" s="59">
        <v>21164854</v>
      </c>
      <c r="F3" s="70">
        <v>3003</v>
      </c>
      <c r="G3" s="60" t="s">
        <v>10908</v>
      </c>
      <c r="I3" s="63" t="s">
        <v>143</v>
      </c>
      <c r="K3" s="61" t="s">
        <v>11014</v>
      </c>
      <c r="L3" s="59">
        <v>3002</v>
      </c>
      <c r="M3" s="64" t="s">
        <v>10898</v>
      </c>
      <c r="N3" s="59" t="s">
        <v>10899</v>
      </c>
      <c r="O3" s="56" t="s">
        <v>10896</v>
      </c>
    </row>
    <row r="4" spans="1:15" x14ac:dyDescent="0.25">
      <c r="A4" s="59">
        <v>3004</v>
      </c>
      <c r="B4" s="59" t="s">
        <v>11592</v>
      </c>
      <c r="C4" s="59" t="s">
        <v>10906</v>
      </c>
      <c r="D4" s="59">
        <v>700674</v>
      </c>
      <c r="F4" s="70">
        <v>3003</v>
      </c>
      <c r="G4" s="60" t="s">
        <v>11572</v>
      </c>
      <c r="I4" s="63" t="s">
        <v>168</v>
      </c>
      <c r="K4" s="61" t="s">
        <v>11014</v>
      </c>
      <c r="L4" s="59">
        <v>3001</v>
      </c>
      <c r="M4" s="64" t="s">
        <v>10900</v>
      </c>
      <c r="N4" s="59" t="s">
        <v>10901</v>
      </c>
      <c r="O4" s="56" t="s">
        <v>10896</v>
      </c>
    </row>
    <row r="5" spans="1:15" x14ac:dyDescent="0.25">
      <c r="A5" s="59">
        <v>3005</v>
      </c>
      <c r="B5" s="59" t="s">
        <v>11794</v>
      </c>
      <c r="C5" s="59" t="s">
        <v>11584</v>
      </c>
      <c r="D5" s="59">
        <v>700800</v>
      </c>
      <c r="F5" s="70">
        <v>3004</v>
      </c>
      <c r="G5" s="60" t="s">
        <v>10945</v>
      </c>
      <c r="I5" s="63" t="s">
        <v>166</v>
      </c>
      <c r="K5" s="61">
        <v>45797</v>
      </c>
      <c r="L5" s="59">
        <v>3101</v>
      </c>
      <c r="M5" s="64" t="s">
        <v>10861</v>
      </c>
      <c r="N5" s="59" t="s">
        <v>10862</v>
      </c>
      <c r="O5" s="56" t="s">
        <v>10942</v>
      </c>
    </row>
    <row r="6" spans="1:15" x14ac:dyDescent="0.25">
      <c r="A6" s="59">
        <v>3006</v>
      </c>
      <c r="B6" s="59" t="s">
        <v>11015</v>
      </c>
      <c r="C6" s="59" t="s">
        <v>11016</v>
      </c>
      <c r="D6" s="59">
        <v>700818</v>
      </c>
      <c r="F6" s="70">
        <v>3005</v>
      </c>
      <c r="G6" s="60" t="s">
        <v>10945</v>
      </c>
      <c r="I6" s="63" t="s">
        <v>165</v>
      </c>
      <c r="K6" s="61">
        <v>45797</v>
      </c>
      <c r="L6" s="59">
        <v>3102</v>
      </c>
      <c r="M6" s="64" t="s">
        <v>10863</v>
      </c>
      <c r="N6" s="59" t="s">
        <v>10864</v>
      </c>
      <c r="O6" s="56" t="s">
        <v>10942</v>
      </c>
    </row>
    <row r="7" spans="1:15" x14ac:dyDescent="0.25">
      <c r="A7" s="59">
        <v>3007</v>
      </c>
      <c r="B7" s="59" t="s">
        <v>11594</v>
      </c>
      <c r="C7" s="59" t="s">
        <v>11017</v>
      </c>
      <c r="D7" s="59">
        <v>700819</v>
      </c>
      <c r="F7" s="70">
        <v>3006</v>
      </c>
      <c r="G7" s="60" t="s">
        <v>11573</v>
      </c>
      <c r="I7" s="63" t="s">
        <v>183</v>
      </c>
      <c r="K7" s="61">
        <v>45797</v>
      </c>
      <c r="L7" s="59">
        <v>3004</v>
      </c>
      <c r="M7" s="66" t="s">
        <v>10857</v>
      </c>
      <c r="N7" s="59" t="s">
        <v>10858</v>
      </c>
      <c r="O7" s="56" t="s">
        <v>10942</v>
      </c>
    </row>
    <row r="8" spans="1:15" x14ac:dyDescent="0.25">
      <c r="A8" s="59">
        <v>3008</v>
      </c>
      <c r="B8" s="59" t="s">
        <v>11595</v>
      </c>
      <c r="C8" s="59" t="s">
        <v>11370</v>
      </c>
      <c r="D8" s="59">
        <v>700835</v>
      </c>
      <c r="F8" s="70">
        <v>3006</v>
      </c>
      <c r="G8" s="60" t="s">
        <v>11574</v>
      </c>
      <c r="I8" s="63" t="s">
        <v>10867</v>
      </c>
      <c r="K8" s="61">
        <v>45833</v>
      </c>
      <c r="L8" s="59">
        <v>3104</v>
      </c>
      <c r="M8" s="64" t="s">
        <v>10868</v>
      </c>
      <c r="N8" s="59" t="s">
        <v>10869</v>
      </c>
      <c r="O8" s="56" t="s">
        <v>10942</v>
      </c>
    </row>
    <row r="9" spans="1:15" x14ac:dyDescent="0.25">
      <c r="A9" s="59">
        <v>3101</v>
      </c>
      <c r="B9" s="59" t="s">
        <v>10990</v>
      </c>
      <c r="C9" s="59" t="s">
        <v>10904</v>
      </c>
      <c r="D9" s="59">
        <v>700682</v>
      </c>
      <c r="F9" s="70">
        <v>3007</v>
      </c>
      <c r="G9" s="60" t="s">
        <v>11322</v>
      </c>
      <c r="I9" s="63" t="s">
        <v>11320</v>
      </c>
      <c r="K9" s="61">
        <v>45852</v>
      </c>
      <c r="L9" s="59">
        <v>3003</v>
      </c>
      <c r="M9" s="66" t="s">
        <v>10855</v>
      </c>
      <c r="N9" s="59" t="s">
        <v>10856</v>
      </c>
      <c r="O9" s="56" t="s">
        <v>11013</v>
      </c>
    </row>
    <row r="10" spans="1:15" x14ac:dyDescent="0.25">
      <c r="A10" s="59">
        <v>3102</v>
      </c>
      <c r="B10" s="59" t="s">
        <v>10991</v>
      </c>
      <c r="C10" s="59" t="s">
        <v>10905</v>
      </c>
      <c r="D10" s="59">
        <v>700683</v>
      </c>
      <c r="F10" s="70">
        <v>3008</v>
      </c>
      <c r="G10" s="60" t="s">
        <v>10890</v>
      </c>
      <c r="K10" s="61">
        <v>45852</v>
      </c>
      <c r="L10" s="59">
        <v>3004</v>
      </c>
      <c r="M10" s="66" t="s">
        <v>10857</v>
      </c>
      <c r="N10" s="59" t="s">
        <v>10906</v>
      </c>
      <c r="O10" s="56" t="s">
        <v>11013</v>
      </c>
    </row>
    <row r="11" spans="1:15" x14ac:dyDescent="0.25">
      <c r="A11" s="59">
        <v>3103</v>
      </c>
      <c r="B11" s="59" t="s">
        <v>10992</v>
      </c>
      <c r="C11" s="59" t="s">
        <v>11000</v>
      </c>
      <c r="D11" s="59">
        <v>700684</v>
      </c>
      <c r="F11" s="70">
        <v>3101</v>
      </c>
      <c r="G11" s="60" t="s">
        <v>11576</v>
      </c>
      <c r="I11" s="57" t="s">
        <v>11590</v>
      </c>
      <c r="K11" s="61">
        <v>45852</v>
      </c>
      <c r="L11" s="59">
        <v>3005</v>
      </c>
      <c r="M11" s="66" t="s">
        <v>10859</v>
      </c>
      <c r="N11" s="59" t="s">
        <v>10860</v>
      </c>
      <c r="O11" s="56" t="s">
        <v>11013</v>
      </c>
    </row>
    <row r="12" spans="1:15" x14ac:dyDescent="0.25">
      <c r="A12" s="59">
        <v>3104</v>
      </c>
      <c r="B12" s="59" t="s">
        <v>10993</v>
      </c>
      <c r="C12" s="59" t="s">
        <v>10947</v>
      </c>
      <c r="D12" s="59">
        <v>700715</v>
      </c>
      <c r="F12" s="70">
        <v>3102</v>
      </c>
      <c r="G12" s="60" t="s">
        <v>11583</v>
      </c>
      <c r="I12" s="63" t="s">
        <v>10877</v>
      </c>
      <c r="K12" s="61">
        <v>45852</v>
      </c>
      <c r="L12" s="59">
        <v>3006</v>
      </c>
      <c r="M12" s="64" t="s">
        <v>11009</v>
      </c>
      <c r="N12" s="59" t="s">
        <v>11010</v>
      </c>
      <c r="O12" s="56" t="s">
        <v>11013</v>
      </c>
    </row>
    <row r="13" spans="1:15" x14ac:dyDescent="0.25">
      <c r="A13" s="59">
        <v>3105</v>
      </c>
      <c r="B13" s="59" t="s">
        <v>10994</v>
      </c>
      <c r="C13" s="59" t="s">
        <v>11001</v>
      </c>
      <c r="D13" s="59">
        <v>700716</v>
      </c>
      <c r="F13" s="70">
        <v>3103</v>
      </c>
      <c r="G13" s="60" t="s">
        <v>11577</v>
      </c>
      <c r="I13" s="63" t="s">
        <v>142</v>
      </c>
      <c r="K13" s="61">
        <v>45852</v>
      </c>
      <c r="L13" s="59">
        <v>3101</v>
      </c>
      <c r="M13" s="64" t="s">
        <v>10861</v>
      </c>
      <c r="N13" s="59" t="s">
        <v>10904</v>
      </c>
      <c r="O13" s="56" t="s">
        <v>11013</v>
      </c>
    </row>
    <row r="14" spans="1:15" x14ac:dyDescent="0.25">
      <c r="A14" s="59">
        <v>3106</v>
      </c>
      <c r="B14" s="59" t="s">
        <v>10995</v>
      </c>
      <c r="C14" s="59" t="s">
        <v>10875</v>
      </c>
      <c r="D14" s="59">
        <v>700717</v>
      </c>
      <c r="F14" s="70">
        <v>3103</v>
      </c>
      <c r="G14" s="60" t="s">
        <v>10883</v>
      </c>
      <c r="K14" s="61">
        <v>45852</v>
      </c>
      <c r="L14" s="59">
        <v>3102</v>
      </c>
      <c r="M14" s="64" t="s">
        <v>10863</v>
      </c>
      <c r="N14" s="59" t="s">
        <v>10905</v>
      </c>
      <c r="O14" s="56" t="s">
        <v>11013</v>
      </c>
    </row>
    <row r="15" spans="1:15" x14ac:dyDescent="0.25">
      <c r="A15" s="59">
        <v>3107</v>
      </c>
      <c r="B15" s="59" t="s">
        <v>10996</v>
      </c>
      <c r="C15" s="59" t="s">
        <v>11413</v>
      </c>
      <c r="D15" s="59">
        <v>700718</v>
      </c>
      <c r="F15" s="70">
        <v>3104</v>
      </c>
      <c r="G15" s="60" t="s">
        <v>10984</v>
      </c>
      <c r="K15" s="61">
        <v>45852</v>
      </c>
      <c r="L15" s="59">
        <v>3103</v>
      </c>
      <c r="M15" s="64" t="s">
        <v>10865</v>
      </c>
      <c r="N15" s="59" t="s">
        <v>10866</v>
      </c>
      <c r="O15" s="56" t="s">
        <v>11013</v>
      </c>
    </row>
    <row r="16" spans="1:15" x14ac:dyDescent="0.25">
      <c r="A16" s="59">
        <v>3108</v>
      </c>
      <c r="B16" s="59" t="s">
        <v>10997</v>
      </c>
      <c r="C16" s="59" t="s">
        <v>11003</v>
      </c>
      <c r="D16" s="59">
        <v>700719</v>
      </c>
      <c r="F16" s="70">
        <v>3105</v>
      </c>
      <c r="G16" s="60" t="s">
        <v>10985</v>
      </c>
      <c r="K16" s="61">
        <v>45852</v>
      </c>
      <c r="L16" s="59">
        <v>3104</v>
      </c>
      <c r="M16" s="64" t="s">
        <v>10868</v>
      </c>
      <c r="N16" s="59" t="s">
        <v>10947</v>
      </c>
      <c r="O16" s="56" t="s">
        <v>11013</v>
      </c>
    </row>
    <row r="17" spans="1:15" x14ac:dyDescent="0.25">
      <c r="A17" s="59">
        <v>3109</v>
      </c>
      <c r="B17" s="59" t="s">
        <v>11795</v>
      </c>
      <c r="C17" s="59" t="s">
        <v>11004</v>
      </c>
      <c r="D17" s="59">
        <v>700720</v>
      </c>
      <c r="F17" s="70">
        <v>3106</v>
      </c>
      <c r="G17" s="60" t="s">
        <v>11803</v>
      </c>
      <c r="K17" s="61">
        <v>45852</v>
      </c>
      <c r="L17" s="59">
        <v>3105</v>
      </c>
      <c r="M17" s="64" t="s">
        <v>10871</v>
      </c>
      <c r="N17" s="59" t="s">
        <v>10872</v>
      </c>
      <c r="O17" s="56" t="s">
        <v>11013</v>
      </c>
    </row>
    <row r="18" spans="1:15" x14ac:dyDescent="0.25">
      <c r="A18" s="59">
        <v>3110</v>
      </c>
      <c r="B18" s="59" t="s">
        <v>11005</v>
      </c>
      <c r="C18" s="59" t="s">
        <v>10943</v>
      </c>
      <c r="D18" s="59">
        <v>700775</v>
      </c>
      <c r="F18" s="70">
        <v>3107</v>
      </c>
      <c r="G18" s="60" t="s">
        <v>11804</v>
      </c>
      <c r="K18" s="61">
        <v>45852</v>
      </c>
      <c r="L18" s="59">
        <v>3106</v>
      </c>
      <c r="M18" s="64" t="s">
        <v>10874</v>
      </c>
      <c r="N18" s="59" t="s">
        <v>10875</v>
      </c>
      <c r="O18" s="56" t="s">
        <v>11013</v>
      </c>
    </row>
    <row r="19" spans="1:15" x14ac:dyDescent="0.25">
      <c r="A19" s="59">
        <v>3111</v>
      </c>
      <c r="B19" s="59" t="s">
        <v>11796</v>
      </c>
      <c r="C19" s="59" t="s">
        <v>11596</v>
      </c>
      <c r="D19" s="59">
        <v>700776</v>
      </c>
      <c r="F19" s="70">
        <v>3108</v>
      </c>
      <c r="G19" s="60" t="s">
        <v>10890</v>
      </c>
      <c r="K19" s="61">
        <v>45852</v>
      </c>
      <c r="L19" s="59">
        <v>3107</v>
      </c>
      <c r="M19" s="64" t="s">
        <v>10878</v>
      </c>
      <c r="N19" s="59" t="s">
        <v>10879</v>
      </c>
      <c r="O19" s="56" t="s">
        <v>11013</v>
      </c>
    </row>
    <row r="20" spans="1:15" x14ac:dyDescent="0.25">
      <c r="A20" s="59">
        <v>3112</v>
      </c>
      <c r="B20" s="59" t="s">
        <v>11593</v>
      </c>
      <c r="C20" s="59" t="s">
        <v>11585</v>
      </c>
      <c r="D20" s="59">
        <v>700777</v>
      </c>
      <c r="F20" s="70">
        <v>3109</v>
      </c>
      <c r="G20" s="60" t="s">
        <v>11805</v>
      </c>
      <c r="K20" s="61">
        <v>45852</v>
      </c>
      <c r="L20" s="59">
        <v>3108</v>
      </c>
      <c r="M20" s="64" t="s">
        <v>10881</v>
      </c>
      <c r="N20" s="59" t="s">
        <v>10882</v>
      </c>
      <c r="O20" s="56" t="s">
        <v>11013</v>
      </c>
    </row>
    <row r="21" spans="1:15" x14ac:dyDescent="0.25">
      <c r="A21" s="59">
        <v>3113</v>
      </c>
      <c r="B21" s="59" t="s">
        <v>11797</v>
      </c>
      <c r="C21" s="59" t="s">
        <v>11007</v>
      </c>
      <c r="D21" s="59">
        <v>700778</v>
      </c>
      <c r="F21" s="70">
        <v>3110</v>
      </c>
      <c r="G21" s="60" t="s">
        <v>11806</v>
      </c>
      <c r="K21" s="61">
        <v>45852</v>
      </c>
      <c r="L21" s="59">
        <v>3109</v>
      </c>
      <c r="M21" s="64" t="s">
        <v>10884</v>
      </c>
      <c r="N21" s="59" t="s">
        <v>10885</v>
      </c>
      <c r="O21" s="56" t="s">
        <v>11013</v>
      </c>
    </row>
    <row r="22" spans="1:15" x14ac:dyDescent="0.25">
      <c r="A22" s="59">
        <v>3114</v>
      </c>
      <c r="B22" s="65" t="s">
        <v>11798</v>
      </c>
      <c r="C22" s="59" t="s">
        <v>11008</v>
      </c>
      <c r="D22" s="59">
        <v>700805</v>
      </c>
      <c r="F22" s="70">
        <v>3113</v>
      </c>
      <c r="G22" s="60" t="s">
        <v>10989</v>
      </c>
      <c r="K22" s="61">
        <v>45852</v>
      </c>
      <c r="L22" s="59">
        <v>3110</v>
      </c>
      <c r="M22" s="64" t="s">
        <v>10887</v>
      </c>
      <c r="N22" s="59" t="s">
        <v>10943</v>
      </c>
      <c r="O22" s="56" t="s">
        <v>11013</v>
      </c>
    </row>
    <row r="23" spans="1:15" x14ac:dyDescent="0.25">
      <c r="A23" s="59">
        <v>3115</v>
      </c>
      <c r="B23" s="65" t="s">
        <v>11246</v>
      </c>
      <c r="C23" s="59" t="s">
        <v>11245</v>
      </c>
      <c r="D23" s="59">
        <v>700824</v>
      </c>
      <c r="F23" s="70">
        <v>3114</v>
      </c>
      <c r="G23" s="60" t="s">
        <v>10987</v>
      </c>
      <c r="K23" s="61">
        <v>45852</v>
      </c>
      <c r="L23" s="59">
        <v>3111</v>
      </c>
      <c r="M23" s="64" t="s">
        <v>10889</v>
      </c>
      <c r="N23" s="59"/>
      <c r="O23" s="56" t="s">
        <v>11013</v>
      </c>
    </row>
    <row r="24" spans="1:15" x14ac:dyDescent="0.25">
      <c r="A24" s="59">
        <v>3116</v>
      </c>
      <c r="B24" s="59" t="s">
        <v>11799</v>
      </c>
      <c r="C24" s="59" t="s">
        <v>11505</v>
      </c>
      <c r="D24" s="59">
        <v>700850</v>
      </c>
      <c r="F24" s="70">
        <v>3115</v>
      </c>
      <c r="G24" s="60" t="s">
        <v>10987</v>
      </c>
      <c r="K24" s="61">
        <v>45852</v>
      </c>
      <c r="L24" s="59">
        <v>3112</v>
      </c>
      <c r="M24" s="64" t="s">
        <v>10891</v>
      </c>
      <c r="N24" s="59"/>
      <c r="O24" s="56" t="s">
        <v>11013</v>
      </c>
    </row>
    <row r="25" spans="1:15" x14ac:dyDescent="0.25">
      <c r="F25" s="70">
        <v>3116</v>
      </c>
      <c r="G25" s="60" t="s">
        <v>11506</v>
      </c>
      <c r="K25" s="61">
        <v>45852</v>
      </c>
      <c r="L25" s="59">
        <v>3113</v>
      </c>
      <c r="M25" s="64" t="s">
        <v>10893</v>
      </c>
      <c r="N25" s="59"/>
      <c r="O25" s="56" t="s">
        <v>11013</v>
      </c>
    </row>
    <row r="26" spans="1:15" x14ac:dyDescent="0.25">
      <c r="K26" s="61">
        <v>45852</v>
      </c>
      <c r="L26" s="59">
        <v>3114</v>
      </c>
      <c r="M26" s="64" t="s">
        <v>10895</v>
      </c>
      <c r="N26" s="59"/>
      <c r="O26" s="56" t="s">
        <v>11013</v>
      </c>
    </row>
    <row r="27" spans="1:15" ht="14.45" customHeight="1" x14ac:dyDescent="0.25">
      <c r="K27" s="61">
        <v>45852</v>
      </c>
      <c r="L27" s="56" t="s">
        <v>11012</v>
      </c>
      <c r="M27" s="62" t="s">
        <v>11011</v>
      </c>
      <c r="O27" s="62" t="s">
        <v>11591</v>
      </c>
    </row>
    <row r="28" spans="1:15" x14ac:dyDescent="0.25">
      <c r="K28" s="61">
        <v>45972</v>
      </c>
      <c r="L28" s="59">
        <v>3201</v>
      </c>
      <c r="M28" s="65" t="s">
        <v>10998</v>
      </c>
      <c r="N28" s="59" t="s">
        <v>10999</v>
      </c>
      <c r="O28" s="56" t="s">
        <v>11371</v>
      </c>
    </row>
    <row r="29" spans="1:15" x14ac:dyDescent="0.25">
      <c r="K29" s="61">
        <v>45972</v>
      </c>
      <c r="L29" s="59">
        <v>3202</v>
      </c>
      <c r="M29" s="65" t="s">
        <v>10916</v>
      </c>
      <c r="N29" s="59" t="s">
        <v>10897</v>
      </c>
      <c r="O29" s="56" t="s">
        <v>11371</v>
      </c>
    </row>
    <row r="30" spans="1:15" x14ac:dyDescent="0.25">
      <c r="K30" s="61">
        <v>45992</v>
      </c>
      <c r="L30" s="59">
        <v>3107</v>
      </c>
      <c r="M30" s="65" t="s">
        <v>10996</v>
      </c>
      <c r="N30" s="59" t="s">
        <v>11002</v>
      </c>
    </row>
    <row r="31" spans="1:15" x14ac:dyDescent="0.25">
      <c r="K31" s="61">
        <v>46030</v>
      </c>
      <c r="L31" s="59">
        <v>3102</v>
      </c>
      <c r="M31" s="65" t="s">
        <v>10991</v>
      </c>
      <c r="N31" s="59" t="s">
        <v>10905</v>
      </c>
    </row>
    <row r="32" spans="1:15" x14ac:dyDescent="0.25">
      <c r="K32" s="61">
        <v>46069</v>
      </c>
      <c r="L32" s="56" t="s">
        <v>11006</v>
      </c>
      <c r="M32" s="60" t="s">
        <v>10907</v>
      </c>
      <c r="O32" s="56" t="s">
        <v>11581</v>
      </c>
    </row>
    <row r="33" spans="11:15" x14ac:dyDescent="0.25">
      <c r="K33" s="61">
        <v>46069</v>
      </c>
      <c r="L33" s="56" t="s">
        <v>11006</v>
      </c>
      <c r="M33" s="60" t="s">
        <v>10909</v>
      </c>
      <c r="O33" s="56" t="s">
        <v>11581</v>
      </c>
    </row>
    <row r="34" spans="11:15" x14ac:dyDescent="0.25">
      <c r="K34" s="61">
        <v>46069</v>
      </c>
      <c r="L34" s="56" t="s">
        <v>11006</v>
      </c>
      <c r="M34" s="60" t="s">
        <v>10870</v>
      </c>
      <c r="O34" s="56" t="s">
        <v>11581</v>
      </c>
    </row>
    <row r="35" spans="11:15" x14ac:dyDescent="0.25">
      <c r="K35" s="61">
        <v>46069</v>
      </c>
      <c r="L35" s="56" t="s">
        <v>11006</v>
      </c>
      <c r="M35" s="60" t="s">
        <v>10873</v>
      </c>
      <c r="O35" s="56" t="s">
        <v>11581</v>
      </c>
    </row>
    <row r="36" spans="11:15" x14ac:dyDescent="0.25">
      <c r="K36" s="61">
        <v>46069</v>
      </c>
      <c r="L36" s="56" t="s">
        <v>11006</v>
      </c>
      <c r="M36" s="60" t="s">
        <v>10876</v>
      </c>
      <c r="O36" s="56" t="s">
        <v>11581</v>
      </c>
    </row>
    <row r="37" spans="11:15" x14ac:dyDescent="0.25">
      <c r="K37" s="61">
        <v>46069</v>
      </c>
      <c r="L37" s="56" t="s">
        <v>11006</v>
      </c>
      <c r="M37" s="60" t="s">
        <v>10880</v>
      </c>
      <c r="O37" s="56" t="s">
        <v>11581</v>
      </c>
    </row>
    <row r="38" spans="11:15" x14ac:dyDescent="0.25">
      <c r="K38" s="61">
        <v>46069</v>
      </c>
      <c r="L38" s="56" t="s">
        <v>11006</v>
      </c>
      <c r="M38" s="60" t="s">
        <v>10888</v>
      </c>
      <c r="O38" s="56" t="s">
        <v>11581</v>
      </c>
    </row>
    <row r="39" spans="11:15" x14ac:dyDescent="0.25">
      <c r="K39" s="61">
        <v>46069</v>
      </c>
      <c r="L39" s="56" t="s">
        <v>11006</v>
      </c>
      <c r="M39" s="60" t="s">
        <v>10892</v>
      </c>
      <c r="O39" s="56" t="s">
        <v>11581</v>
      </c>
    </row>
    <row r="40" spans="11:15" x14ac:dyDescent="0.25">
      <c r="K40" s="61">
        <v>46069</v>
      </c>
      <c r="L40" s="56" t="s">
        <v>11006</v>
      </c>
      <c r="M40" s="60" t="s">
        <v>10894</v>
      </c>
      <c r="O40" s="56" t="s">
        <v>11581</v>
      </c>
    </row>
    <row r="41" spans="11:15" x14ac:dyDescent="0.25">
      <c r="K41" s="61">
        <v>46069</v>
      </c>
      <c r="L41" s="56" t="s">
        <v>11006</v>
      </c>
      <c r="M41" s="60" t="s">
        <v>10912</v>
      </c>
      <c r="O41" s="56" t="s">
        <v>11581</v>
      </c>
    </row>
    <row r="42" spans="11:15" x14ac:dyDescent="0.25">
      <c r="K42" s="61">
        <v>46069</v>
      </c>
      <c r="L42" s="56" t="s">
        <v>11006</v>
      </c>
      <c r="M42" s="60" t="s">
        <v>10913</v>
      </c>
      <c r="O42" s="56" t="s">
        <v>11581</v>
      </c>
    </row>
    <row r="43" spans="11:15" x14ac:dyDescent="0.25">
      <c r="K43" s="61">
        <v>46069</v>
      </c>
      <c r="L43" s="56" t="s">
        <v>11006</v>
      </c>
      <c r="M43" s="60" t="s">
        <v>10914</v>
      </c>
      <c r="O43" s="56" t="s">
        <v>11581</v>
      </c>
    </row>
    <row r="44" spans="11:15" x14ac:dyDescent="0.25">
      <c r="K44" s="61">
        <v>46069</v>
      </c>
      <c r="L44" s="56" t="s">
        <v>11006</v>
      </c>
      <c r="M44" s="60" t="s">
        <v>10915</v>
      </c>
      <c r="O44" s="56" t="s">
        <v>11581</v>
      </c>
    </row>
    <row r="45" spans="11:15" x14ac:dyDescent="0.25">
      <c r="K45" s="61">
        <v>46069</v>
      </c>
      <c r="L45" s="56" t="s">
        <v>11006</v>
      </c>
      <c r="M45" s="60" t="s">
        <v>10944</v>
      </c>
      <c r="O45" s="56" t="s">
        <v>11581</v>
      </c>
    </row>
    <row r="46" spans="11:15" x14ac:dyDescent="0.25">
      <c r="K46" s="61">
        <v>46069</v>
      </c>
      <c r="L46" s="56" t="s">
        <v>11006</v>
      </c>
      <c r="M46" s="60" t="s">
        <v>10945</v>
      </c>
      <c r="O46" s="56" t="s">
        <v>11581</v>
      </c>
    </row>
    <row r="47" spans="11:15" x14ac:dyDescent="0.25">
      <c r="K47" s="61">
        <v>46069</v>
      </c>
      <c r="L47" s="56" t="s">
        <v>11006</v>
      </c>
      <c r="M47" s="60" t="s">
        <v>10984</v>
      </c>
      <c r="O47" s="56" t="s">
        <v>11581</v>
      </c>
    </row>
    <row r="48" spans="11:15" x14ac:dyDescent="0.25">
      <c r="K48" s="61">
        <v>46069</v>
      </c>
      <c r="L48" s="56" t="s">
        <v>11006</v>
      </c>
      <c r="M48" s="60" t="s">
        <v>10988</v>
      </c>
      <c r="O48" s="56" t="s">
        <v>11581</v>
      </c>
    </row>
    <row r="49" spans="11:15" x14ac:dyDescent="0.25">
      <c r="K49" s="61">
        <v>46069</v>
      </c>
      <c r="L49" s="56" t="s">
        <v>11006</v>
      </c>
      <c r="M49" s="60" t="s">
        <v>11322</v>
      </c>
      <c r="O49" s="56" t="s">
        <v>11581</v>
      </c>
    </row>
    <row r="50" spans="11:15" x14ac:dyDescent="0.25">
      <c r="K50" s="61">
        <v>46069</v>
      </c>
      <c r="L50" s="56" t="s">
        <v>11006</v>
      </c>
      <c r="M50" s="60" t="s">
        <v>11369</v>
      </c>
      <c r="O50" s="56" t="s">
        <v>11581</v>
      </c>
    </row>
    <row r="51" spans="11:15" x14ac:dyDescent="0.25">
      <c r="K51" s="61">
        <v>46069</v>
      </c>
      <c r="L51" s="56" t="s">
        <v>11006</v>
      </c>
      <c r="M51" s="60" t="s">
        <v>11414</v>
      </c>
      <c r="O51" s="56" t="s">
        <v>11581</v>
      </c>
    </row>
    <row r="52" spans="11:15" x14ac:dyDescent="0.25">
      <c r="K52" s="61">
        <v>46069</v>
      </c>
      <c r="L52" s="56" t="s">
        <v>11006</v>
      </c>
      <c r="M52" s="60" t="s">
        <v>11416</v>
      </c>
      <c r="O52" s="56" t="s">
        <v>11581</v>
      </c>
    </row>
    <row r="53" spans="11:15" x14ac:dyDescent="0.25">
      <c r="K53" s="61">
        <v>46069</v>
      </c>
      <c r="L53" s="56" t="s">
        <v>11006</v>
      </c>
      <c r="M53" s="60" t="s">
        <v>11504</v>
      </c>
      <c r="O53" s="56" t="s">
        <v>11581</v>
      </c>
    </row>
    <row r="54" spans="11:15" x14ac:dyDescent="0.25">
      <c r="K54" s="61">
        <v>46069</v>
      </c>
      <c r="L54" s="56" t="s">
        <v>11006</v>
      </c>
      <c r="M54" s="60" t="s">
        <v>11506</v>
      </c>
      <c r="O54" s="56" t="s">
        <v>11581</v>
      </c>
    </row>
    <row r="55" spans="11:15" x14ac:dyDescent="0.25">
      <c r="K55" s="61">
        <v>46069</v>
      </c>
      <c r="L55" s="56" t="s">
        <v>11006</v>
      </c>
      <c r="M55" s="60" t="s">
        <v>11543</v>
      </c>
      <c r="O55" s="56" t="s">
        <v>11581</v>
      </c>
    </row>
    <row r="56" spans="11:15" x14ac:dyDescent="0.25">
      <c r="K56" s="61">
        <v>46069</v>
      </c>
      <c r="L56" s="70">
        <v>3111</v>
      </c>
      <c r="M56" s="60" t="s">
        <v>11579</v>
      </c>
      <c r="O56" s="56" t="s">
        <v>11581</v>
      </c>
    </row>
    <row r="57" spans="11:15" x14ac:dyDescent="0.25">
      <c r="K57" s="61">
        <v>46069</v>
      </c>
      <c r="L57" s="70">
        <v>3112</v>
      </c>
      <c r="M57" s="60" t="s">
        <v>11580</v>
      </c>
      <c r="O57" s="56" t="s">
        <v>11581</v>
      </c>
    </row>
    <row r="58" spans="11:15" x14ac:dyDescent="0.25">
      <c r="K58" s="61">
        <v>46069</v>
      </c>
      <c r="L58" s="59">
        <v>3102</v>
      </c>
      <c r="M58" s="65" t="s">
        <v>10991</v>
      </c>
      <c r="N58" s="59" t="s">
        <v>11503</v>
      </c>
      <c r="O58" s="56" t="s">
        <v>11582</v>
      </c>
    </row>
    <row r="59" spans="11:15" x14ac:dyDescent="0.25">
      <c r="K59" s="61">
        <v>46069</v>
      </c>
      <c r="L59" s="70">
        <v>3102</v>
      </c>
      <c r="M59" s="60" t="s">
        <v>10910</v>
      </c>
      <c r="O59" s="56" t="s">
        <v>11582</v>
      </c>
    </row>
    <row r="60" spans="11:15" ht="16.5" x14ac:dyDescent="0.3">
      <c r="K60" s="61">
        <v>46111</v>
      </c>
      <c r="L60" s="70">
        <v>3004</v>
      </c>
      <c r="M60" s="60" t="s">
        <v>11586</v>
      </c>
      <c r="O60" s="94" t="s">
        <v>11800</v>
      </c>
    </row>
    <row r="61" spans="11:15" ht="16.5" x14ac:dyDescent="0.3">
      <c r="K61" s="61">
        <v>46111</v>
      </c>
      <c r="L61" s="70">
        <v>3005</v>
      </c>
      <c r="M61" s="60" t="s">
        <v>10911</v>
      </c>
      <c r="O61" s="94" t="s">
        <v>11800</v>
      </c>
    </row>
    <row r="62" spans="11:15" ht="16.5" x14ac:dyDescent="0.3">
      <c r="K62" s="61">
        <v>46111</v>
      </c>
      <c r="L62" s="70">
        <v>3007</v>
      </c>
      <c r="M62" s="60" t="s">
        <v>11575</v>
      </c>
      <c r="O62" s="94" t="s">
        <v>11800</v>
      </c>
    </row>
    <row r="63" spans="11:15" ht="16.5" x14ac:dyDescent="0.3">
      <c r="K63" s="61">
        <v>46111</v>
      </c>
      <c r="L63" s="70">
        <v>3104</v>
      </c>
      <c r="M63" s="60" t="s">
        <v>11578</v>
      </c>
      <c r="O63" s="94" t="s">
        <v>11801</v>
      </c>
    </row>
    <row r="64" spans="11:15" ht="16.5" x14ac:dyDescent="0.3">
      <c r="K64" s="61">
        <v>46111</v>
      </c>
      <c r="L64" s="70">
        <v>3106</v>
      </c>
      <c r="M64" s="60" t="s">
        <v>10986</v>
      </c>
      <c r="O64" s="94" t="s">
        <v>11802</v>
      </c>
    </row>
    <row r="65" spans="11:13" x14ac:dyDescent="0.25">
      <c r="K65" s="61">
        <v>46111</v>
      </c>
      <c r="L65" s="70">
        <v>3107</v>
      </c>
      <c r="M65" s="60" t="s">
        <v>10886</v>
      </c>
    </row>
    <row r="66" spans="11:13" x14ac:dyDescent="0.25">
      <c r="K66" s="61">
        <v>46111</v>
      </c>
      <c r="L66" s="70">
        <v>3110</v>
      </c>
      <c r="M66" s="60" t="s">
        <v>11415</v>
      </c>
    </row>
  </sheetData>
  <mergeCells count="1">
    <mergeCell ref="K1:M1"/>
  </mergeCells>
  <phoneticPr fontId="15" type="noConversion"/>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10">
    <tabColor rgb="FFFFC000"/>
  </sheetPr>
  <dimension ref="A1:C5720"/>
  <sheetViews>
    <sheetView workbookViewId="0">
      <pane xSplit="1" ySplit="1" topLeftCell="B5714" activePane="bottomRight" state="frozen"/>
      <selection activeCell="F24" sqref="F24"/>
      <selection pane="topRight" activeCell="F24" sqref="F24"/>
      <selection pane="bottomLeft" activeCell="F24" sqref="F24"/>
      <selection pane="bottomRight" activeCell="F24" sqref="F24"/>
    </sheetView>
  </sheetViews>
  <sheetFormatPr defaultRowHeight="15" x14ac:dyDescent="0.25"/>
  <cols>
    <col min="1" max="1" width="10" customWidth="1"/>
    <col min="2" max="2" width="35.28515625" customWidth="1"/>
    <col min="3" max="3" width="58.28515625" customWidth="1"/>
  </cols>
  <sheetData>
    <row r="1" spans="1:3" s="79" customFormat="1" ht="22.9" customHeight="1" x14ac:dyDescent="0.2">
      <c r="A1" s="78" t="s">
        <v>217</v>
      </c>
      <c r="B1" s="78" t="s">
        <v>218</v>
      </c>
      <c r="C1" s="78" t="s">
        <v>5611</v>
      </c>
    </row>
    <row r="2" spans="1:3" s="79" customFormat="1" ht="89.1" customHeight="1" x14ac:dyDescent="0.2">
      <c r="A2" s="81">
        <v>20000014</v>
      </c>
      <c r="B2" s="80" t="s">
        <v>224</v>
      </c>
      <c r="C2" s="81" t="s">
        <v>5612</v>
      </c>
    </row>
    <row r="3" spans="1:3" s="79" customFormat="1" ht="59.1" customHeight="1" x14ac:dyDescent="0.2">
      <c r="A3" s="81">
        <v>20000041</v>
      </c>
      <c r="B3" s="80" t="s">
        <v>234</v>
      </c>
      <c r="C3" s="82" t="s">
        <v>5613</v>
      </c>
    </row>
    <row r="4" spans="1:3" s="79" customFormat="1" ht="59.1" customHeight="1" x14ac:dyDescent="0.2">
      <c r="A4" s="81">
        <v>20000042</v>
      </c>
      <c r="B4" s="80" t="s">
        <v>236</v>
      </c>
      <c r="C4" s="82" t="s">
        <v>5614</v>
      </c>
    </row>
    <row r="5" spans="1:3" s="79" customFormat="1" ht="59.1" customHeight="1" x14ac:dyDescent="0.2">
      <c r="A5" s="81">
        <v>20000043</v>
      </c>
      <c r="B5" s="80" t="s">
        <v>237</v>
      </c>
      <c r="C5" s="82" t="s">
        <v>5615</v>
      </c>
    </row>
    <row r="6" spans="1:3" s="79" customFormat="1" ht="19.149999999999999" customHeight="1" x14ac:dyDescent="0.2">
      <c r="A6" s="81">
        <v>20000052</v>
      </c>
      <c r="B6" s="80" t="s">
        <v>239</v>
      </c>
      <c r="C6" s="80" t="s">
        <v>5616</v>
      </c>
    </row>
    <row r="7" spans="1:3" s="79" customFormat="1" ht="38.85" customHeight="1" x14ac:dyDescent="0.2">
      <c r="A7" s="81">
        <v>20000053</v>
      </c>
      <c r="B7" s="80" t="s">
        <v>240</v>
      </c>
      <c r="C7" s="82" t="s">
        <v>5617</v>
      </c>
    </row>
    <row r="8" spans="1:3" s="79" customFormat="1" ht="68.849999999999994" customHeight="1" x14ac:dyDescent="0.2">
      <c r="A8" s="81">
        <v>20000055</v>
      </c>
      <c r="B8" s="80" t="s">
        <v>241</v>
      </c>
      <c r="C8" s="82" t="s">
        <v>5618</v>
      </c>
    </row>
    <row r="9" spans="1:3" s="79" customFormat="1" ht="49.15" customHeight="1" x14ac:dyDescent="0.2">
      <c r="A9" s="81">
        <v>20000057</v>
      </c>
      <c r="B9" s="80" t="s">
        <v>243</v>
      </c>
      <c r="C9" s="82" t="s">
        <v>5619</v>
      </c>
    </row>
    <row r="10" spans="1:3" s="79" customFormat="1" ht="38.85" customHeight="1" x14ac:dyDescent="0.2">
      <c r="A10" s="81">
        <v>20000058</v>
      </c>
      <c r="B10" s="80" t="s">
        <v>244</v>
      </c>
      <c r="C10" s="82" t="s">
        <v>5620</v>
      </c>
    </row>
    <row r="11" spans="1:3" s="79" customFormat="1" ht="59.1" customHeight="1" x14ac:dyDescent="0.2">
      <c r="A11" s="81">
        <v>20000059</v>
      </c>
      <c r="B11" s="80" t="s">
        <v>245</v>
      </c>
      <c r="C11" s="82" t="s">
        <v>5621</v>
      </c>
    </row>
    <row r="12" spans="1:3" s="79" customFormat="1" ht="59.1" customHeight="1" x14ac:dyDescent="0.2">
      <c r="A12" s="81">
        <v>20000060</v>
      </c>
      <c r="B12" s="80" t="s">
        <v>247</v>
      </c>
      <c r="C12" s="82" t="s">
        <v>5622</v>
      </c>
    </row>
    <row r="13" spans="1:3" s="79" customFormat="1" ht="28.7" customHeight="1" x14ac:dyDescent="0.2">
      <c r="A13" s="81">
        <v>20000061</v>
      </c>
      <c r="B13" s="80" t="s">
        <v>248</v>
      </c>
      <c r="C13" s="82" t="s">
        <v>5623</v>
      </c>
    </row>
    <row r="14" spans="1:3" s="79" customFormat="1" ht="28.7" customHeight="1" x14ac:dyDescent="0.2">
      <c r="A14" s="81">
        <v>20000062</v>
      </c>
      <c r="B14" s="80" t="s">
        <v>249</v>
      </c>
      <c r="C14" s="82" t="s">
        <v>5624</v>
      </c>
    </row>
    <row r="15" spans="1:3" s="79" customFormat="1" ht="49.15" customHeight="1" x14ac:dyDescent="0.2">
      <c r="A15" s="81">
        <v>20000096</v>
      </c>
      <c r="B15" s="80" t="s">
        <v>250</v>
      </c>
      <c r="C15" s="82" t="s">
        <v>5625</v>
      </c>
    </row>
    <row r="16" spans="1:3" s="79" customFormat="1" ht="49.15" customHeight="1" x14ac:dyDescent="0.2">
      <c r="A16" s="81">
        <v>20000097</v>
      </c>
      <c r="B16" s="80" t="s">
        <v>251</v>
      </c>
      <c r="C16" s="82" t="s">
        <v>5626</v>
      </c>
    </row>
    <row r="17" spans="1:3" s="79" customFormat="1" ht="49.15" customHeight="1" x14ac:dyDescent="0.2">
      <c r="A17" s="81">
        <v>20000098</v>
      </c>
      <c r="B17" s="80" t="s">
        <v>252</v>
      </c>
      <c r="C17" s="82" t="s">
        <v>5627</v>
      </c>
    </row>
    <row r="18" spans="1:3" s="79" customFormat="1" ht="49.15" customHeight="1" x14ac:dyDescent="0.2">
      <c r="A18" s="81">
        <v>20000099</v>
      </c>
      <c r="B18" s="80" t="s">
        <v>253</v>
      </c>
      <c r="C18" s="82" t="s">
        <v>5628</v>
      </c>
    </row>
    <row r="19" spans="1:3" s="79" customFormat="1" ht="49.15" customHeight="1" x14ac:dyDescent="0.2">
      <c r="A19" s="81">
        <v>20000100</v>
      </c>
      <c r="B19" s="80" t="s">
        <v>254</v>
      </c>
      <c r="C19" s="82" t="s">
        <v>5629</v>
      </c>
    </row>
    <row r="20" spans="1:3" s="79" customFormat="1" ht="28.7" customHeight="1" x14ac:dyDescent="0.2">
      <c r="A20" s="81">
        <v>20000102</v>
      </c>
      <c r="B20" s="80" t="s">
        <v>255</v>
      </c>
      <c r="C20" s="82" t="s">
        <v>5630</v>
      </c>
    </row>
    <row r="21" spans="1:3" s="79" customFormat="1" ht="49.15" customHeight="1" x14ac:dyDescent="0.2">
      <c r="A21" s="81">
        <v>20000103</v>
      </c>
      <c r="B21" s="80" t="s">
        <v>256</v>
      </c>
      <c r="C21" s="82" t="s">
        <v>5631</v>
      </c>
    </row>
    <row r="22" spans="1:3" s="79" customFormat="1" ht="59.1" customHeight="1" x14ac:dyDescent="0.2">
      <c r="A22" s="81">
        <v>20000104</v>
      </c>
      <c r="B22" s="80" t="s">
        <v>257</v>
      </c>
      <c r="C22" s="82" t="s">
        <v>5632</v>
      </c>
    </row>
    <row r="23" spans="1:3" s="79" customFormat="1" ht="78.95" customHeight="1" x14ac:dyDescent="0.2">
      <c r="A23" s="81">
        <v>20000105</v>
      </c>
      <c r="B23" s="80" t="s">
        <v>258</v>
      </c>
      <c r="C23" s="81" t="s">
        <v>5633</v>
      </c>
    </row>
    <row r="24" spans="1:3" s="79" customFormat="1" ht="78.95" customHeight="1" x14ac:dyDescent="0.2">
      <c r="A24" s="81">
        <v>20000106</v>
      </c>
      <c r="B24" s="80" t="s">
        <v>259</v>
      </c>
      <c r="C24" s="81" t="s">
        <v>5634</v>
      </c>
    </row>
    <row r="25" spans="1:3" s="79" customFormat="1" ht="78.95" customHeight="1" x14ac:dyDescent="0.2">
      <c r="A25" s="81">
        <v>20000108</v>
      </c>
      <c r="B25" s="80" t="s">
        <v>260</v>
      </c>
      <c r="C25" s="81" t="s">
        <v>5635</v>
      </c>
    </row>
    <row r="26" spans="1:3" s="79" customFormat="1" ht="59.1" customHeight="1" x14ac:dyDescent="0.2">
      <c r="A26" s="81">
        <v>20000109</v>
      </c>
      <c r="B26" s="80" t="s">
        <v>261</v>
      </c>
      <c r="C26" s="82" t="s">
        <v>5636</v>
      </c>
    </row>
    <row r="27" spans="1:3" s="79" customFormat="1" ht="109.35" customHeight="1" x14ac:dyDescent="0.2">
      <c r="A27" s="81">
        <v>20000110</v>
      </c>
      <c r="B27" s="80" t="s">
        <v>262</v>
      </c>
      <c r="C27" s="81" t="s">
        <v>5637</v>
      </c>
    </row>
    <row r="28" spans="1:3" s="79" customFormat="1" ht="68.849999999999994" customHeight="1" x14ac:dyDescent="0.2">
      <c r="A28" s="81">
        <v>20000112</v>
      </c>
      <c r="B28" s="80" t="s">
        <v>263</v>
      </c>
      <c r="C28" s="81" t="s">
        <v>5638</v>
      </c>
    </row>
    <row r="29" spans="1:3" s="79" customFormat="1" ht="19.149999999999999" customHeight="1" x14ac:dyDescent="0.2">
      <c r="A29" s="81">
        <v>20000113</v>
      </c>
      <c r="B29" s="80" t="s">
        <v>264</v>
      </c>
      <c r="C29" s="80" t="s">
        <v>5639</v>
      </c>
    </row>
    <row r="30" spans="1:3" s="79" customFormat="1" ht="59.1" customHeight="1" x14ac:dyDescent="0.2">
      <c r="A30" s="81">
        <v>20000120</v>
      </c>
      <c r="B30" s="80" t="s">
        <v>265</v>
      </c>
      <c r="C30" s="82" t="s">
        <v>5640</v>
      </c>
    </row>
    <row r="31" spans="1:3" s="79" customFormat="1" ht="59.1" customHeight="1" x14ac:dyDescent="0.2">
      <c r="A31" s="81">
        <v>20000121</v>
      </c>
      <c r="B31" s="80" t="s">
        <v>266</v>
      </c>
      <c r="C31" s="82" t="s">
        <v>5641</v>
      </c>
    </row>
    <row r="32" spans="1:3" s="79" customFormat="1" ht="59.1" customHeight="1" x14ac:dyDescent="0.2">
      <c r="A32" s="81">
        <v>20000122</v>
      </c>
      <c r="B32" s="80" t="s">
        <v>11597</v>
      </c>
      <c r="C32" s="82" t="s">
        <v>5642</v>
      </c>
    </row>
    <row r="33" spans="1:3" s="79" customFormat="1" ht="28.7" customHeight="1" x14ac:dyDescent="0.2">
      <c r="A33" s="81">
        <v>20000123</v>
      </c>
      <c r="B33" s="80" t="s">
        <v>267</v>
      </c>
      <c r="C33" s="82" t="s">
        <v>5643</v>
      </c>
    </row>
    <row r="34" spans="1:3" s="79" customFormat="1" ht="49.15" customHeight="1" x14ac:dyDescent="0.2">
      <c r="A34" s="81">
        <v>20000125</v>
      </c>
      <c r="B34" s="80" t="s">
        <v>268</v>
      </c>
      <c r="C34" s="82" t="s">
        <v>5644</v>
      </c>
    </row>
    <row r="35" spans="1:3" s="79" customFormat="1" ht="59.1" customHeight="1" x14ac:dyDescent="0.2">
      <c r="A35" s="81">
        <v>20000126</v>
      </c>
      <c r="B35" s="80" t="s">
        <v>269</v>
      </c>
      <c r="C35" s="82" t="s">
        <v>5645</v>
      </c>
    </row>
    <row r="36" spans="1:3" s="79" customFormat="1" ht="68.849999999999994" customHeight="1" x14ac:dyDescent="0.2">
      <c r="A36" s="81">
        <v>20000127</v>
      </c>
      <c r="B36" s="80" t="s">
        <v>270</v>
      </c>
      <c r="C36" s="81" t="s">
        <v>5646</v>
      </c>
    </row>
    <row r="37" spans="1:3" s="79" customFormat="1" ht="89.1" customHeight="1" x14ac:dyDescent="0.2">
      <c r="A37" s="81">
        <v>20000129</v>
      </c>
      <c r="B37" s="80" t="s">
        <v>271</v>
      </c>
      <c r="C37" s="81" t="s">
        <v>5647</v>
      </c>
    </row>
    <row r="38" spans="1:3" s="79" customFormat="1" ht="68.849999999999994" customHeight="1" x14ac:dyDescent="0.2">
      <c r="A38" s="81">
        <v>20000131</v>
      </c>
      <c r="B38" s="80" t="s">
        <v>272</v>
      </c>
      <c r="C38" s="82" t="s">
        <v>5648</v>
      </c>
    </row>
    <row r="39" spans="1:3" s="79" customFormat="1" ht="19.149999999999999" customHeight="1" x14ac:dyDescent="0.2">
      <c r="A39" s="81">
        <v>20000132</v>
      </c>
      <c r="B39" s="80" t="s">
        <v>11018</v>
      </c>
      <c r="C39" s="80" t="s">
        <v>11019</v>
      </c>
    </row>
    <row r="40" spans="1:3" s="79" customFormat="1" ht="49.15" customHeight="1" x14ac:dyDescent="0.2">
      <c r="A40" s="81">
        <v>20000133</v>
      </c>
      <c r="B40" s="80" t="s">
        <v>274</v>
      </c>
      <c r="C40" s="82" t="s">
        <v>5649</v>
      </c>
    </row>
    <row r="41" spans="1:3" s="79" customFormat="1" ht="49.15" customHeight="1" x14ac:dyDescent="0.2">
      <c r="A41" s="81">
        <v>20000134</v>
      </c>
      <c r="B41" s="80" t="s">
        <v>275</v>
      </c>
      <c r="C41" s="82" t="s">
        <v>5650</v>
      </c>
    </row>
    <row r="42" spans="1:3" s="79" customFormat="1" ht="28.7" customHeight="1" x14ac:dyDescent="0.2">
      <c r="A42" s="81">
        <v>20000135</v>
      </c>
      <c r="B42" s="80" t="s">
        <v>276</v>
      </c>
      <c r="C42" s="82" t="s">
        <v>5651</v>
      </c>
    </row>
    <row r="43" spans="1:3" s="79" customFormat="1" ht="139.15" customHeight="1" x14ac:dyDescent="0.2">
      <c r="A43" s="81">
        <v>20000172</v>
      </c>
      <c r="B43" s="80" t="s">
        <v>277</v>
      </c>
      <c r="C43" s="81" t="s">
        <v>5652</v>
      </c>
    </row>
    <row r="44" spans="1:3" s="79" customFormat="1" ht="59.1" customHeight="1" x14ac:dyDescent="0.2">
      <c r="A44" s="81">
        <v>20000176</v>
      </c>
      <c r="B44" s="80" t="s">
        <v>278</v>
      </c>
      <c r="C44" s="82" t="s">
        <v>5653</v>
      </c>
    </row>
    <row r="45" spans="1:3" s="79" customFormat="1" ht="59.1" customHeight="1" x14ac:dyDescent="0.2">
      <c r="A45" s="81">
        <v>20000177</v>
      </c>
      <c r="B45" s="80" t="s">
        <v>279</v>
      </c>
      <c r="C45" s="82" t="s">
        <v>5654</v>
      </c>
    </row>
    <row r="46" spans="1:3" s="79" customFormat="1" ht="68.849999999999994" customHeight="1" x14ac:dyDescent="0.2">
      <c r="A46" s="81">
        <v>20000179</v>
      </c>
      <c r="B46" s="80" t="s">
        <v>280</v>
      </c>
      <c r="C46" s="81" t="s">
        <v>5655</v>
      </c>
    </row>
    <row r="47" spans="1:3" s="79" customFormat="1" ht="68.849999999999994" customHeight="1" x14ac:dyDescent="0.2">
      <c r="A47" s="81">
        <v>20000180</v>
      </c>
      <c r="B47" s="80" t="s">
        <v>281</v>
      </c>
      <c r="C47" s="81" t="s">
        <v>5656</v>
      </c>
    </row>
    <row r="48" spans="1:3" s="79" customFormat="1" ht="68.849999999999994" customHeight="1" x14ac:dyDescent="0.2">
      <c r="A48" s="81">
        <v>20000182</v>
      </c>
      <c r="B48" s="80" t="s">
        <v>282</v>
      </c>
      <c r="C48" s="81" t="s">
        <v>5657</v>
      </c>
    </row>
    <row r="49" spans="1:3" s="79" customFormat="1" ht="68.849999999999994" customHeight="1" x14ac:dyDescent="0.2">
      <c r="A49" s="81">
        <v>20000185</v>
      </c>
      <c r="B49" s="80" t="s">
        <v>283</v>
      </c>
      <c r="C49" s="81" t="s">
        <v>5658</v>
      </c>
    </row>
    <row r="50" spans="1:3" s="79" customFormat="1" ht="68.849999999999994" customHeight="1" x14ac:dyDescent="0.2">
      <c r="A50" s="81">
        <v>20000186</v>
      </c>
      <c r="B50" s="80" t="s">
        <v>284</v>
      </c>
      <c r="C50" s="81" t="s">
        <v>5659</v>
      </c>
    </row>
    <row r="51" spans="1:3" s="79" customFormat="1" ht="68.849999999999994" customHeight="1" x14ac:dyDescent="0.2">
      <c r="A51" s="81">
        <v>20000187</v>
      </c>
      <c r="B51" s="80" t="s">
        <v>285</v>
      </c>
      <c r="C51" s="81" t="s">
        <v>5660</v>
      </c>
    </row>
    <row r="52" spans="1:3" s="79" customFormat="1" ht="68.849999999999994" customHeight="1" x14ac:dyDescent="0.2">
      <c r="A52" s="81">
        <v>20000188</v>
      </c>
      <c r="B52" s="80" t="s">
        <v>286</v>
      </c>
      <c r="C52" s="81" t="s">
        <v>5661</v>
      </c>
    </row>
    <row r="53" spans="1:3" s="79" customFormat="1" ht="68.849999999999994" customHeight="1" x14ac:dyDescent="0.2">
      <c r="A53" s="81">
        <v>20000189</v>
      </c>
      <c r="B53" s="80" t="s">
        <v>287</v>
      </c>
      <c r="C53" s="81" t="s">
        <v>5662</v>
      </c>
    </row>
    <row r="54" spans="1:3" s="79" customFormat="1" ht="68.849999999999994" customHeight="1" x14ac:dyDescent="0.2">
      <c r="A54" s="81">
        <v>20000190</v>
      </c>
      <c r="B54" s="80" t="s">
        <v>288</v>
      </c>
      <c r="C54" s="81" t="s">
        <v>5663</v>
      </c>
    </row>
    <row r="55" spans="1:3" s="79" customFormat="1" ht="68.849999999999994" customHeight="1" x14ac:dyDescent="0.2">
      <c r="A55" s="81">
        <v>20000191</v>
      </c>
      <c r="B55" s="80" t="s">
        <v>289</v>
      </c>
      <c r="C55" s="81" t="s">
        <v>5664</v>
      </c>
    </row>
    <row r="56" spans="1:3" s="79" customFormat="1" ht="68.849999999999994" customHeight="1" x14ac:dyDescent="0.2">
      <c r="A56" s="81">
        <v>20000192</v>
      </c>
      <c r="B56" s="80" t="s">
        <v>290</v>
      </c>
      <c r="C56" s="81" t="s">
        <v>5665</v>
      </c>
    </row>
    <row r="57" spans="1:3" s="79" customFormat="1" ht="19.149999999999999" customHeight="1" x14ac:dyDescent="0.2">
      <c r="A57" s="81">
        <v>20000193</v>
      </c>
      <c r="B57" s="80" t="s">
        <v>291</v>
      </c>
      <c r="C57" s="80" t="s">
        <v>11247</v>
      </c>
    </row>
    <row r="58" spans="1:3" s="79" customFormat="1" ht="59.1" customHeight="1" x14ac:dyDescent="0.2">
      <c r="A58" s="81">
        <v>20000194</v>
      </c>
      <c r="B58" s="80" t="s">
        <v>292</v>
      </c>
      <c r="C58" s="82" t="s">
        <v>5666</v>
      </c>
    </row>
    <row r="59" spans="1:3" s="79" customFormat="1" ht="59.1" customHeight="1" x14ac:dyDescent="0.2">
      <c r="A59" s="81">
        <v>20000195</v>
      </c>
      <c r="B59" s="80" t="s">
        <v>293</v>
      </c>
      <c r="C59" s="82" t="s">
        <v>5667</v>
      </c>
    </row>
    <row r="60" spans="1:3" s="79" customFormat="1" ht="59.1" customHeight="1" x14ac:dyDescent="0.2">
      <c r="A60" s="81">
        <v>20000196</v>
      </c>
      <c r="B60" s="80" t="s">
        <v>294</v>
      </c>
      <c r="C60" s="82" t="s">
        <v>5668</v>
      </c>
    </row>
    <row r="61" spans="1:3" s="79" customFormat="1" ht="59.1" customHeight="1" x14ac:dyDescent="0.2">
      <c r="A61" s="81">
        <v>20000197</v>
      </c>
      <c r="B61" s="80" t="s">
        <v>295</v>
      </c>
      <c r="C61" s="82" t="s">
        <v>5669</v>
      </c>
    </row>
    <row r="62" spans="1:3" s="79" customFormat="1" ht="59.1" customHeight="1" x14ac:dyDescent="0.2">
      <c r="A62" s="81">
        <v>20000198</v>
      </c>
      <c r="B62" s="80" t="s">
        <v>296</v>
      </c>
      <c r="C62" s="82" t="s">
        <v>5670</v>
      </c>
    </row>
    <row r="63" spans="1:3" s="79" customFormat="1" ht="19.149999999999999" customHeight="1" x14ac:dyDescent="0.2">
      <c r="A63" s="81">
        <v>20000199</v>
      </c>
      <c r="B63" s="80" t="s">
        <v>297</v>
      </c>
      <c r="C63" s="82" t="s">
        <v>5671</v>
      </c>
    </row>
    <row r="64" spans="1:3" s="79" customFormat="1" ht="49.15" customHeight="1" x14ac:dyDescent="0.2">
      <c r="A64" s="81">
        <v>20000201</v>
      </c>
      <c r="B64" s="80" t="s">
        <v>298</v>
      </c>
      <c r="C64" s="81" t="s">
        <v>5672</v>
      </c>
    </row>
    <row r="65" spans="1:3" s="79" customFormat="1" ht="68.849999999999994" customHeight="1" x14ac:dyDescent="0.2">
      <c r="A65" s="81">
        <v>20000202</v>
      </c>
      <c r="B65" s="80" t="s">
        <v>299</v>
      </c>
      <c r="C65" s="81" t="s">
        <v>5673</v>
      </c>
    </row>
    <row r="66" spans="1:3" s="79" customFormat="1" ht="99.2" customHeight="1" x14ac:dyDescent="0.2">
      <c r="A66" s="81">
        <v>20000203</v>
      </c>
      <c r="B66" s="80" t="s">
        <v>300</v>
      </c>
      <c r="C66" s="81" t="s">
        <v>5674</v>
      </c>
    </row>
    <row r="67" spans="1:3" s="79" customFormat="1" ht="49.15" customHeight="1" x14ac:dyDescent="0.2">
      <c r="A67" s="81">
        <v>20000208</v>
      </c>
      <c r="B67" s="80" t="s">
        <v>301</v>
      </c>
      <c r="C67" s="82" t="s">
        <v>5675</v>
      </c>
    </row>
    <row r="68" spans="1:3" s="79" customFormat="1" ht="59.1" customHeight="1" x14ac:dyDescent="0.2">
      <c r="A68" s="81">
        <v>20000211</v>
      </c>
      <c r="B68" s="80" t="s">
        <v>302</v>
      </c>
      <c r="C68" s="82" t="s">
        <v>5676</v>
      </c>
    </row>
    <row r="69" spans="1:3" s="79" customFormat="1" ht="28.7" customHeight="1" x14ac:dyDescent="0.2">
      <c r="A69" s="81">
        <v>20000212</v>
      </c>
      <c r="B69" s="80" t="s">
        <v>303</v>
      </c>
      <c r="C69" s="82" t="s">
        <v>5677</v>
      </c>
    </row>
    <row r="70" spans="1:3" s="79" customFormat="1" ht="49.15" customHeight="1" x14ac:dyDescent="0.2">
      <c r="A70" s="81">
        <v>20000213</v>
      </c>
      <c r="B70" s="80" t="s">
        <v>304</v>
      </c>
      <c r="C70" s="82" t="s">
        <v>5678</v>
      </c>
    </row>
    <row r="71" spans="1:3" s="79" customFormat="1" ht="38.85" customHeight="1" x14ac:dyDescent="0.2">
      <c r="A71" s="81">
        <v>20000214</v>
      </c>
      <c r="B71" s="80" t="s">
        <v>305</v>
      </c>
      <c r="C71" s="82" t="s">
        <v>5679</v>
      </c>
    </row>
    <row r="72" spans="1:3" s="79" customFormat="1" ht="19.149999999999999" customHeight="1" x14ac:dyDescent="0.2">
      <c r="A72" s="81">
        <v>20000251</v>
      </c>
      <c r="B72" s="80" t="s">
        <v>307</v>
      </c>
      <c r="C72" s="82" t="s">
        <v>5680</v>
      </c>
    </row>
    <row r="73" spans="1:3" s="79" customFormat="1" ht="19.149999999999999" customHeight="1" x14ac:dyDescent="0.2">
      <c r="A73" s="81">
        <v>20000258</v>
      </c>
      <c r="B73" s="80" t="s">
        <v>308</v>
      </c>
      <c r="C73" s="82" t="s">
        <v>5681</v>
      </c>
    </row>
    <row r="74" spans="1:3" s="79" customFormat="1" ht="19.149999999999999" customHeight="1" x14ac:dyDescent="0.2">
      <c r="A74" s="81">
        <v>20000266</v>
      </c>
      <c r="B74" s="80" t="s">
        <v>312</v>
      </c>
      <c r="C74" s="80" t="s">
        <v>5682</v>
      </c>
    </row>
    <row r="75" spans="1:3" s="79" customFormat="1" ht="68.849999999999994" customHeight="1" x14ac:dyDescent="0.2">
      <c r="A75" s="81">
        <v>20000283</v>
      </c>
      <c r="B75" s="80" t="s">
        <v>314</v>
      </c>
      <c r="C75" s="82" t="s">
        <v>5683</v>
      </c>
    </row>
    <row r="76" spans="1:3" s="79" customFormat="1" ht="28.7" customHeight="1" x14ac:dyDescent="0.2">
      <c r="A76" s="81">
        <v>20000293</v>
      </c>
      <c r="B76" s="80" t="s">
        <v>316</v>
      </c>
      <c r="C76" s="82" t="s">
        <v>5684</v>
      </c>
    </row>
    <row r="77" spans="1:3" s="79" customFormat="1" ht="19.149999999999999" customHeight="1" x14ac:dyDescent="0.2">
      <c r="A77" s="81">
        <v>20000294</v>
      </c>
      <c r="B77" s="80" t="s">
        <v>317</v>
      </c>
      <c r="C77" s="80" t="s">
        <v>5685</v>
      </c>
    </row>
    <row r="78" spans="1:3" s="79" customFormat="1" ht="19.149999999999999" customHeight="1" x14ac:dyDescent="0.2">
      <c r="A78" s="81">
        <v>20000296</v>
      </c>
      <c r="B78" s="80" t="s">
        <v>318</v>
      </c>
      <c r="C78" s="82" t="s">
        <v>5686</v>
      </c>
    </row>
    <row r="79" spans="1:3" s="79" customFormat="1" ht="28.7" customHeight="1" x14ac:dyDescent="0.2">
      <c r="A79" s="81">
        <v>20000297</v>
      </c>
      <c r="B79" s="80" t="s">
        <v>319</v>
      </c>
      <c r="C79" s="82" t="s">
        <v>5687</v>
      </c>
    </row>
    <row r="80" spans="1:3" s="79" customFormat="1" ht="19.149999999999999" customHeight="1" x14ac:dyDescent="0.2">
      <c r="A80" s="81">
        <v>20000324</v>
      </c>
      <c r="B80" s="80" t="s">
        <v>320</v>
      </c>
      <c r="C80" s="82" t="s">
        <v>5688</v>
      </c>
    </row>
    <row r="81" spans="1:3" s="79" customFormat="1" ht="49.15" customHeight="1" x14ac:dyDescent="0.2">
      <c r="A81" s="81">
        <v>20000331</v>
      </c>
      <c r="B81" s="80" t="s">
        <v>322</v>
      </c>
      <c r="C81" s="82" t="s">
        <v>5689</v>
      </c>
    </row>
    <row r="82" spans="1:3" s="79" customFormat="1" ht="99.2" customHeight="1" x14ac:dyDescent="0.2">
      <c r="A82" s="81">
        <v>20000334</v>
      </c>
      <c r="B82" s="80" t="s">
        <v>323</v>
      </c>
      <c r="C82" s="81" t="s">
        <v>5690</v>
      </c>
    </row>
    <row r="83" spans="1:3" s="79" customFormat="1" ht="49.15" customHeight="1" x14ac:dyDescent="0.2">
      <c r="A83" s="81">
        <v>20000340</v>
      </c>
      <c r="B83" s="80" t="s">
        <v>324</v>
      </c>
      <c r="C83" s="82" t="s">
        <v>5691</v>
      </c>
    </row>
    <row r="84" spans="1:3" s="79" customFormat="1" ht="38.85" customHeight="1" x14ac:dyDescent="0.2">
      <c r="A84" s="81">
        <v>20000341</v>
      </c>
      <c r="B84" s="80" t="s">
        <v>325</v>
      </c>
      <c r="C84" s="82" t="s">
        <v>5692</v>
      </c>
    </row>
    <row r="85" spans="1:3" s="79" customFormat="1" ht="38.85" customHeight="1" x14ac:dyDescent="0.2">
      <c r="A85" s="81">
        <v>20000345</v>
      </c>
      <c r="B85" s="80" t="s">
        <v>326</v>
      </c>
      <c r="C85" s="82" t="s">
        <v>5693</v>
      </c>
    </row>
    <row r="86" spans="1:3" s="79" customFormat="1" ht="68.849999999999994" customHeight="1" x14ac:dyDescent="0.2">
      <c r="A86" s="81">
        <v>20000369</v>
      </c>
      <c r="B86" s="80" t="s">
        <v>329</v>
      </c>
      <c r="C86" s="81" t="s">
        <v>5694</v>
      </c>
    </row>
    <row r="87" spans="1:3" s="79" customFormat="1" ht="49.15" customHeight="1" x14ac:dyDescent="0.2">
      <c r="A87" s="81">
        <v>20000374</v>
      </c>
      <c r="B87" s="80" t="s">
        <v>331</v>
      </c>
      <c r="C87" s="82" t="s">
        <v>5695</v>
      </c>
    </row>
    <row r="88" spans="1:3" s="79" customFormat="1" ht="49.15" customHeight="1" x14ac:dyDescent="0.2">
      <c r="A88" s="81">
        <v>20000375</v>
      </c>
      <c r="B88" s="80" t="s">
        <v>332</v>
      </c>
      <c r="C88" s="82" t="s">
        <v>5696</v>
      </c>
    </row>
    <row r="89" spans="1:3" s="79" customFormat="1" ht="28.7" customHeight="1" x14ac:dyDescent="0.2">
      <c r="A89" s="81">
        <v>20000385</v>
      </c>
      <c r="B89" s="80" t="s">
        <v>334</v>
      </c>
      <c r="C89" s="82" t="s">
        <v>5697</v>
      </c>
    </row>
    <row r="90" spans="1:3" s="79" customFormat="1" ht="38.85" customHeight="1" x14ac:dyDescent="0.2">
      <c r="A90" s="81">
        <v>20000395</v>
      </c>
      <c r="B90" s="80" t="s">
        <v>335</v>
      </c>
      <c r="C90" s="82" t="s">
        <v>5698</v>
      </c>
    </row>
    <row r="91" spans="1:3" s="79" customFormat="1" ht="59.1" customHeight="1" x14ac:dyDescent="0.2">
      <c r="A91" s="81">
        <v>20000396</v>
      </c>
      <c r="B91" s="80" t="s">
        <v>336</v>
      </c>
      <c r="C91" s="82" t="s">
        <v>5699</v>
      </c>
    </row>
    <row r="92" spans="1:3" s="79" customFormat="1" ht="59.1" customHeight="1" x14ac:dyDescent="0.2">
      <c r="A92" s="81">
        <v>20000406</v>
      </c>
      <c r="B92" s="80" t="s">
        <v>338</v>
      </c>
      <c r="C92" s="81" t="s">
        <v>5700</v>
      </c>
    </row>
    <row r="93" spans="1:3" s="79" customFormat="1" ht="89.1" customHeight="1" x14ac:dyDescent="0.2">
      <c r="A93" s="81">
        <v>20000408</v>
      </c>
      <c r="B93" s="80" t="s">
        <v>339</v>
      </c>
      <c r="C93" s="82" t="s">
        <v>5701</v>
      </c>
    </row>
    <row r="94" spans="1:3" s="79" customFormat="1" ht="19.149999999999999" customHeight="1" x14ac:dyDescent="0.2">
      <c r="A94" s="81">
        <v>20000410</v>
      </c>
      <c r="B94" s="80" t="s">
        <v>340</v>
      </c>
      <c r="C94" s="80" t="s">
        <v>5702</v>
      </c>
    </row>
    <row r="95" spans="1:3" s="79" customFormat="1" ht="19.149999999999999" customHeight="1" x14ac:dyDescent="0.2">
      <c r="A95" s="81">
        <v>20000412</v>
      </c>
      <c r="B95" s="80" t="s">
        <v>341</v>
      </c>
      <c r="C95" s="82" t="s">
        <v>5703</v>
      </c>
    </row>
    <row r="96" spans="1:3" s="79" customFormat="1" ht="38.85" customHeight="1" x14ac:dyDescent="0.2">
      <c r="A96" s="81">
        <v>20000495</v>
      </c>
      <c r="B96" s="80" t="s">
        <v>344</v>
      </c>
      <c r="C96" s="82" t="s">
        <v>5704</v>
      </c>
    </row>
    <row r="97" spans="1:3" s="79" customFormat="1" ht="38.85" customHeight="1" x14ac:dyDescent="0.2">
      <c r="A97" s="81">
        <v>20000496</v>
      </c>
      <c r="B97" s="80" t="s">
        <v>346</v>
      </c>
      <c r="C97" s="82" t="s">
        <v>5705</v>
      </c>
    </row>
    <row r="98" spans="1:3" s="79" customFormat="1" ht="38.85" customHeight="1" x14ac:dyDescent="0.2">
      <c r="A98" s="81">
        <v>20000529</v>
      </c>
      <c r="B98" s="80" t="s">
        <v>349</v>
      </c>
      <c r="C98" s="82" t="s">
        <v>5706</v>
      </c>
    </row>
    <row r="99" spans="1:3" s="79" customFormat="1" ht="28.7" customHeight="1" x14ac:dyDescent="0.2">
      <c r="A99" s="81">
        <v>20000530</v>
      </c>
      <c r="B99" s="80" t="s">
        <v>350</v>
      </c>
      <c r="C99" s="82" t="s">
        <v>5707</v>
      </c>
    </row>
    <row r="100" spans="1:3" s="79" customFormat="1" ht="38.85" customHeight="1" x14ac:dyDescent="0.2">
      <c r="A100" s="81">
        <v>20000533</v>
      </c>
      <c r="B100" s="80" t="s">
        <v>351</v>
      </c>
      <c r="C100" s="82" t="s">
        <v>5708</v>
      </c>
    </row>
    <row r="101" spans="1:3" s="79" customFormat="1" ht="59.1" customHeight="1" x14ac:dyDescent="0.2">
      <c r="A101" s="81">
        <v>20000593</v>
      </c>
      <c r="B101" s="80" t="s">
        <v>353</v>
      </c>
      <c r="C101" s="82" t="s">
        <v>5709</v>
      </c>
    </row>
    <row r="102" spans="1:3" s="79" customFormat="1" ht="89.1" customHeight="1" x14ac:dyDescent="0.2">
      <c r="A102" s="81">
        <v>20000595</v>
      </c>
      <c r="B102" s="80" t="s">
        <v>354</v>
      </c>
      <c r="C102" s="82" t="s">
        <v>5710</v>
      </c>
    </row>
    <row r="103" spans="1:3" s="79" customFormat="1" ht="78.95" customHeight="1" x14ac:dyDescent="0.2">
      <c r="A103" s="81">
        <v>20000604</v>
      </c>
      <c r="B103" s="80" t="s">
        <v>355</v>
      </c>
      <c r="C103" s="82" t="s">
        <v>5711</v>
      </c>
    </row>
    <row r="104" spans="1:3" s="79" customFormat="1" ht="179.1" customHeight="1" x14ac:dyDescent="0.2">
      <c r="A104" s="81">
        <v>20000620</v>
      </c>
      <c r="B104" s="80" t="s">
        <v>356</v>
      </c>
      <c r="C104" s="81" t="s">
        <v>5712</v>
      </c>
    </row>
    <row r="105" spans="1:3" s="79" customFormat="1" ht="68.849999999999994" customHeight="1" x14ac:dyDescent="0.2">
      <c r="A105" s="81">
        <v>20000622</v>
      </c>
      <c r="B105" s="80" t="s">
        <v>357</v>
      </c>
      <c r="C105" s="81" t="s">
        <v>5713</v>
      </c>
    </row>
    <row r="106" spans="1:3" s="79" customFormat="1" ht="49.15" customHeight="1" x14ac:dyDescent="0.2">
      <c r="A106" s="81">
        <v>20000623</v>
      </c>
      <c r="B106" s="80" t="s">
        <v>358</v>
      </c>
      <c r="C106" s="82" t="s">
        <v>5714</v>
      </c>
    </row>
    <row r="107" spans="1:3" s="79" customFormat="1" ht="78.95" customHeight="1" x14ac:dyDescent="0.2">
      <c r="A107" s="81">
        <v>20000626</v>
      </c>
      <c r="B107" s="80" t="s">
        <v>359</v>
      </c>
      <c r="C107" s="82" t="s">
        <v>5715</v>
      </c>
    </row>
    <row r="108" spans="1:3" s="79" customFormat="1" ht="59.1" customHeight="1" x14ac:dyDescent="0.2">
      <c r="A108" s="81">
        <v>20000628</v>
      </c>
      <c r="B108" s="80" t="s">
        <v>360</v>
      </c>
      <c r="C108" s="81" t="s">
        <v>5716</v>
      </c>
    </row>
    <row r="109" spans="1:3" s="79" customFormat="1" ht="59.1" customHeight="1" x14ac:dyDescent="0.2">
      <c r="A109" s="81">
        <v>20000629</v>
      </c>
      <c r="B109" s="80" t="s">
        <v>361</v>
      </c>
      <c r="C109" s="81" t="s">
        <v>5717</v>
      </c>
    </row>
    <row r="110" spans="1:3" s="79" customFormat="1" ht="89.1" customHeight="1" x14ac:dyDescent="0.2">
      <c r="A110" s="81">
        <v>20000630</v>
      </c>
      <c r="B110" s="80" t="s">
        <v>362</v>
      </c>
      <c r="C110" s="82" t="s">
        <v>5718</v>
      </c>
    </row>
    <row r="111" spans="1:3" s="79" customFormat="1" ht="99.2" customHeight="1" x14ac:dyDescent="0.2">
      <c r="A111" s="81">
        <v>20000632</v>
      </c>
      <c r="B111" s="80" t="s">
        <v>363</v>
      </c>
      <c r="C111" s="81" t="s">
        <v>5719</v>
      </c>
    </row>
    <row r="112" spans="1:3" s="79" customFormat="1" ht="89.1" customHeight="1" x14ac:dyDescent="0.2">
      <c r="A112" s="81">
        <v>20000666</v>
      </c>
      <c r="B112" s="80" t="s">
        <v>364</v>
      </c>
      <c r="C112" s="81" t="s">
        <v>5720</v>
      </c>
    </row>
    <row r="113" spans="1:3" s="79" customFormat="1" ht="19.149999999999999" customHeight="1" x14ac:dyDescent="0.2">
      <c r="A113" s="81">
        <v>20000667</v>
      </c>
      <c r="B113" s="80" t="s">
        <v>365</v>
      </c>
      <c r="C113" s="82" t="s">
        <v>5721</v>
      </c>
    </row>
    <row r="114" spans="1:3" s="79" customFormat="1" ht="78.95" customHeight="1" x14ac:dyDescent="0.2">
      <c r="A114" s="81">
        <v>20000668</v>
      </c>
      <c r="B114" s="80" t="s">
        <v>366</v>
      </c>
      <c r="C114" s="82" t="s">
        <v>5722</v>
      </c>
    </row>
    <row r="115" spans="1:3" s="79" customFormat="1" ht="49.15" customHeight="1" x14ac:dyDescent="0.2">
      <c r="A115" s="81">
        <v>20000669</v>
      </c>
      <c r="B115" s="80" t="s">
        <v>367</v>
      </c>
      <c r="C115" s="82" t="s">
        <v>5723</v>
      </c>
    </row>
    <row r="116" spans="1:3" s="79" customFormat="1" ht="68.849999999999994" customHeight="1" x14ac:dyDescent="0.2">
      <c r="A116" s="81">
        <v>20000674</v>
      </c>
      <c r="B116" s="80" t="s">
        <v>368</v>
      </c>
      <c r="C116" s="81" t="s">
        <v>5724</v>
      </c>
    </row>
    <row r="117" spans="1:3" s="79" customFormat="1" ht="109.35" customHeight="1" x14ac:dyDescent="0.2">
      <c r="A117" s="81">
        <v>20000675</v>
      </c>
      <c r="B117" s="80" t="s">
        <v>369</v>
      </c>
      <c r="C117" s="81" t="s">
        <v>5725</v>
      </c>
    </row>
    <row r="118" spans="1:3" s="79" customFormat="1" ht="89.1" customHeight="1" x14ac:dyDescent="0.2">
      <c r="A118" s="81">
        <v>20000676</v>
      </c>
      <c r="B118" s="80" t="s">
        <v>370</v>
      </c>
      <c r="C118" s="81" t="s">
        <v>5726</v>
      </c>
    </row>
    <row r="119" spans="1:3" s="79" customFormat="1" ht="68.849999999999994" customHeight="1" x14ac:dyDescent="0.2">
      <c r="A119" s="81">
        <v>20000678</v>
      </c>
      <c r="B119" s="80" t="s">
        <v>371</v>
      </c>
      <c r="C119" s="81" t="s">
        <v>5727</v>
      </c>
    </row>
    <row r="120" spans="1:3" s="79" customFormat="1" ht="109.35" customHeight="1" x14ac:dyDescent="0.2">
      <c r="A120" s="81">
        <v>20000700</v>
      </c>
      <c r="B120" s="80" t="s">
        <v>372</v>
      </c>
      <c r="C120" s="81" t="s">
        <v>5728</v>
      </c>
    </row>
    <row r="121" spans="1:3" s="79" customFormat="1" ht="28.7" customHeight="1" x14ac:dyDescent="0.2">
      <c r="A121" s="81">
        <v>20000807</v>
      </c>
      <c r="B121" s="80" t="s">
        <v>373</v>
      </c>
      <c r="C121" s="82" t="s">
        <v>5729</v>
      </c>
    </row>
    <row r="122" spans="1:3" s="79" customFormat="1" ht="28.7" customHeight="1" x14ac:dyDescent="0.2">
      <c r="A122" s="81">
        <v>20000809</v>
      </c>
      <c r="B122" s="80" t="s">
        <v>374</v>
      </c>
      <c r="C122" s="82" t="s">
        <v>5730</v>
      </c>
    </row>
    <row r="123" spans="1:3" s="79" customFormat="1" ht="28.7" customHeight="1" x14ac:dyDescent="0.2">
      <c r="A123" s="81">
        <v>20000810</v>
      </c>
      <c r="B123" s="80" t="s">
        <v>375</v>
      </c>
      <c r="C123" s="82" t="s">
        <v>5731</v>
      </c>
    </row>
    <row r="124" spans="1:3" s="79" customFormat="1" ht="28.7" customHeight="1" x14ac:dyDescent="0.2">
      <c r="A124" s="81">
        <v>20000812</v>
      </c>
      <c r="B124" s="80" t="s">
        <v>376</v>
      </c>
      <c r="C124" s="82" t="s">
        <v>5732</v>
      </c>
    </row>
    <row r="125" spans="1:3" s="79" customFormat="1" ht="28.7" customHeight="1" x14ac:dyDescent="0.2">
      <c r="A125" s="81">
        <v>20000815</v>
      </c>
      <c r="B125" s="80" t="s">
        <v>377</v>
      </c>
      <c r="C125" s="82" t="s">
        <v>5733</v>
      </c>
    </row>
    <row r="126" spans="1:3" s="79" customFormat="1" ht="68.849999999999994" customHeight="1" x14ac:dyDescent="0.2">
      <c r="A126" s="81">
        <v>20000817</v>
      </c>
      <c r="B126" s="80" t="s">
        <v>378</v>
      </c>
      <c r="C126" s="81" t="s">
        <v>5734</v>
      </c>
    </row>
    <row r="127" spans="1:3" s="79" customFormat="1" ht="49.15" customHeight="1" x14ac:dyDescent="0.2">
      <c r="A127" s="81">
        <v>20000819</v>
      </c>
      <c r="B127" s="80" t="s">
        <v>379</v>
      </c>
      <c r="C127" s="82" t="s">
        <v>5735</v>
      </c>
    </row>
    <row r="128" spans="1:3" s="79" customFormat="1" ht="49.15" customHeight="1" x14ac:dyDescent="0.2">
      <c r="A128" s="81">
        <v>20000833</v>
      </c>
      <c r="B128" s="80" t="s">
        <v>381</v>
      </c>
      <c r="C128" s="82" t="s">
        <v>5736</v>
      </c>
    </row>
    <row r="129" spans="1:3" s="79" customFormat="1" ht="68.849999999999994" customHeight="1" x14ac:dyDescent="0.2">
      <c r="A129" s="81">
        <v>20000837</v>
      </c>
      <c r="B129" s="80" t="s">
        <v>382</v>
      </c>
      <c r="C129" s="81" t="s">
        <v>5737</v>
      </c>
    </row>
    <row r="130" spans="1:3" s="79" customFormat="1" ht="19.149999999999999" customHeight="1" x14ac:dyDescent="0.2">
      <c r="A130" s="81">
        <v>20000853</v>
      </c>
      <c r="B130" s="80" t="s">
        <v>383</v>
      </c>
      <c r="C130" s="82" t="s">
        <v>5738</v>
      </c>
    </row>
    <row r="131" spans="1:3" s="79" customFormat="1" ht="59.1" customHeight="1" x14ac:dyDescent="0.2">
      <c r="A131" s="81">
        <v>20000861</v>
      </c>
      <c r="B131" s="80" t="s">
        <v>384</v>
      </c>
      <c r="C131" s="82" t="s">
        <v>5739</v>
      </c>
    </row>
    <row r="132" spans="1:3" s="79" customFormat="1" ht="28.7" customHeight="1" x14ac:dyDescent="0.2">
      <c r="A132" s="81">
        <v>20000899</v>
      </c>
      <c r="B132" s="80" t="s">
        <v>386</v>
      </c>
      <c r="C132" s="82" t="s">
        <v>5740</v>
      </c>
    </row>
    <row r="133" spans="1:3" s="79" customFormat="1" ht="28.7" customHeight="1" x14ac:dyDescent="0.2">
      <c r="A133" s="81">
        <v>20000914</v>
      </c>
      <c r="B133" s="80" t="s">
        <v>387</v>
      </c>
      <c r="C133" s="82" t="s">
        <v>5741</v>
      </c>
    </row>
    <row r="134" spans="1:3" s="79" customFormat="1" ht="19.149999999999999" customHeight="1" x14ac:dyDescent="0.2">
      <c r="A134" s="81">
        <v>20000920</v>
      </c>
      <c r="B134" s="80" t="s">
        <v>388</v>
      </c>
      <c r="C134" s="82" t="s">
        <v>5742</v>
      </c>
    </row>
    <row r="135" spans="1:3" s="79" customFormat="1" ht="19.149999999999999" customHeight="1" x14ac:dyDescent="0.2">
      <c r="A135" s="81">
        <v>20000921</v>
      </c>
      <c r="B135" s="80" t="s">
        <v>389</v>
      </c>
      <c r="C135" s="80" t="s">
        <v>5743</v>
      </c>
    </row>
    <row r="136" spans="1:3" s="79" customFormat="1" ht="19.149999999999999" customHeight="1" x14ac:dyDescent="0.2">
      <c r="A136" s="81">
        <v>20000922</v>
      </c>
      <c r="B136" s="80" t="s">
        <v>390</v>
      </c>
      <c r="C136" s="82" t="s">
        <v>5744</v>
      </c>
    </row>
    <row r="137" spans="1:3" s="79" customFormat="1" ht="19.149999999999999" customHeight="1" x14ac:dyDescent="0.2">
      <c r="A137" s="81">
        <v>20000923</v>
      </c>
      <c r="B137" s="80" t="s">
        <v>391</v>
      </c>
      <c r="C137" s="80" t="s">
        <v>5745</v>
      </c>
    </row>
    <row r="138" spans="1:3" s="79" customFormat="1" ht="19.149999999999999" customHeight="1" x14ac:dyDescent="0.2">
      <c r="A138" s="81">
        <v>20000924</v>
      </c>
      <c r="B138" s="80" t="s">
        <v>392</v>
      </c>
      <c r="C138" s="82" t="s">
        <v>5746</v>
      </c>
    </row>
    <row r="139" spans="1:3" s="79" customFormat="1" ht="28.7" customHeight="1" x14ac:dyDescent="0.2">
      <c r="A139" s="81">
        <v>20000927</v>
      </c>
      <c r="B139" s="80" t="s">
        <v>393</v>
      </c>
      <c r="C139" s="82" t="s">
        <v>5747</v>
      </c>
    </row>
    <row r="140" spans="1:3" s="79" customFormat="1" ht="28.7" customHeight="1" x14ac:dyDescent="0.2">
      <c r="A140" s="81">
        <v>20000929</v>
      </c>
      <c r="B140" s="80" t="s">
        <v>394</v>
      </c>
      <c r="C140" s="82" t="s">
        <v>5748</v>
      </c>
    </row>
    <row r="141" spans="1:3" s="79" customFormat="1" ht="38.85" customHeight="1" x14ac:dyDescent="0.2">
      <c r="A141" s="81">
        <v>20000937</v>
      </c>
      <c r="B141" s="80" t="s">
        <v>395</v>
      </c>
      <c r="C141" s="82" t="s">
        <v>5749</v>
      </c>
    </row>
    <row r="142" spans="1:3" s="79" customFormat="1" ht="59.1" customHeight="1" x14ac:dyDescent="0.2">
      <c r="A142" s="81">
        <v>20000944</v>
      </c>
      <c r="B142" s="80" t="s">
        <v>396</v>
      </c>
      <c r="C142" s="82" t="s">
        <v>5750</v>
      </c>
    </row>
    <row r="143" spans="1:3" s="79" customFormat="1" ht="38.85" customHeight="1" x14ac:dyDescent="0.2">
      <c r="A143" s="81">
        <v>20000954</v>
      </c>
      <c r="B143" s="80" t="s">
        <v>400</v>
      </c>
      <c r="C143" s="82" t="s">
        <v>5751</v>
      </c>
    </row>
    <row r="144" spans="1:3" s="79" customFormat="1" ht="38.85" customHeight="1" x14ac:dyDescent="0.2">
      <c r="A144" s="81">
        <v>20000955</v>
      </c>
      <c r="B144" s="80" t="s">
        <v>401</v>
      </c>
      <c r="C144" s="82" t="s">
        <v>5751</v>
      </c>
    </row>
    <row r="145" spans="1:3" s="79" customFormat="1" ht="38.85" customHeight="1" x14ac:dyDescent="0.2">
      <c r="A145" s="81">
        <v>20000969</v>
      </c>
      <c r="B145" s="80" t="s">
        <v>403</v>
      </c>
      <c r="C145" s="82" t="s">
        <v>5752</v>
      </c>
    </row>
    <row r="146" spans="1:3" s="79" customFormat="1" ht="28.7" customHeight="1" x14ac:dyDescent="0.2">
      <c r="A146" s="81">
        <v>20000973</v>
      </c>
      <c r="B146" s="80" t="s">
        <v>404</v>
      </c>
      <c r="C146" s="82" t="s">
        <v>5753</v>
      </c>
    </row>
    <row r="147" spans="1:3" s="79" customFormat="1" ht="28.7" customHeight="1" x14ac:dyDescent="0.2">
      <c r="A147" s="81">
        <v>20000978</v>
      </c>
      <c r="B147" s="80" t="s">
        <v>405</v>
      </c>
      <c r="C147" s="82" t="s">
        <v>5754</v>
      </c>
    </row>
    <row r="148" spans="1:3" s="79" customFormat="1" ht="28.7" customHeight="1" x14ac:dyDescent="0.2">
      <c r="A148" s="81">
        <v>20000979</v>
      </c>
      <c r="B148" s="80" t="s">
        <v>406</v>
      </c>
      <c r="C148" s="82" t="s">
        <v>5755</v>
      </c>
    </row>
    <row r="149" spans="1:3" s="79" customFormat="1" ht="28.7" customHeight="1" x14ac:dyDescent="0.2">
      <c r="A149" s="81">
        <v>20000982</v>
      </c>
      <c r="B149" s="80" t="s">
        <v>407</v>
      </c>
      <c r="C149" s="82" t="s">
        <v>5756</v>
      </c>
    </row>
    <row r="150" spans="1:3" s="79" customFormat="1" ht="28.7" customHeight="1" x14ac:dyDescent="0.2">
      <c r="A150" s="81">
        <v>20000983</v>
      </c>
      <c r="B150" s="80" t="s">
        <v>408</v>
      </c>
      <c r="C150" s="82" t="s">
        <v>5757</v>
      </c>
    </row>
    <row r="151" spans="1:3" s="79" customFormat="1" ht="28.7" customHeight="1" x14ac:dyDescent="0.2">
      <c r="A151" s="81">
        <v>20000984</v>
      </c>
      <c r="B151" s="80" t="s">
        <v>409</v>
      </c>
      <c r="C151" s="82" t="s">
        <v>5758</v>
      </c>
    </row>
    <row r="152" spans="1:3" s="79" customFormat="1" ht="28.7" customHeight="1" x14ac:dyDescent="0.2">
      <c r="A152" s="81">
        <v>20000986</v>
      </c>
      <c r="B152" s="80" t="s">
        <v>410</v>
      </c>
      <c r="C152" s="82" t="s">
        <v>5759</v>
      </c>
    </row>
    <row r="153" spans="1:3" s="79" customFormat="1" ht="28.7" customHeight="1" x14ac:dyDescent="0.2">
      <c r="A153" s="81">
        <v>20000996</v>
      </c>
      <c r="B153" s="80" t="s">
        <v>411</v>
      </c>
      <c r="C153" s="82" t="s">
        <v>5760</v>
      </c>
    </row>
    <row r="154" spans="1:3" s="79" customFormat="1" ht="38.85" customHeight="1" x14ac:dyDescent="0.2">
      <c r="A154" s="81">
        <v>20001006</v>
      </c>
      <c r="B154" s="80" t="s">
        <v>412</v>
      </c>
      <c r="C154" s="82" t="s">
        <v>5761</v>
      </c>
    </row>
    <row r="155" spans="1:3" s="79" customFormat="1" ht="38.85" customHeight="1" x14ac:dyDescent="0.2">
      <c r="A155" s="81">
        <v>20001010</v>
      </c>
      <c r="B155" s="80" t="s">
        <v>11323</v>
      </c>
      <c r="C155" s="82" t="s">
        <v>5762</v>
      </c>
    </row>
    <row r="156" spans="1:3" s="79" customFormat="1" ht="38.85" customHeight="1" x14ac:dyDescent="0.2">
      <c r="A156" s="81">
        <v>20001011</v>
      </c>
      <c r="B156" s="80" t="s">
        <v>11324</v>
      </c>
      <c r="C156" s="82" t="s">
        <v>5763</v>
      </c>
    </row>
    <row r="157" spans="1:3" s="79" customFormat="1" ht="38.85" customHeight="1" x14ac:dyDescent="0.2">
      <c r="A157" s="81">
        <v>20001012</v>
      </c>
      <c r="B157" s="80" t="s">
        <v>11325</v>
      </c>
      <c r="C157" s="82" t="s">
        <v>5764</v>
      </c>
    </row>
    <row r="158" spans="1:3" s="79" customFormat="1" ht="38.85" customHeight="1" x14ac:dyDescent="0.2">
      <c r="A158" s="81">
        <v>20001013</v>
      </c>
      <c r="B158" s="80" t="s">
        <v>413</v>
      </c>
      <c r="C158" s="82" t="s">
        <v>5765</v>
      </c>
    </row>
    <row r="159" spans="1:3" s="79" customFormat="1" ht="28.7" customHeight="1" x14ac:dyDescent="0.2">
      <c r="A159" s="81">
        <v>20001028</v>
      </c>
      <c r="B159" s="80" t="s">
        <v>415</v>
      </c>
      <c r="C159" s="82" t="s">
        <v>5766</v>
      </c>
    </row>
    <row r="160" spans="1:3" s="79" customFormat="1" ht="49.15" customHeight="1" x14ac:dyDescent="0.2">
      <c r="A160" s="81">
        <v>20001032</v>
      </c>
      <c r="B160" s="80" t="s">
        <v>416</v>
      </c>
      <c r="C160" s="82" t="s">
        <v>5767</v>
      </c>
    </row>
    <row r="161" spans="1:3" s="79" customFormat="1" ht="49.15" customHeight="1" x14ac:dyDescent="0.2">
      <c r="A161" s="81">
        <v>20001033</v>
      </c>
      <c r="B161" s="80" t="s">
        <v>417</v>
      </c>
      <c r="C161" s="82" t="s">
        <v>5768</v>
      </c>
    </row>
    <row r="162" spans="1:3" s="79" customFormat="1" ht="59.1" customHeight="1" x14ac:dyDescent="0.2">
      <c r="A162" s="81">
        <v>20001034</v>
      </c>
      <c r="B162" s="80" t="s">
        <v>418</v>
      </c>
      <c r="C162" s="82" t="s">
        <v>5769</v>
      </c>
    </row>
    <row r="163" spans="1:3" s="79" customFormat="1" ht="59.1" customHeight="1" x14ac:dyDescent="0.2">
      <c r="A163" s="81">
        <v>20001035</v>
      </c>
      <c r="B163" s="80" t="s">
        <v>419</v>
      </c>
      <c r="C163" s="82" t="s">
        <v>5770</v>
      </c>
    </row>
    <row r="164" spans="1:3" s="79" customFormat="1" ht="49.15" customHeight="1" x14ac:dyDescent="0.2">
      <c r="A164" s="81">
        <v>20001036</v>
      </c>
      <c r="B164" s="80" t="s">
        <v>420</v>
      </c>
      <c r="C164" s="82" t="s">
        <v>5771</v>
      </c>
    </row>
    <row r="165" spans="1:3" s="79" customFormat="1" ht="49.15" customHeight="1" x14ac:dyDescent="0.2">
      <c r="A165" s="81">
        <v>20001038</v>
      </c>
      <c r="B165" s="80" t="s">
        <v>421</v>
      </c>
      <c r="C165" s="82" t="s">
        <v>5772</v>
      </c>
    </row>
    <row r="166" spans="1:3" s="79" customFormat="1" ht="49.15" customHeight="1" x14ac:dyDescent="0.2">
      <c r="A166" s="81">
        <v>20001039</v>
      </c>
      <c r="B166" s="80" t="s">
        <v>422</v>
      </c>
      <c r="C166" s="82" t="s">
        <v>5773</v>
      </c>
    </row>
    <row r="167" spans="1:3" s="79" customFormat="1" ht="49.15" customHeight="1" x14ac:dyDescent="0.2">
      <c r="A167" s="81">
        <v>20001040</v>
      </c>
      <c r="B167" s="80" t="s">
        <v>423</v>
      </c>
      <c r="C167" s="82" t="s">
        <v>5774</v>
      </c>
    </row>
    <row r="168" spans="1:3" s="79" customFormat="1" ht="49.15" customHeight="1" x14ac:dyDescent="0.2">
      <c r="A168" s="81">
        <v>20001041</v>
      </c>
      <c r="B168" s="80" t="s">
        <v>424</v>
      </c>
      <c r="C168" s="82" t="s">
        <v>5775</v>
      </c>
    </row>
    <row r="169" spans="1:3" s="79" customFormat="1" ht="49.15" customHeight="1" x14ac:dyDescent="0.2">
      <c r="A169" s="81">
        <v>20001042</v>
      </c>
      <c r="B169" s="80" t="s">
        <v>425</v>
      </c>
      <c r="C169" s="82" t="s">
        <v>5776</v>
      </c>
    </row>
    <row r="170" spans="1:3" s="79" customFormat="1" ht="59.1" customHeight="1" x14ac:dyDescent="0.2">
      <c r="A170" s="81">
        <v>20001043</v>
      </c>
      <c r="B170" s="80" t="s">
        <v>426</v>
      </c>
      <c r="C170" s="82" t="s">
        <v>5777</v>
      </c>
    </row>
    <row r="171" spans="1:3" s="79" customFormat="1" ht="49.15" customHeight="1" x14ac:dyDescent="0.2">
      <c r="A171" s="81">
        <v>20001044</v>
      </c>
      <c r="B171" s="80" t="s">
        <v>427</v>
      </c>
      <c r="C171" s="82" t="s">
        <v>5778</v>
      </c>
    </row>
    <row r="172" spans="1:3" s="79" customFormat="1" ht="49.15" customHeight="1" x14ac:dyDescent="0.2">
      <c r="A172" s="81">
        <v>20001045</v>
      </c>
      <c r="B172" s="80" t="s">
        <v>428</v>
      </c>
      <c r="C172" s="82" t="s">
        <v>5779</v>
      </c>
    </row>
    <row r="173" spans="1:3" s="79" customFormat="1" ht="49.15" customHeight="1" x14ac:dyDescent="0.2">
      <c r="A173" s="81">
        <v>20001046</v>
      </c>
      <c r="B173" s="80" t="s">
        <v>429</v>
      </c>
      <c r="C173" s="82" t="s">
        <v>5780</v>
      </c>
    </row>
    <row r="174" spans="1:3" s="79" customFormat="1" ht="49.15" customHeight="1" x14ac:dyDescent="0.2">
      <c r="A174" s="81">
        <v>20001047</v>
      </c>
      <c r="B174" s="80" t="s">
        <v>430</v>
      </c>
      <c r="C174" s="82" t="s">
        <v>5781</v>
      </c>
    </row>
    <row r="175" spans="1:3" s="79" customFormat="1" ht="49.15" customHeight="1" x14ac:dyDescent="0.2">
      <c r="A175" s="81">
        <v>20001049</v>
      </c>
      <c r="B175" s="80" t="s">
        <v>431</v>
      </c>
      <c r="C175" s="82" t="s">
        <v>5782</v>
      </c>
    </row>
    <row r="176" spans="1:3" s="79" customFormat="1" ht="49.15" customHeight="1" x14ac:dyDescent="0.2">
      <c r="A176" s="81">
        <v>20001050</v>
      </c>
      <c r="B176" s="80" t="s">
        <v>432</v>
      </c>
      <c r="C176" s="82" t="s">
        <v>5783</v>
      </c>
    </row>
    <row r="177" spans="1:3" s="79" customFormat="1" ht="49.15" customHeight="1" x14ac:dyDescent="0.2">
      <c r="A177" s="81">
        <v>20001052</v>
      </c>
      <c r="B177" s="80" t="s">
        <v>433</v>
      </c>
      <c r="C177" s="82" t="s">
        <v>5784</v>
      </c>
    </row>
    <row r="178" spans="1:3" s="79" customFormat="1" ht="49.15" customHeight="1" x14ac:dyDescent="0.2">
      <c r="A178" s="81">
        <v>20001055</v>
      </c>
      <c r="B178" s="80" t="s">
        <v>434</v>
      </c>
      <c r="C178" s="82" t="s">
        <v>5785</v>
      </c>
    </row>
    <row r="179" spans="1:3" s="79" customFormat="1" ht="28.7" customHeight="1" x14ac:dyDescent="0.2">
      <c r="A179" s="81">
        <v>20001059</v>
      </c>
      <c r="B179" s="80" t="s">
        <v>435</v>
      </c>
      <c r="C179" s="82" t="s">
        <v>5786</v>
      </c>
    </row>
    <row r="180" spans="1:3" s="79" customFormat="1" ht="19.149999999999999" customHeight="1" x14ac:dyDescent="0.2">
      <c r="A180" s="81">
        <v>20001060</v>
      </c>
      <c r="B180" s="80" t="s">
        <v>436</v>
      </c>
      <c r="C180" s="82" t="s">
        <v>5787</v>
      </c>
    </row>
    <row r="181" spans="1:3" s="79" customFormat="1" ht="28.7" customHeight="1" x14ac:dyDescent="0.2">
      <c r="A181" s="81">
        <v>20001061</v>
      </c>
      <c r="B181" s="80" t="s">
        <v>437</v>
      </c>
      <c r="C181" s="82" t="s">
        <v>5788</v>
      </c>
    </row>
    <row r="182" spans="1:3" s="79" customFormat="1" ht="19.149999999999999" customHeight="1" x14ac:dyDescent="0.2">
      <c r="A182" s="81">
        <v>20001069</v>
      </c>
      <c r="B182" s="80" t="s">
        <v>438</v>
      </c>
      <c r="C182" s="80"/>
    </row>
    <row r="183" spans="1:3" s="79" customFormat="1" ht="19.149999999999999" customHeight="1" x14ac:dyDescent="0.2">
      <c r="A183" s="81">
        <v>20001086</v>
      </c>
      <c r="B183" s="80" t="s">
        <v>439</v>
      </c>
      <c r="C183" s="80" t="s">
        <v>5789</v>
      </c>
    </row>
    <row r="184" spans="1:3" s="79" customFormat="1" ht="19.149999999999999" customHeight="1" x14ac:dyDescent="0.2">
      <c r="A184" s="81">
        <v>20001087</v>
      </c>
      <c r="B184" s="80" t="s">
        <v>441</v>
      </c>
      <c r="C184" s="80" t="s">
        <v>5790</v>
      </c>
    </row>
    <row r="185" spans="1:3" s="79" customFormat="1" ht="19.149999999999999" customHeight="1" x14ac:dyDescent="0.2">
      <c r="A185" s="81">
        <v>20001088</v>
      </c>
      <c r="B185" s="80" t="s">
        <v>442</v>
      </c>
      <c r="C185" s="80" t="s">
        <v>5791</v>
      </c>
    </row>
    <row r="186" spans="1:3" s="79" customFormat="1" ht="19.149999999999999" customHeight="1" x14ac:dyDescent="0.2">
      <c r="A186" s="81">
        <v>20001092</v>
      </c>
      <c r="B186" s="80" t="s">
        <v>443</v>
      </c>
      <c r="C186" s="80" t="s">
        <v>5792</v>
      </c>
    </row>
    <row r="187" spans="1:3" s="79" customFormat="1" ht="19.149999999999999" customHeight="1" x14ac:dyDescent="0.2">
      <c r="A187" s="81">
        <v>20001093</v>
      </c>
      <c r="B187" s="80" t="s">
        <v>444</v>
      </c>
      <c r="C187" s="80" t="s">
        <v>5793</v>
      </c>
    </row>
    <row r="188" spans="1:3" s="79" customFormat="1" ht="19.149999999999999" customHeight="1" x14ac:dyDescent="0.2">
      <c r="A188" s="81">
        <v>20001097</v>
      </c>
      <c r="B188" s="80" t="s">
        <v>445</v>
      </c>
      <c r="C188" s="80" t="s">
        <v>5794</v>
      </c>
    </row>
    <row r="189" spans="1:3" s="79" customFormat="1" ht="59.1" customHeight="1" x14ac:dyDescent="0.2">
      <c r="A189" s="81">
        <v>20001099</v>
      </c>
      <c r="B189" s="80" t="s">
        <v>446</v>
      </c>
      <c r="C189" s="82" t="s">
        <v>5795</v>
      </c>
    </row>
    <row r="190" spans="1:3" s="79" customFormat="1" ht="19.149999999999999" customHeight="1" x14ac:dyDescent="0.2">
      <c r="A190" s="81">
        <v>20001101</v>
      </c>
      <c r="B190" s="80" t="s">
        <v>447</v>
      </c>
      <c r="C190" s="80" t="s">
        <v>5796</v>
      </c>
    </row>
    <row r="191" spans="1:3" s="79" customFormat="1" ht="28.7" customHeight="1" x14ac:dyDescent="0.2">
      <c r="A191" s="81">
        <v>20001103</v>
      </c>
      <c r="B191" s="80" t="s">
        <v>448</v>
      </c>
      <c r="C191" s="82" t="s">
        <v>5797</v>
      </c>
    </row>
    <row r="192" spans="1:3" s="79" customFormat="1" ht="19.149999999999999" customHeight="1" x14ac:dyDescent="0.2">
      <c r="A192" s="81">
        <v>20001104</v>
      </c>
      <c r="B192" s="80" t="s">
        <v>449</v>
      </c>
      <c r="C192" s="80" t="s">
        <v>5798</v>
      </c>
    </row>
    <row r="193" spans="1:3" s="79" customFormat="1" ht="28.7" customHeight="1" x14ac:dyDescent="0.2">
      <c r="A193" s="81">
        <v>20001105</v>
      </c>
      <c r="B193" s="80" t="s">
        <v>450</v>
      </c>
      <c r="C193" s="82" t="s">
        <v>5799</v>
      </c>
    </row>
    <row r="194" spans="1:3" s="79" customFormat="1" ht="19.149999999999999" customHeight="1" x14ac:dyDescent="0.2">
      <c r="A194" s="81">
        <v>20001106</v>
      </c>
      <c r="B194" s="80" t="s">
        <v>451</v>
      </c>
      <c r="C194" s="80" t="s">
        <v>5800</v>
      </c>
    </row>
    <row r="195" spans="1:3" s="79" customFormat="1" ht="19.149999999999999" customHeight="1" x14ac:dyDescent="0.2">
      <c r="A195" s="81">
        <v>20001107</v>
      </c>
      <c r="B195" s="80" t="s">
        <v>452</v>
      </c>
      <c r="C195" s="80" t="s">
        <v>5801</v>
      </c>
    </row>
    <row r="196" spans="1:3" s="79" customFormat="1" ht="19.149999999999999" customHeight="1" x14ac:dyDescent="0.2">
      <c r="A196" s="81">
        <v>20001108</v>
      </c>
      <c r="B196" s="80" t="s">
        <v>453</v>
      </c>
      <c r="C196" s="82" t="s">
        <v>5802</v>
      </c>
    </row>
    <row r="197" spans="1:3" s="79" customFormat="1" ht="19.149999999999999" customHeight="1" x14ac:dyDescent="0.2">
      <c r="A197" s="81">
        <v>20001109</v>
      </c>
      <c r="B197" s="80" t="s">
        <v>454</v>
      </c>
      <c r="C197" s="80" t="s">
        <v>5803</v>
      </c>
    </row>
    <row r="198" spans="1:3" s="79" customFormat="1" ht="19.149999999999999" customHeight="1" x14ac:dyDescent="0.2">
      <c r="A198" s="81">
        <v>20001110</v>
      </c>
      <c r="B198" s="80" t="s">
        <v>455</v>
      </c>
      <c r="C198" s="80" t="s">
        <v>5804</v>
      </c>
    </row>
    <row r="199" spans="1:3" s="79" customFormat="1" ht="19.149999999999999" customHeight="1" x14ac:dyDescent="0.2">
      <c r="A199" s="81">
        <v>20001113</v>
      </c>
      <c r="B199" s="80" t="s">
        <v>456</v>
      </c>
      <c r="C199" s="82" t="s">
        <v>5805</v>
      </c>
    </row>
    <row r="200" spans="1:3" s="79" customFormat="1" ht="19.149999999999999" customHeight="1" x14ac:dyDescent="0.2">
      <c r="A200" s="81">
        <v>20001114</v>
      </c>
      <c r="B200" s="80" t="s">
        <v>457</v>
      </c>
      <c r="C200" s="80" t="s">
        <v>5806</v>
      </c>
    </row>
    <row r="201" spans="1:3" s="79" customFormat="1" ht="19.149999999999999" customHeight="1" x14ac:dyDescent="0.2">
      <c r="A201" s="81">
        <v>20001116</v>
      </c>
      <c r="B201" s="80" t="s">
        <v>458</v>
      </c>
      <c r="C201" s="82" t="s">
        <v>5807</v>
      </c>
    </row>
    <row r="202" spans="1:3" s="79" customFormat="1" ht="19.149999999999999" customHeight="1" x14ac:dyDescent="0.2">
      <c r="A202" s="81">
        <v>20001117</v>
      </c>
      <c r="B202" s="80" t="s">
        <v>459</v>
      </c>
      <c r="C202" s="82" t="s">
        <v>5808</v>
      </c>
    </row>
    <row r="203" spans="1:3" s="79" customFormat="1" ht="19.149999999999999" customHeight="1" x14ac:dyDescent="0.2">
      <c r="A203" s="81">
        <v>20001118</v>
      </c>
      <c r="B203" s="80" t="s">
        <v>460</v>
      </c>
      <c r="C203" s="82" t="s">
        <v>5809</v>
      </c>
    </row>
    <row r="204" spans="1:3" s="79" customFormat="1" ht="19.149999999999999" customHeight="1" x14ac:dyDescent="0.2">
      <c r="A204" s="81">
        <v>20001119</v>
      </c>
      <c r="B204" s="80" t="s">
        <v>461</v>
      </c>
      <c r="C204" s="82" t="s">
        <v>5810</v>
      </c>
    </row>
    <row r="205" spans="1:3" s="79" customFormat="1" ht="19.149999999999999" customHeight="1" x14ac:dyDescent="0.2">
      <c r="A205" s="81">
        <v>20001120</v>
      </c>
      <c r="B205" s="80" t="s">
        <v>462</v>
      </c>
      <c r="C205" s="82" t="s">
        <v>5811</v>
      </c>
    </row>
    <row r="206" spans="1:3" s="79" customFormat="1" ht="28.7" customHeight="1" x14ac:dyDescent="0.2">
      <c r="A206" s="81">
        <v>20001121</v>
      </c>
      <c r="B206" s="80" t="s">
        <v>463</v>
      </c>
      <c r="C206" s="82" t="s">
        <v>5812</v>
      </c>
    </row>
    <row r="207" spans="1:3" s="79" customFormat="1" ht="19.149999999999999" customHeight="1" x14ac:dyDescent="0.2">
      <c r="A207" s="81">
        <v>20001122</v>
      </c>
      <c r="B207" s="80" t="s">
        <v>464</v>
      </c>
      <c r="C207" s="80" t="s">
        <v>5813</v>
      </c>
    </row>
    <row r="208" spans="1:3" s="79" customFormat="1" ht="59.1" customHeight="1" x14ac:dyDescent="0.2">
      <c r="A208" s="81">
        <v>20001123</v>
      </c>
      <c r="B208" s="80" t="s">
        <v>465</v>
      </c>
      <c r="C208" s="82" t="s">
        <v>5814</v>
      </c>
    </row>
    <row r="209" spans="1:3" s="79" customFormat="1" ht="19.149999999999999" customHeight="1" x14ac:dyDescent="0.2">
      <c r="A209" s="81">
        <v>20001124</v>
      </c>
      <c r="B209" s="80" t="s">
        <v>466</v>
      </c>
      <c r="C209" s="80" t="s">
        <v>5815</v>
      </c>
    </row>
    <row r="210" spans="1:3" s="79" customFormat="1" ht="19.149999999999999" customHeight="1" x14ac:dyDescent="0.2">
      <c r="A210" s="81">
        <v>20001125</v>
      </c>
      <c r="B210" s="80" t="s">
        <v>467</v>
      </c>
      <c r="C210" s="80" t="s">
        <v>5816</v>
      </c>
    </row>
    <row r="211" spans="1:3" s="79" customFormat="1" ht="19.149999999999999" customHeight="1" x14ac:dyDescent="0.2">
      <c r="A211" s="81">
        <v>20001126</v>
      </c>
      <c r="B211" s="80" t="s">
        <v>468</v>
      </c>
      <c r="C211" s="80" t="s">
        <v>219</v>
      </c>
    </row>
    <row r="212" spans="1:3" s="79" customFormat="1" ht="19.149999999999999" customHeight="1" x14ac:dyDescent="0.2">
      <c r="A212" s="81">
        <v>20001193</v>
      </c>
      <c r="B212" s="80" t="s">
        <v>469</v>
      </c>
      <c r="C212" s="80" t="s">
        <v>5817</v>
      </c>
    </row>
    <row r="213" spans="1:3" s="79" customFormat="1" ht="19.149999999999999" customHeight="1" x14ac:dyDescent="0.2">
      <c r="A213" s="81">
        <v>20001195</v>
      </c>
      <c r="B213" s="80" t="s">
        <v>470</v>
      </c>
      <c r="C213" s="82" t="s">
        <v>5818</v>
      </c>
    </row>
    <row r="214" spans="1:3" s="79" customFormat="1" ht="19.149999999999999" customHeight="1" x14ac:dyDescent="0.2">
      <c r="A214" s="81">
        <v>20001196</v>
      </c>
      <c r="B214" s="80" t="s">
        <v>471</v>
      </c>
      <c r="C214" s="80" t="s">
        <v>5819</v>
      </c>
    </row>
    <row r="215" spans="1:3" s="79" customFormat="1" ht="19.149999999999999" customHeight="1" x14ac:dyDescent="0.2">
      <c r="A215" s="81">
        <v>20001199</v>
      </c>
      <c r="B215" s="80" t="s">
        <v>472</v>
      </c>
      <c r="C215" s="82" t="s">
        <v>5820</v>
      </c>
    </row>
    <row r="216" spans="1:3" s="79" customFormat="1" ht="19.149999999999999" customHeight="1" x14ac:dyDescent="0.2">
      <c r="A216" s="81">
        <v>20001213</v>
      </c>
      <c r="B216" s="80" t="s">
        <v>473</v>
      </c>
      <c r="C216" s="82" t="s">
        <v>5821</v>
      </c>
    </row>
    <row r="217" spans="1:3" s="79" customFormat="1" ht="19.149999999999999" customHeight="1" x14ac:dyDescent="0.2">
      <c r="A217" s="81">
        <v>20001215</v>
      </c>
      <c r="B217" s="80" t="s">
        <v>474</v>
      </c>
      <c r="C217" s="82" t="s">
        <v>5822</v>
      </c>
    </row>
    <row r="218" spans="1:3" s="79" customFormat="1" ht="19.149999999999999" customHeight="1" x14ac:dyDescent="0.2">
      <c r="A218" s="81">
        <v>20001218</v>
      </c>
      <c r="B218" s="80" t="s">
        <v>475</v>
      </c>
      <c r="C218" s="82" t="s">
        <v>5823</v>
      </c>
    </row>
    <row r="219" spans="1:3" s="79" customFormat="1" ht="19.149999999999999" customHeight="1" x14ac:dyDescent="0.2">
      <c r="A219" s="81">
        <v>20001221</v>
      </c>
      <c r="B219" s="80" t="s">
        <v>476</v>
      </c>
      <c r="C219" s="82" t="s">
        <v>5824</v>
      </c>
    </row>
    <row r="220" spans="1:3" s="79" customFormat="1" ht="19.149999999999999" customHeight="1" x14ac:dyDescent="0.2">
      <c r="A220" s="81">
        <v>20001224</v>
      </c>
      <c r="B220" s="80" t="s">
        <v>477</v>
      </c>
      <c r="C220" s="82" t="s">
        <v>5825</v>
      </c>
    </row>
    <row r="221" spans="1:3" s="79" customFormat="1" ht="19.149999999999999" customHeight="1" x14ac:dyDescent="0.2">
      <c r="A221" s="81">
        <v>20001229</v>
      </c>
      <c r="B221" s="80" t="s">
        <v>478</v>
      </c>
      <c r="C221" s="82" t="s">
        <v>5826</v>
      </c>
    </row>
    <row r="222" spans="1:3" s="79" customFormat="1" ht="19.149999999999999" customHeight="1" x14ac:dyDescent="0.2">
      <c r="A222" s="81">
        <v>20001232</v>
      </c>
      <c r="B222" s="80" t="s">
        <v>479</v>
      </c>
      <c r="C222" s="80" t="s">
        <v>5827</v>
      </c>
    </row>
    <row r="223" spans="1:3" s="79" customFormat="1" ht="19.149999999999999" customHeight="1" x14ac:dyDescent="0.2">
      <c r="A223" s="81">
        <v>20001233</v>
      </c>
      <c r="B223" s="80" t="s">
        <v>480</v>
      </c>
      <c r="C223" s="80" t="s">
        <v>5828</v>
      </c>
    </row>
    <row r="224" spans="1:3" s="79" customFormat="1" ht="28.7" customHeight="1" x14ac:dyDescent="0.2">
      <c r="A224" s="81">
        <v>20001238</v>
      </c>
      <c r="B224" s="80" t="s">
        <v>481</v>
      </c>
      <c r="C224" s="82" t="s">
        <v>5829</v>
      </c>
    </row>
    <row r="225" spans="1:3" s="79" customFormat="1" ht="28.7" customHeight="1" x14ac:dyDescent="0.2">
      <c r="A225" s="81">
        <v>20001240</v>
      </c>
      <c r="B225" s="80" t="s">
        <v>482</v>
      </c>
      <c r="C225" s="82" t="s">
        <v>5830</v>
      </c>
    </row>
    <row r="226" spans="1:3" s="79" customFormat="1" ht="28.7" customHeight="1" x14ac:dyDescent="0.2">
      <c r="A226" s="81">
        <v>20001242</v>
      </c>
      <c r="B226" s="80" t="s">
        <v>483</v>
      </c>
      <c r="C226" s="82" t="s">
        <v>5831</v>
      </c>
    </row>
    <row r="227" spans="1:3" s="79" customFormat="1" ht="19.149999999999999" customHeight="1" x14ac:dyDescent="0.2">
      <c r="A227" s="81">
        <v>20001244</v>
      </c>
      <c r="B227" s="80" t="s">
        <v>484</v>
      </c>
      <c r="C227" s="82" t="s">
        <v>5832</v>
      </c>
    </row>
    <row r="228" spans="1:3" s="79" customFormat="1" ht="19.149999999999999" customHeight="1" x14ac:dyDescent="0.2">
      <c r="A228" s="81">
        <v>20001246</v>
      </c>
      <c r="B228" s="80" t="s">
        <v>485</v>
      </c>
      <c r="C228" s="80" t="s">
        <v>5833</v>
      </c>
    </row>
    <row r="229" spans="1:3" s="79" customFormat="1" ht="19.149999999999999" customHeight="1" x14ac:dyDescent="0.2">
      <c r="A229" s="81">
        <v>20001247</v>
      </c>
      <c r="B229" s="80" t="s">
        <v>486</v>
      </c>
      <c r="C229" s="82" t="s">
        <v>5834</v>
      </c>
    </row>
    <row r="230" spans="1:3" s="79" customFormat="1" ht="19.149999999999999" customHeight="1" x14ac:dyDescent="0.2">
      <c r="A230" s="81">
        <v>20001253</v>
      </c>
      <c r="B230" s="80" t="s">
        <v>487</v>
      </c>
      <c r="C230" s="82" t="s">
        <v>5835</v>
      </c>
    </row>
    <row r="231" spans="1:3" s="79" customFormat="1" ht="19.149999999999999" customHeight="1" x14ac:dyDescent="0.2">
      <c r="A231" s="81">
        <v>20001254</v>
      </c>
      <c r="B231" s="80" t="s">
        <v>488</v>
      </c>
      <c r="C231" s="82" t="s">
        <v>5836</v>
      </c>
    </row>
    <row r="232" spans="1:3" s="79" customFormat="1" ht="19.149999999999999" customHeight="1" x14ac:dyDescent="0.2">
      <c r="A232" s="81">
        <v>20001255</v>
      </c>
      <c r="B232" s="80" t="s">
        <v>489</v>
      </c>
      <c r="C232" s="82" t="s">
        <v>5837</v>
      </c>
    </row>
    <row r="233" spans="1:3" s="79" customFormat="1" ht="19.149999999999999" customHeight="1" x14ac:dyDescent="0.2">
      <c r="A233" s="81">
        <v>20001256</v>
      </c>
      <c r="B233" s="80" t="s">
        <v>490</v>
      </c>
      <c r="C233" s="82" t="s">
        <v>5838</v>
      </c>
    </row>
    <row r="234" spans="1:3" s="79" customFormat="1" ht="19.149999999999999" customHeight="1" x14ac:dyDescent="0.2">
      <c r="A234" s="81">
        <v>20001257</v>
      </c>
      <c r="B234" s="80" t="s">
        <v>491</v>
      </c>
      <c r="C234" s="82" t="s">
        <v>5839</v>
      </c>
    </row>
    <row r="235" spans="1:3" s="79" customFormat="1" ht="19.149999999999999" customHeight="1" x14ac:dyDescent="0.2">
      <c r="A235" s="81">
        <v>20001258</v>
      </c>
      <c r="B235" s="80" t="s">
        <v>492</v>
      </c>
      <c r="C235" s="82" t="s">
        <v>5840</v>
      </c>
    </row>
    <row r="236" spans="1:3" s="79" customFormat="1" ht="19.149999999999999" customHeight="1" x14ac:dyDescent="0.2">
      <c r="A236" s="81">
        <v>20001259</v>
      </c>
      <c r="B236" s="80" t="s">
        <v>493</v>
      </c>
      <c r="C236" s="82" t="s">
        <v>5841</v>
      </c>
    </row>
    <row r="237" spans="1:3" s="79" customFormat="1" ht="19.149999999999999" customHeight="1" x14ac:dyDescent="0.2">
      <c r="A237" s="81">
        <v>20001266</v>
      </c>
      <c r="B237" s="80" t="s">
        <v>494</v>
      </c>
      <c r="C237" s="82" t="s">
        <v>5842</v>
      </c>
    </row>
    <row r="238" spans="1:3" s="79" customFormat="1" ht="19.149999999999999" customHeight="1" x14ac:dyDescent="0.2">
      <c r="A238" s="81">
        <v>20001267</v>
      </c>
      <c r="B238" s="80" t="s">
        <v>495</v>
      </c>
      <c r="C238" s="82" t="s">
        <v>5843</v>
      </c>
    </row>
    <row r="239" spans="1:3" s="79" customFormat="1" ht="19.149999999999999" customHeight="1" x14ac:dyDescent="0.2">
      <c r="A239" s="81">
        <v>20001268</v>
      </c>
      <c r="B239" s="80" t="s">
        <v>496</v>
      </c>
      <c r="C239" s="82" t="s">
        <v>5844</v>
      </c>
    </row>
    <row r="240" spans="1:3" s="79" customFormat="1" ht="19.149999999999999" customHeight="1" x14ac:dyDescent="0.2">
      <c r="A240" s="81">
        <v>20001269</v>
      </c>
      <c r="B240" s="80" t="s">
        <v>497</v>
      </c>
      <c r="C240" s="82" t="s">
        <v>5845</v>
      </c>
    </row>
    <row r="241" spans="1:3" s="79" customFormat="1" ht="19.149999999999999" customHeight="1" x14ac:dyDescent="0.2">
      <c r="A241" s="81">
        <v>20001270</v>
      </c>
      <c r="B241" s="80" t="s">
        <v>498</v>
      </c>
      <c r="C241" s="82" t="s">
        <v>5846</v>
      </c>
    </row>
    <row r="242" spans="1:3" s="79" customFormat="1" ht="19.149999999999999" customHeight="1" x14ac:dyDescent="0.2">
      <c r="A242" s="81">
        <v>20001271</v>
      </c>
      <c r="B242" s="80" t="s">
        <v>499</v>
      </c>
      <c r="C242" s="80" t="s">
        <v>5847</v>
      </c>
    </row>
    <row r="243" spans="1:3" s="79" customFormat="1" ht="28.7" customHeight="1" x14ac:dyDescent="0.2">
      <c r="A243" s="81">
        <v>20001273</v>
      </c>
      <c r="B243" s="80" t="s">
        <v>500</v>
      </c>
      <c r="C243" s="82" t="s">
        <v>5848</v>
      </c>
    </row>
    <row r="244" spans="1:3" s="79" customFormat="1" ht="19.149999999999999" customHeight="1" x14ac:dyDescent="0.2">
      <c r="A244" s="81">
        <v>20001279</v>
      </c>
      <c r="B244" s="80" t="s">
        <v>501</v>
      </c>
      <c r="C244" s="80" t="s">
        <v>5849</v>
      </c>
    </row>
    <row r="245" spans="1:3" s="79" customFormat="1" ht="19.149999999999999" customHeight="1" x14ac:dyDescent="0.2">
      <c r="A245" s="81">
        <v>20001280</v>
      </c>
      <c r="B245" s="80" t="s">
        <v>502</v>
      </c>
      <c r="C245" s="80" t="s">
        <v>5850</v>
      </c>
    </row>
    <row r="246" spans="1:3" s="79" customFormat="1" ht="38.85" customHeight="1" x14ac:dyDescent="0.2">
      <c r="A246" s="81">
        <v>20001281</v>
      </c>
      <c r="B246" s="80" t="s">
        <v>503</v>
      </c>
      <c r="C246" s="82" t="s">
        <v>5851</v>
      </c>
    </row>
    <row r="247" spans="1:3" s="79" customFormat="1" ht="28.7" customHeight="1" x14ac:dyDescent="0.2">
      <c r="A247" s="81">
        <v>20001360</v>
      </c>
      <c r="B247" s="80" t="s">
        <v>504</v>
      </c>
      <c r="C247" s="82" t="s">
        <v>5852</v>
      </c>
    </row>
    <row r="248" spans="1:3" s="79" customFormat="1" ht="59.1" customHeight="1" x14ac:dyDescent="0.2">
      <c r="A248" s="81">
        <v>20001363</v>
      </c>
      <c r="B248" s="80" t="s">
        <v>505</v>
      </c>
      <c r="C248" s="82" t="s">
        <v>5853</v>
      </c>
    </row>
    <row r="249" spans="1:3" s="79" customFormat="1" ht="59.1" customHeight="1" x14ac:dyDescent="0.2">
      <c r="A249" s="81">
        <v>20001365</v>
      </c>
      <c r="B249" s="80" t="s">
        <v>506</v>
      </c>
      <c r="C249" s="82" t="s">
        <v>5854</v>
      </c>
    </row>
    <row r="250" spans="1:3" s="79" customFormat="1" ht="59.1" customHeight="1" x14ac:dyDescent="0.2">
      <c r="A250" s="81">
        <v>20001366</v>
      </c>
      <c r="B250" s="80" t="s">
        <v>507</v>
      </c>
      <c r="C250" s="82" t="s">
        <v>5855</v>
      </c>
    </row>
    <row r="251" spans="1:3" s="79" customFormat="1" ht="59.1" customHeight="1" x14ac:dyDescent="0.2">
      <c r="A251" s="81">
        <v>20001367</v>
      </c>
      <c r="B251" s="80" t="s">
        <v>508</v>
      </c>
      <c r="C251" s="82" t="s">
        <v>5856</v>
      </c>
    </row>
    <row r="252" spans="1:3" s="79" customFormat="1" ht="59.1" customHeight="1" x14ac:dyDescent="0.2">
      <c r="A252" s="81">
        <v>20001368</v>
      </c>
      <c r="B252" s="80" t="s">
        <v>509</v>
      </c>
      <c r="C252" s="82" t="s">
        <v>5857</v>
      </c>
    </row>
    <row r="253" spans="1:3" s="79" customFormat="1" ht="19.149999999999999" customHeight="1" x14ac:dyDescent="0.2">
      <c r="A253" s="81">
        <v>20001369</v>
      </c>
      <c r="B253" s="80" t="s">
        <v>510</v>
      </c>
      <c r="C253" s="80" t="s">
        <v>5858</v>
      </c>
    </row>
    <row r="254" spans="1:3" s="79" customFormat="1" ht="59.1" customHeight="1" x14ac:dyDescent="0.2">
      <c r="A254" s="81">
        <v>20001370</v>
      </c>
      <c r="B254" s="80" t="s">
        <v>511</v>
      </c>
      <c r="C254" s="82" t="s">
        <v>5859</v>
      </c>
    </row>
    <row r="255" spans="1:3" s="79" customFormat="1" ht="59.1" customHeight="1" x14ac:dyDescent="0.2">
      <c r="A255" s="81">
        <v>20001371</v>
      </c>
      <c r="B255" s="80" t="s">
        <v>512</v>
      </c>
      <c r="C255" s="82" t="s">
        <v>5860</v>
      </c>
    </row>
    <row r="256" spans="1:3" s="79" customFormat="1" ht="59.1" customHeight="1" x14ac:dyDescent="0.2">
      <c r="A256" s="81">
        <v>20001372</v>
      </c>
      <c r="B256" s="80" t="s">
        <v>513</v>
      </c>
      <c r="C256" s="82" t="s">
        <v>5861</v>
      </c>
    </row>
    <row r="257" spans="1:3" s="79" customFormat="1" ht="59.1" customHeight="1" x14ac:dyDescent="0.2">
      <c r="A257" s="81">
        <v>20001373</v>
      </c>
      <c r="B257" s="80" t="s">
        <v>514</v>
      </c>
      <c r="C257" s="82" t="s">
        <v>5862</v>
      </c>
    </row>
    <row r="258" spans="1:3" s="79" customFormat="1" ht="59.1" customHeight="1" x14ac:dyDescent="0.2">
      <c r="A258" s="81">
        <v>20001374</v>
      </c>
      <c r="B258" s="80" t="s">
        <v>515</v>
      </c>
      <c r="C258" s="82" t="s">
        <v>5863</v>
      </c>
    </row>
    <row r="259" spans="1:3" s="79" customFormat="1" ht="59.1" customHeight="1" x14ac:dyDescent="0.2">
      <c r="A259" s="81">
        <v>20001375</v>
      </c>
      <c r="B259" s="80" t="s">
        <v>516</v>
      </c>
      <c r="C259" s="82" t="s">
        <v>5864</v>
      </c>
    </row>
    <row r="260" spans="1:3" s="79" customFormat="1" ht="59.1" customHeight="1" x14ac:dyDescent="0.2">
      <c r="A260" s="81">
        <v>20001376</v>
      </c>
      <c r="B260" s="80" t="s">
        <v>517</v>
      </c>
      <c r="C260" s="82" t="s">
        <v>5865</v>
      </c>
    </row>
    <row r="261" spans="1:3" s="79" customFormat="1" ht="59.1" customHeight="1" x14ac:dyDescent="0.2">
      <c r="A261" s="81">
        <v>20001377</v>
      </c>
      <c r="B261" s="80" t="s">
        <v>518</v>
      </c>
      <c r="C261" s="82" t="s">
        <v>5866</v>
      </c>
    </row>
    <row r="262" spans="1:3" s="79" customFormat="1" ht="59.1" customHeight="1" x14ac:dyDescent="0.2">
      <c r="A262" s="81">
        <v>20001378</v>
      </c>
      <c r="B262" s="80" t="s">
        <v>519</v>
      </c>
      <c r="C262" s="82" t="s">
        <v>5867</v>
      </c>
    </row>
    <row r="263" spans="1:3" s="79" customFormat="1" ht="59.1" customHeight="1" x14ac:dyDescent="0.2">
      <c r="A263" s="81">
        <v>20001382</v>
      </c>
      <c r="B263" s="80" t="s">
        <v>520</v>
      </c>
      <c r="C263" s="82" t="s">
        <v>5868</v>
      </c>
    </row>
    <row r="264" spans="1:3" s="79" customFormat="1" ht="59.1" customHeight="1" x14ac:dyDescent="0.2">
      <c r="A264" s="81">
        <v>20001385</v>
      </c>
      <c r="B264" s="80" t="s">
        <v>521</v>
      </c>
      <c r="C264" s="82" t="s">
        <v>5869</v>
      </c>
    </row>
    <row r="265" spans="1:3" s="79" customFormat="1" ht="59.1" customHeight="1" x14ac:dyDescent="0.2">
      <c r="A265" s="81">
        <v>20001387</v>
      </c>
      <c r="B265" s="80" t="s">
        <v>522</v>
      </c>
      <c r="C265" s="82" t="s">
        <v>5870</v>
      </c>
    </row>
    <row r="266" spans="1:3" s="79" customFormat="1" ht="59.1" customHeight="1" x14ac:dyDescent="0.2">
      <c r="A266" s="81">
        <v>20001388</v>
      </c>
      <c r="B266" s="80" t="s">
        <v>523</v>
      </c>
      <c r="C266" s="82" t="s">
        <v>5871</v>
      </c>
    </row>
    <row r="267" spans="1:3" s="79" customFormat="1" ht="59.1" customHeight="1" x14ac:dyDescent="0.2">
      <c r="A267" s="81">
        <v>20001389</v>
      </c>
      <c r="B267" s="80" t="s">
        <v>524</v>
      </c>
      <c r="C267" s="82" t="s">
        <v>5872</v>
      </c>
    </row>
    <row r="268" spans="1:3" s="79" customFormat="1" ht="59.1" customHeight="1" x14ac:dyDescent="0.2">
      <c r="A268" s="81">
        <v>20001390</v>
      </c>
      <c r="B268" s="80" t="s">
        <v>525</v>
      </c>
      <c r="C268" s="82" t="s">
        <v>5873</v>
      </c>
    </row>
    <row r="269" spans="1:3" s="79" customFormat="1" ht="59.1" customHeight="1" x14ac:dyDescent="0.2">
      <c r="A269" s="81">
        <v>20001396</v>
      </c>
      <c r="B269" s="80" t="s">
        <v>526</v>
      </c>
      <c r="C269" s="82" t="s">
        <v>5874</v>
      </c>
    </row>
    <row r="270" spans="1:3" s="79" customFormat="1" ht="59.1" customHeight="1" x14ac:dyDescent="0.2">
      <c r="A270" s="81">
        <v>20001397</v>
      </c>
      <c r="B270" s="80" t="s">
        <v>527</v>
      </c>
      <c r="C270" s="82" t="s">
        <v>5875</v>
      </c>
    </row>
    <row r="271" spans="1:3" s="79" customFormat="1" ht="59.1" customHeight="1" x14ac:dyDescent="0.2">
      <c r="A271" s="81">
        <v>20001398</v>
      </c>
      <c r="B271" s="80" t="s">
        <v>528</v>
      </c>
      <c r="C271" s="82" t="s">
        <v>5876</v>
      </c>
    </row>
    <row r="272" spans="1:3" s="79" customFormat="1" ht="59.1" customHeight="1" x14ac:dyDescent="0.2">
      <c r="A272" s="81">
        <v>20001399</v>
      </c>
      <c r="B272" s="80" t="s">
        <v>529</v>
      </c>
      <c r="C272" s="82" t="s">
        <v>5877</v>
      </c>
    </row>
    <row r="273" spans="1:3" s="79" customFormat="1" ht="59.1" customHeight="1" x14ac:dyDescent="0.2">
      <c r="A273" s="81">
        <v>20001400</v>
      </c>
      <c r="B273" s="80" t="s">
        <v>530</v>
      </c>
      <c r="C273" s="82" t="s">
        <v>5878</v>
      </c>
    </row>
    <row r="274" spans="1:3" s="79" customFormat="1" ht="59.1" customHeight="1" x14ac:dyDescent="0.2">
      <c r="A274" s="81">
        <v>20001401</v>
      </c>
      <c r="B274" s="80" t="s">
        <v>531</v>
      </c>
      <c r="C274" s="82" t="s">
        <v>5879</v>
      </c>
    </row>
    <row r="275" spans="1:3" s="79" customFormat="1" ht="59.1" customHeight="1" x14ac:dyDescent="0.2">
      <c r="A275" s="81">
        <v>20001402</v>
      </c>
      <c r="B275" s="80" t="s">
        <v>532</v>
      </c>
      <c r="C275" s="82" t="s">
        <v>5880</v>
      </c>
    </row>
    <row r="276" spans="1:3" s="79" customFormat="1" ht="59.1" customHeight="1" x14ac:dyDescent="0.2">
      <c r="A276" s="81">
        <v>20001403</v>
      </c>
      <c r="B276" s="80" t="s">
        <v>533</v>
      </c>
      <c r="C276" s="82" t="s">
        <v>5881</v>
      </c>
    </row>
    <row r="277" spans="1:3" s="79" customFormat="1" ht="59.1" customHeight="1" x14ac:dyDescent="0.2">
      <c r="A277" s="81">
        <v>20001404</v>
      </c>
      <c r="B277" s="80" t="s">
        <v>534</v>
      </c>
      <c r="C277" s="82" t="s">
        <v>5882</v>
      </c>
    </row>
    <row r="278" spans="1:3" s="79" customFormat="1" ht="59.1" customHeight="1" x14ac:dyDescent="0.2">
      <c r="A278" s="81">
        <v>20001405</v>
      </c>
      <c r="B278" s="80" t="s">
        <v>535</v>
      </c>
      <c r="C278" s="82" t="s">
        <v>5883</v>
      </c>
    </row>
    <row r="279" spans="1:3" s="79" customFormat="1" ht="59.1" customHeight="1" x14ac:dyDescent="0.2">
      <c r="A279" s="81">
        <v>20001406</v>
      </c>
      <c r="B279" s="80" t="s">
        <v>536</v>
      </c>
      <c r="C279" s="82" t="s">
        <v>5884</v>
      </c>
    </row>
    <row r="280" spans="1:3" s="79" customFormat="1" ht="59.1" customHeight="1" x14ac:dyDescent="0.2">
      <c r="A280" s="81">
        <v>20001407</v>
      </c>
      <c r="B280" s="80" t="s">
        <v>537</v>
      </c>
      <c r="C280" s="82" t="s">
        <v>5885</v>
      </c>
    </row>
    <row r="281" spans="1:3" s="79" customFormat="1" ht="59.1" customHeight="1" x14ac:dyDescent="0.2">
      <c r="A281" s="81">
        <v>20001408</v>
      </c>
      <c r="B281" s="80" t="s">
        <v>538</v>
      </c>
      <c r="C281" s="82" t="s">
        <v>5886</v>
      </c>
    </row>
    <row r="282" spans="1:3" s="79" customFormat="1" ht="59.1" customHeight="1" x14ac:dyDescent="0.2">
      <c r="A282" s="81">
        <v>20001409</v>
      </c>
      <c r="B282" s="80" t="s">
        <v>539</v>
      </c>
      <c r="C282" s="82" t="s">
        <v>5887</v>
      </c>
    </row>
    <row r="283" spans="1:3" s="79" customFormat="1" ht="59.1" customHeight="1" x14ac:dyDescent="0.2">
      <c r="A283" s="81">
        <v>20001410</v>
      </c>
      <c r="B283" s="80" t="s">
        <v>540</v>
      </c>
      <c r="C283" s="82" t="s">
        <v>5888</v>
      </c>
    </row>
    <row r="284" spans="1:3" s="79" customFormat="1" ht="59.1" customHeight="1" x14ac:dyDescent="0.2">
      <c r="A284" s="81">
        <v>20001411</v>
      </c>
      <c r="B284" s="80" t="s">
        <v>541</v>
      </c>
      <c r="C284" s="82" t="s">
        <v>5889</v>
      </c>
    </row>
    <row r="285" spans="1:3" s="79" customFormat="1" ht="59.1" customHeight="1" x14ac:dyDescent="0.2">
      <c r="A285" s="81">
        <v>20001412</v>
      </c>
      <c r="B285" s="80" t="s">
        <v>542</v>
      </c>
      <c r="C285" s="82" t="s">
        <v>5890</v>
      </c>
    </row>
    <row r="286" spans="1:3" s="79" customFormat="1" ht="59.1" customHeight="1" x14ac:dyDescent="0.2">
      <c r="A286" s="81">
        <v>20001413</v>
      </c>
      <c r="B286" s="80" t="s">
        <v>543</v>
      </c>
      <c r="C286" s="82" t="s">
        <v>5891</v>
      </c>
    </row>
    <row r="287" spans="1:3" s="79" customFormat="1" ht="59.1" customHeight="1" x14ac:dyDescent="0.2">
      <c r="A287" s="81">
        <v>20001414</v>
      </c>
      <c r="B287" s="80" t="s">
        <v>544</v>
      </c>
      <c r="C287" s="82" t="s">
        <v>5892</v>
      </c>
    </row>
    <row r="288" spans="1:3" s="79" customFormat="1" ht="59.1" customHeight="1" x14ac:dyDescent="0.2">
      <c r="A288" s="81">
        <v>20001415</v>
      </c>
      <c r="B288" s="80" t="s">
        <v>545</v>
      </c>
      <c r="C288" s="82" t="s">
        <v>5893</v>
      </c>
    </row>
    <row r="289" spans="1:3" s="79" customFormat="1" ht="59.1" customHeight="1" x14ac:dyDescent="0.2">
      <c r="A289" s="81">
        <v>20001416</v>
      </c>
      <c r="B289" s="80" t="s">
        <v>546</v>
      </c>
      <c r="C289" s="82" t="s">
        <v>5894</v>
      </c>
    </row>
    <row r="290" spans="1:3" s="79" customFormat="1" ht="59.1" customHeight="1" x14ac:dyDescent="0.2">
      <c r="A290" s="81">
        <v>20001417</v>
      </c>
      <c r="B290" s="80" t="s">
        <v>547</v>
      </c>
      <c r="C290" s="82" t="s">
        <v>5895</v>
      </c>
    </row>
    <row r="291" spans="1:3" s="79" customFormat="1" ht="59.1" customHeight="1" x14ac:dyDescent="0.2">
      <c r="A291" s="81">
        <v>20001418</v>
      </c>
      <c r="B291" s="80" t="s">
        <v>548</v>
      </c>
      <c r="C291" s="82" t="s">
        <v>5896</v>
      </c>
    </row>
    <row r="292" spans="1:3" s="79" customFormat="1" ht="59.1" customHeight="1" x14ac:dyDescent="0.2">
      <c r="A292" s="81">
        <v>20001419</v>
      </c>
      <c r="B292" s="80" t="s">
        <v>549</v>
      </c>
      <c r="C292" s="82" t="s">
        <v>5897</v>
      </c>
    </row>
    <row r="293" spans="1:3" s="79" customFormat="1" ht="59.1" customHeight="1" x14ac:dyDescent="0.2">
      <c r="A293" s="81">
        <v>20001420</v>
      </c>
      <c r="B293" s="80" t="s">
        <v>550</v>
      </c>
      <c r="C293" s="82" t="s">
        <v>5898</v>
      </c>
    </row>
    <row r="294" spans="1:3" s="79" customFormat="1" ht="59.1" customHeight="1" x14ac:dyDescent="0.2">
      <c r="A294" s="81">
        <v>20001421</v>
      </c>
      <c r="B294" s="80" t="s">
        <v>551</v>
      </c>
      <c r="C294" s="82" t="s">
        <v>5899</v>
      </c>
    </row>
    <row r="295" spans="1:3" s="79" customFormat="1" ht="59.1" customHeight="1" x14ac:dyDescent="0.2">
      <c r="A295" s="81">
        <v>20001422</v>
      </c>
      <c r="B295" s="80" t="s">
        <v>552</v>
      </c>
      <c r="C295" s="82" t="s">
        <v>5900</v>
      </c>
    </row>
    <row r="296" spans="1:3" s="79" customFormat="1" ht="59.1" customHeight="1" x14ac:dyDescent="0.2">
      <c r="A296" s="81">
        <v>20001423</v>
      </c>
      <c r="B296" s="80" t="s">
        <v>553</v>
      </c>
      <c r="C296" s="82" t="s">
        <v>5901</v>
      </c>
    </row>
    <row r="297" spans="1:3" s="79" customFormat="1" ht="59.1" customHeight="1" x14ac:dyDescent="0.2">
      <c r="A297" s="81">
        <v>20001425</v>
      </c>
      <c r="B297" s="80" t="s">
        <v>554</v>
      </c>
      <c r="C297" s="82" t="s">
        <v>5902</v>
      </c>
    </row>
    <row r="298" spans="1:3" s="79" customFormat="1" ht="59.1" customHeight="1" x14ac:dyDescent="0.2">
      <c r="A298" s="81">
        <v>20001426</v>
      </c>
      <c r="B298" s="80" t="s">
        <v>555</v>
      </c>
      <c r="C298" s="82" t="s">
        <v>5903</v>
      </c>
    </row>
    <row r="299" spans="1:3" s="79" customFormat="1" ht="59.1" customHeight="1" x14ac:dyDescent="0.2">
      <c r="A299" s="81">
        <v>20001427</v>
      </c>
      <c r="B299" s="80" t="s">
        <v>556</v>
      </c>
      <c r="C299" s="82" t="s">
        <v>5904</v>
      </c>
    </row>
    <row r="300" spans="1:3" s="79" customFormat="1" ht="59.1" customHeight="1" x14ac:dyDescent="0.2">
      <c r="A300" s="81">
        <v>20001428</v>
      </c>
      <c r="B300" s="80" t="s">
        <v>557</v>
      </c>
      <c r="C300" s="82" t="s">
        <v>5905</v>
      </c>
    </row>
    <row r="301" spans="1:3" s="79" customFormat="1" ht="59.1" customHeight="1" x14ac:dyDescent="0.2">
      <c r="A301" s="81">
        <v>20001429</v>
      </c>
      <c r="B301" s="80" t="s">
        <v>558</v>
      </c>
      <c r="C301" s="82" t="s">
        <v>5906</v>
      </c>
    </row>
    <row r="302" spans="1:3" s="79" customFormat="1" ht="59.1" customHeight="1" x14ac:dyDescent="0.2">
      <c r="A302" s="81">
        <v>20001430</v>
      </c>
      <c r="B302" s="80" t="s">
        <v>559</v>
      </c>
      <c r="C302" s="82" t="s">
        <v>5907</v>
      </c>
    </row>
    <row r="303" spans="1:3" s="79" customFormat="1" ht="59.1" customHeight="1" x14ac:dyDescent="0.2">
      <c r="A303" s="81">
        <v>20001431</v>
      </c>
      <c r="B303" s="80" t="s">
        <v>560</v>
      </c>
      <c r="C303" s="82" t="s">
        <v>5908</v>
      </c>
    </row>
    <row r="304" spans="1:3" s="79" customFormat="1" ht="59.1" customHeight="1" x14ac:dyDescent="0.2">
      <c r="A304" s="81">
        <v>20001432</v>
      </c>
      <c r="B304" s="80" t="s">
        <v>561</v>
      </c>
      <c r="C304" s="82" t="s">
        <v>5909</v>
      </c>
    </row>
    <row r="305" spans="1:3" s="79" customFormat="1" ht="59.1" customHeight="1" x14ac:dyDescent="0.2">
      <c r="A305" s="81">
        <v>20001433</v>
      </c>
      <c r="B305" s="80" t="s">
        <v>562</v>
      </c>
      <c r="C305" s="82" t="s">
        <v>5910</v>
      </c>
    </row>
    <row r="306" spans="1:3" s="79" customFormat="1" ht="59.1" customHeight="1" x14ac:dyDescent="0.2">
      <c r="A306" s="81">
        <v>20001434</v>
      </c>
      <c r="B306" s="80" t="s">
        <v>563</v>
      </c>
      <c r="C306" s="82" t="s">
        <v>5911</v>
      </c>
    </row>
    <row r="307" spans="1:3" s="79" customFormat="1" ht="59.1" customHeight="1" x14ac:dyDescent="0.2">
      <c r="A307" s="81">
        <v>20001435</v>
      </c>
      <c r="B307" s="80" t="s">
        <v>564</v>
      </c>
      <c r="C307" s="82" t="s">
        <v>5912</v>
      </c>
    </row>
    <row r="308" spans="1:3" s="79" customFormat="1" ht="28.7" customHeight="1" x14ac:dyDescent="0.2">
      <c r="A308" s="81">
        <v>20001436</v>
      </c>
      <c r="B308" s="80" t="s">
        <v>565</v>
      </c>
      <c r="C308" s="82" t="s">
        <v>5913</v>
      </c>
    </row>
    <row r="309" spans="1:3" s="79" customFormat="1" ht="59.1" customHeight="1" x14ac:dyDescent="0.2">
      <c r="A309" s="81">
        <v>20001437</v>
      </c>
      <c r="B309" s="80" t="s">
        <v>566</v>
      </c>
      <c r="C309" s="82" t="s">
        <v>5914</v>
      </c>
    </row>
    <row r="310" spans="1:3" s="79" customFormat="1" ht="68.849999999999994" customHeight="1" x14ac:dyDescent="0.2">
      <c r="A310" s="81">
        <v>20001440</v>
      </c>
      <c r="B310" s="80" t="s">
        <v>567</v>
      </c>
      <c r="C310" s="82" t="s">
        <v>5915</v>
      </c>
    </row>
    <row r="311" spans="1:3" s="79" customFormat="1" ht="28.7" customHeight="1" x14ac:dyDescent="0.2">
      <c r="A311" s="81">
        <v>20001441</v>
      </c>
      <c r="B311" s="80" t="s">
        <v>568</v>
      </c>
      <c r="C311" s="82" t="s">
        <v>5916</v>
      </c>
    </row>
    <row r="312" spans="1:3" s="79" customFormat="1" ht="28.7" customHeight="1" x14ac:dyDescent="0.2">
      <c r="A312" s="81">
        <v>20001442</v>
      </c>
      <c r="B312" s="80" t="s">
        <v>569</v>
      </c>
      <c r="C312" s="82" t="s">
        <v>5917</v>
      </c>
    </row>
    <row r="313" spans="1:3" s="79" customFormat="1" ht="28.7" customHeight="1" x14ac:dyDescent="0.2">
      <c r="A313" s="81">
        <v>20001443</v>
      </c>
      <c r="B313" s="80" t="s">
        <v>570</v>
      </c>
      <c r="C313" s="82" t="s">
        <v>5918</v>
      </c>
    </row>
    <row r="314" spans="1:3" s="79" customFormat="1" ht="28.7" customHeight="1" x14ac:dyDescent="0.2">
      <c r="A314" s="81">
        <v>20001444</v>
      </c>
      <c r="B314" s="80" t="s">
        <v>571</v>
      </c>
      <c r="C314" s="82" t="s">
        <v>5919</v>
      </c>
    </row>
    <row r="315" spans="1:3" s="79" customFormat="1" ht="38.85" customHeight="1" x14ac:dyDescent="0.2">
      <c r="A315" s="81">
        <v>20001445</v>
      </c>
      <c r="B315" s="80" t="s">
        <v>572</v>
      </c>
      <c r="C315" s="82" t="s">
        <v>5920</v>
      </c>
    </row>
    <row r="316" spans="1:3" s="79" customFormat="1" ht="28.7" customHeight="1" x14ac:dyDescent="0.2">
      <c r="A316" s="81">
        <v>20001446</v>
      </c>
      <c r="B316" s="80" t="s">
        <v>573</v>
      </c>
      <c r="C316" s="82" t="s">
        <v>5921</v>
      </c>
    </row>
    <row r="317" spans="1:3" s="79" customFormat="1" ht="28.7" customHeight="1" x14ac:dyDescent="0.2">
      <c r="A317" s="81">
        <v>20001447</v>
      </c>
      <c r="B317" s="80" t="s">
        <v>574</v>
      </c>
      <c r="C317" s="82" t="s">
        <v>5922</v>
      </c>
    </row>
    <row r="318" spans="1:3" s="79" customFormat="1" ht="28.7" customHeight="1" x14ac:dyDescent="0.2">
      <c r="A318" s="81">
        <v>20001448</v>
      </c>
      <c r="B318" s="80" t="s">
        <v>575</v>
      </c>
      <c r="C318" s="82" t="s">
        <v>5923</v>
      </c>
    </row>
    <row r="319" spans="1:3" s="79" customFormat="1" ht="28.7" customHeight="1" x14ac:dyDescent="0.2">
      <c r="A319" s="81">
        <v>20001449</v>
      </c>
      <c r="B319" s="80" t="s">
        <v>576</v>
      </c>
      <c r="C319" s="82" t="s">
        <v>5924</v>
      </c>
    </row>
    <row r="320" spans="1:3" s="79" customFormat="1" ht="28.7" customHeight="1" x14ac:dyDescent="0.2">
      <c r="A320" s="81">
        <v>20001450</v>
      </c>
      <c r="B320" s="80" t="s">
        <v>577</v>
      </c>
      <c r="C320" s="82" t="s">
        <v>5925</v>
      </c>
    </row>
    <row r="321" spans="1:3" s="79" customFormat="1" ht="28.7" customHeight="1" x14ac:dyDescent="0.2">
      <c r="A321" s="81">
        <v>20001451</v>
      </c>
      <c r="B321" s="80" t="s">
        <v>578</v>
      </c>
      <c r="C321" s="82" t="s">
        <v>5926</v>
      </c>
    </row>
    <row r="322" spans="1:3" s="79" customFormat="1" ht="28.7" customHeight="1" x14ac:dyDescent="0.2">
      <c r="A322" s="81">
        <v>20001452</v>
      </c>
      <c r="B322" s="80" t="s">
        <v>579</v>
      </c>
      <c r="C322" s="82" t="s">
        <v>5927</v>
      </c>
    </row>
    <row r="323" spans="1:3" s="79" customFormat="1" ht="28.7" customHeight="1" x14ac:dyDescent="0.2">
      <c r="A323" s="81">
        <v>20001453</v>
      </c>
      <c r="B323" s="80" t="s">
        <v>580</v>
      </c>
      <c r="C323" s="82" t="s">
        <v>5928</v>
      </c>
    </row>
    <row r="324" spans="1:3" s="79" customFormat="1" ht="19.149999999999999" customHeight="1" x14ac:dyDescent="0.2">
      <c r="A324" s="81">
        <v>20001468</v>
      </c>
      <c r="B324" s="80" t="s">
        <v>581</v>
      </c>
      <c r="C324" s="80" t="s">
        <v>5929</v>
      </c>
    </row>
    <row r="325" spans="1:3" s="79" customFormat="1" ht="59.1" customHeight="1" x14ac:dyDescent="0.2">
      <c r="A325" s="81">
        <v>20001504</v>
      </c>
      <c r="B325" s="80" t="s">
        <v>582</v>
      </c>
      <c r="C325" s="82" t="s">
        <v>5930</v>
      </c>
    </row>
    <row r="326" spans="1:3" s="79" customFormat="1" ht="28.7" customHeight="1" x14ac:dyDescent="0.2">
      <c r="A326" s="81">
        <v>20001508</v>
      </c>
      <c r="B326" s="80" t="s">
        <v>583</v>
      </c>
      <c r="C326" s="82" t="s">
        <v>5931</v>
      </c>
    </row>
    <row r="327" spans="1:3" s="79" customFormat="1" ht="28.7" customHeight="1" x14ac:dyDescent="0.2">
      <c r="A327" s="81">
        <v>20001509</v>
      </c>
      <c r="B327" s="80" t="s">
        <v>584</v>
      </c>
      <c r="C327" s="82" t="s">
        <v>5932</v>
      </c>
    </row>
    <row r="328" spans="1:3" s="79" customFormat="1" ht="19.149999999999999" customHeight="1" x14ac:dyDescent="0.2">
      <c r="A328" s="81">
        <v>20001510</v>
      </c>
      <c r="B328" s="80" t="s">
        <v>585</v>
      </c>
      <c r="C328" s="80" t="s">
        <v>5933</v>
      </c>
    </row>
    <row r="329" spans="1:3" s="79" customFormat="1" ht="19.149999999999999" customHeight="1" x14ac:dyDescent="0.2">
      <c r="A329" s="81">
        <v>20001511</v>
      </c>
      <c r="B329" s="80" t="s">
        <v>586</v>
      </c>
      <c r="C329" s="80" t="s">
        <v>5934</v>
      </c>
    </row>
    <row r="330" spans="1:3" s="79" customFormat="1" ht="19.149999999999999" customHeight="1" x14ac:dyDescent="0.2">
      <c r="A330" s="81">
        <v>20001512</v>
      </c>
      <c r="B330" s="80" t="s">
        <v>587</v>
      </c>
      <c r="C330" s="80" t="s">
        <v>5935</v>
      </c>
    </row>
    <row r="331" spans="1:3" s="79" customFormat="1" ht="59.1" customHeight="1" x14ac:dyDescent="0.2">
      <c r="A331" s="81">
        <v>20001566</v>
      </c>
      <c r="B331" s="80" t="s">
        <v>588</v>
      </c>
      <c r="C331" s="82" t="s">
        <v>5936</v>
      </c>
    </row>
    <row r="332" spans="1:3" s="79" customFormat="1" ht="59.1" customHeight="1" x14ac:dyDescent="0.2">
      <c r="A332" s="81">
        <v>20001567</v>
      </c>
      <c r="B332" s="80" t="s">
        <v>589</v>
      </c>
      <c r="C332" s="82" t="s">
        <v>5937</v>
      </c>
    </row>
    <row r="333" spans="1:3" s="79" customFormat="1" ht="59.1" customHeight="1" x14ac:dyDescent="0.2">
      <c r="A333" s="81">
        <v>20001568</v>
      </c>
      <c r="B333" s="80" t="s">
        <v>590</v>
      </c>
      <c r="C333" s="82" t="s">
        <v>5938</v>
      </c>
    </row>
    <row r="334" spans="1:3" s="79" customFormat="1" ht="59.1" customHeight="1" x14ac:dyDescent="0.2">
      <c r="A334" s="81">
        <v>20001571</v>
      </c>
      <c r="B334" s="80" t="s">
        <v>591</v>
      </c>
      <c r="C334" s="82" t="s">
        <v>5939</v>
      </c>
    </row>
    <row r="335" spans="1:3" s="79" customFormat="1" ht="38.85" customHeight="1" x14ac:dyDescent="0.2">
      <c r="A335" s="81">
        <v>20001572</v>
      </c>
      <c r="B335" s="80" t="s">
        <v>592</v>
      </c>
      <c r="C335" s="82" t="s">
        <v>5940</v>
      </c>
    </row>
    <row r="336" spans="1:3" s="79" customFormat="1" ht="49.15" customHeight="1" x14ac:dyDescent="0.2">
      <c r="A336" s="81">
        <v>20001573</v>
      </c>
      <c r="B336" s="80" t="s">
        <v>593</v>
      </c>
      <c r="C336" s="82" t="s">
        <v>5941</v>
      </c>
    </row>
    <row r="337" spans="1:3" s="79" customFormat="1" ht="68.849999999999994" customHeight="1" x14ac:dyDescent="0.2">
      <c r="A337" s="81">
        <v>20001579</v>
      </c>
      <c r="B337" s="80" t="s">
        <v>594</v>
      </c>
      <c r="C337" s="82" t="s">
        <v>5942</v>
      </c>
    </row>
    <row r="338" spans="1:3" s="79" customFormat="1" ht="68.849999999999994" customHeight="1" x14ac:dyDescent="0.2">
      <c r="A338" s="81">
        <v>20001580</v>
      </c>
      <c r="B338" s="80" t="s">
        <v>595</v>
      </c>
      <c r="C338" s="82" t="s">
        <v>5943</v>
      </c>
    </row>
    <row r="339" spans="1:3" s="79" customFormat="1" ht="68.849999999999994" customHeight="1" x14ac:dyDescent="0.2">
      <c r="A339" s="81">
        <v>20001582</v>
      </c>
      <c r="B339" s="80" t="s">
        <v>596</v>
      </c>
      <c r="C339" s="82" t="s">
        <v>5944</v>
      </c>
    </row>
    <row r="340" spans="1:3" s="79" customFormat="1" ht="68.849999999999994" customHeight="1" x14ac:dyDescent="0.2">
      <c r="A340" s="81">
        <v>20001584</v>
      </c>
      <c r="B340" s="80" t="s">
        <v>597</v>
      </c>
      <c r="C340" s="82" t="s">
        <v>5945</v>
      </c>
    </row>
    <row r="341" spans="1:3" s="79" customFormat="1" ht="68.849999999999994" customHeight="1" x14ac:dyDescent="0.2">
      <c r="A341" s="81">
        <v>20001585</v>
      </c>
      <c r="B341" s="80" t="s">
        <v>598</v>
      </c>
      <c r="C341" s="82" t="s">
        <v>5946</v>
      </c>
    </row>
    <row r="342" spans="1:3" s="79" customFormat="1" ht="68.849999999999994" customHeight="1" x14ac:dyDescent="0.2">
      <c r="A342" s="81">
        <v>20001587</v>
      </c>
      <c r="B342" s="80" t="s">
        <v>599</v>
      </c>
      <c r="C342" s="82" t="s">
        <v>5947</v>
      </c>
    </row>
    <row r="343" spans="1:3" s="79" customFormat="1" ht="68.849999999999994" customHeight="1" x14ac:dyDescent="0.2">
      <c r="A343" s="81">
        <v>20001588</v>
      </c>
      <c r="B343" s="80" t="s">
        <v>600</v>
      </c>
      <c r="C343" s="82" t="s">
        <v>5948</v>
      </c>
    </row>
    <row r="344" spans="1:3" s="79" customFormat="1" ht="68.849999999999994" customHeight="1" x14ac:dyDescent="0.2">
      <c r="A344" s="81">
        <v>20001589</v>
      </c>
      <c r="B344" s="80" t="s">
        <v>601</v>
      </c>
      <c r="C344" s="82" t="s">
        <v>5949</v>
      </c>
    </row>
    <row r="345" spans="1:3" s="79" customFormat="1" ht="68.849999999999994" customHeight="1" x14ac:dyDescent="0.2">
      <c r="A345" s="81">
        <v>20001590</v>
      </c>
      <c r="B345" s="80" t="s">
        <v>602</v>
      </c>
      <c r="C345" s="82" t="s">
        <v>5950</v>
      </c>
    </row>
    <row r="346" spans="1:3" s="79" customFormat="1" ht="68.849999999999994" customHeight="1" x14ac:dyDescent="0.2">
      <c r="A346" s="81">
        <v>20001591</v>
      </c>
      <c r="B346" s="80" t="s">
        <v>603</v>
      </c>
      <c r="C346" s="82" t="s">
        <v>5951</v>
      </c>
    </row>
    <row r="347" spans="1:3" s="79" customFormat="1" ht="49.15" customHeight="1" x14ac:dyDescent="0.2">
      <c r="A347" s="81">
        <v>20001592</v>
      </c>
      <c r="B347" s="80" t="s">
        <v>604</v>
      </c>
      <c r="C347" s="82" t="s">
        <v>5952</v>
      </c>
    </row>
    <row r="348" spans="1:3" s="79" customFormat="1" ht="49.15" customHeight="1" x14ac:dyDescent="0.2">
      <c r="A348" s="81">
        <v>20001593</v>
      </c>
      <c r="B348" s="80" t="s">
        <v>605</v>
      </c>
      <c r="C348" s="82" t="s">
        <v>5953</v>
      </c>
    </row>
    <row r="349" spans="1:3" s="79" customFormat="1" ht="49.15" customHeight="1" x14ac:dyDescent="0.2">
      <c r="A349" s="81">
        <v>20001594</v>
      </c>
      <c r="B349" s="80" t="s">
        <v>606</v>
      </c>
      <c r="C349" s="82" t="s">
        <v>5954</v>
      </c>
    </row>
    <row r="350" spans="1:3" s="79" customFormat="1" ht="49.15" customHeight="1" x14ac:dyDescent="0.2">
      <c r="A350" s="81">
        <v>20001595</v>
      </c>
      <c r="B350" s="80" t="s">
        <v>607</v>
      </c>
      <c r="C350" s="82" t="s">
        <v>5955</v>
      </c>
    </row>
    <row r="351" spans="1:3" s="79" customFormat="1" ht="49.15" customHeight="1" x14ac:dyDescent="0.2">
      <c r="A351" s="81">
        <v>20001596</v>
      </c>
      <c r="B351" s="80" t="s">
        <v>608</v>
      </c>
      <c r="C351" s="82" t="s">
        <v>5956</v>
      </c>
    </row>
    <row r="352" spans="1:3" s="79" customFormat="1" ht="38.85" customHeight="1" x14ac:dyDescent="0.2">
      <c r="A352" s="81">
        <v>20001597</v>
      </c>
      <c r="B352" s="80" t="s">
        <v>609</v>
      </c>
      <c r="C352" s="82" t="s">
        <v>5957</v>
      </c>
    </row>
    <row r="353" spans="1:3" s="79" customFormat="1" ht="59.1" customHeight="1" x14ac:dyDescent="0.2">
      <c r="A353" s="81">
        <v>20001598</v>
      </c>
      <c r="B353" s="80" t="s">
        <v>610</v>
      </c>
      <c r="C353" s="82" t="s">
        <v>5958</v>
      </c>
    </row>
    <row r="354" spans="1:3" s="79" customFormat="1" ht="49.15" customHeight="1" x14ac:dyDescent="0.2">
      <c r="A354" s="81">
        <v>20001599</v>
      </c>
      <c r="B354" s="80" t="s">
        <v>611</v>
      </c>
      <c r="C354" s="82" t="s">
        <v>5959</v>
      </c>
    </row>
    <row r="355" spans="1:3" s="79" customFormat="1" ht="49.15" customHeight="1" x14ac:dyDescent="0.2">
      <c r="A355" s="81">
        <v>20001600</v>
      </c>
      <c r="B355" s="80" t="s">
        <v>612</v>
      </c>
      <c r="C355" s="82" t="s">
        <v>5960</v>
      </c>
    </row>
    <row r="356" spans="1:3" s="79" customFormat="1" ht="49.15" customHeight="1" x14ac:dyDescent="0.2">
      <c r="A356" s="81">
        <v>20001602</v>
      </c>
      <c r="B356" s="80" t="s">
        <v>613</v>
      </c>
      <c r="C356" s="82" t="s">
        <v>5961</v>
      </c>
    </row>
    <row r="357" spans="1:3" s="79" customFormat="1" ht="49.15" customHeight="1" x14ac:dyDescent="0.2">
      <c r="A357" s="81">
        <v>20001603</v>
      </c>
      <c r="B357" s="80" t="s">
        <v>614</v>
      </c>
      <c r="C357" s="82" t="s">
        <v>5962</v>
      </c>
    </row>
    <row r="358" spans="1:3" s="79" customFormat="1" ht="49.15" customHeight="1" x14ac:dyDescent="0.2">
      <c r="A358" s="81">
        <v>20001605</v>
      </c>
      <c r="B358" s="80" t="s">
        <v>615</v>
      </c>
      <c r="C358" s="82" t="s">
        <v>5963</v>
      </c>
    </row>
    <row r="359" spans="1:3" s="79" customFormat="1" ht="49.15" customHeight="1" x14ac:dyDescent="0.2">
      <c r="A359" s="81">
        <v>20001606</v>
      </c>
      <c r="B359" s="80" t="s">
        <v>616</v>
      </c>
      <c r="C359" s="82" t="s">
        <v>5964</v>
      </c>
    </row>
    <row r="360" spans="1:3" s="79" customFormat="1" ht="49.15" customHeight="1" x14ac:dyDescent="0.2">
      <c r="A360" s="81">
        <v>20001607</v>
      </c>
      <c r="B360" s="80" t="s">
        <v>617</v>
      </c>
      <c r="C360" s="82" t="s">
        <v>5965</v>
      </c>
    </row>
    <row r="361" spans="1:3" s="79" customFormat="1" ht="49.15" customHeight="1" x14ac:dyDescent="0.2">
      <c r="A361" s="81">
        <v>20001608</v>
      </c>
      <c r="B361" s="80" t="s">
        <v>618</v>
      </c>
      <c r="C361" s="82" t="s">
        <v>5966</v>
      </c>
    </row>
    <row r="362" spans="1:3" s="79" customFormat="1" ht="49.15" customHeight="1" x14ac:dyDescent="0.2">
      <c r="A362" s="81">
        <v>20001609</v>
      </c>
      <c r="B362" s="80" t="s">
        <v>619</v>
      </c>
      <c r="C362" s="82" t="s">
        <v>5967</v>
      </c>
    </row>
    <row r="363" spans="1:3" s="79" customFormat="1" ht="49.15" customHeight="1" x14ac:dyDescent="0.2">
      <c r="A363" s="81">
        <v>20001610</v>
      </c>
      <c r="B363" s="80" t="s">
        <v>620</v>
      </c>
      <c r="C363" s="82" t="s">
        <v>5968</v>
      </c>
    </row>
    <row r="364" spans="1:3" s="79" customFormat="1" ht="49.15" customHeight="1" x14ac:dyDescent="0.2">
      <c r="A364" s="81">
        <v>20001611</v>
      </c>
      <c r="B364" s="80" t="s">
        <v>621</v>
      </c>
      <c r="C364" s="82" t="s">
        <v>5969</v>
      </c>
    </row>
    <row r="365" spans="1:3" s="79" customFormat="1" ht="49.15" customHeight="1" x14ac:dyDescent="0.2">
      <c r="A365" s="81">
        <v>20001613</v>
      </c>
      <c r="B365" s="80" t="s">
        <v>622</v>
      </c>
      <c r="C365" s="82" t="s">
        <v>5970</v>
      </c>
    </row>
    <row r="366" spans="1:3" s="79" customFormat="1" ht="49.15" customHeight="1" x14ac:dyDescent="0.2">
      <c r="A366" s="81">
        <v>20001615</v>
      </c>
      <c r="B366" s="80" t="s">
        <v>623</v>
      </c>
      <c r="C366" s="82" t="s">
        <v>5971</v>
      </c>
    </row>
    <row r="367" spans="1:3" s="79" customFormat="1" ht="49.15" customHeight="1" x14ac:dyDescent="0.2">
      <c r="A367" s="81">
        <v>20001616</v>
      </c>
      <c r="B367" s="80" t="s">
        <v>624</v>
      </c>
      <c r="C367" s="82" t="s">
        <v>5972</v>
      </c>
    </row>
    <row r="368" spans="1:3" s="79" customFormat="1" ht="49.15" customHeight="1" x14ac:dyDescent="0.2">
      <c r="A368" s="81">
        <v>20001617</v>
      </c>
      <c r="B368" s="80" t="s">
        <v>625</v>
      </c>
      <c r="C368" s="82" t="s">
        <v>5973</v>
      </c>
    </row>
    <row r="369" spans="1:3" s="79" customFormat="1" ht="38.85" customHeight="1" x14ac:dyDescent="0.2">
      <c r="A369" s="81">
        <v>20001618</v>
      </c>
      <c r="B369" s="80" t="s">
        <v>626</v>
      </c>
      <c r="C369" s="82" t="s">
        <v>5974</v>
      </c>
    </row>
    <row r="370" spans="1:3" s="79" customFormat="1" ht="49.15" customHeight="1" x14ac:dyDescent="0.2">
      <c r="A370" s="81">
        <v>20001619</v>
      </c>
      <c r="B370" s="80" t="s">
        <v>627</v>
      </c>
      <c r="C370" s="82" t="s">
        <v>5975</v>
      </c>
    </row>
    <row r="371" spans="1:3" s="79" customFormat="1" ht="38.85" customHeight="1" x14ac:dyDescent="0.2">
      <c r="A371" s="81">
        <v>20001620</v>
      </c>
      <c r="B371" s="80" t="s">
        <v>628</v>
      </c>
      <c r="C371" s="82" t="s">
        <v>5976</v>
      </c>
    </row>
    <row r="372" spans="1:3" s="79" customFormat="1" ht="38.85" customHeight="1" x14ac:dyDescent="0.2">
      <c r="A372" s="81">
        <v>20001621</v>
      </c>
      <c r="B372" s="80" t="s">
        <v>629</v>
      </c>
      <c r="C372" s="82" t="s">
        <v>5977</v>
      </c>
    </row>
    <row r="373" spans="1:3" s="79" customFormat="1" ht="38.85" customHeight="1" x14ac:dyDescent="0.2">
      <c r="A373" s="81">
        <v>20001622</v>
      </c>
      <c r="B373" s="80" t="s">
        <v>630</v>
      </c>
      <c r="C373" s="82" t="s">
        <v>5978</v>
      </c>
    </row>
    <row r="374" spans="1:3" s="79" customFormat="1" ht="38.85" customHeight="1" x14ac:dyDescent="0.2">
      <c r="A374" s="81">
        <v>20001623</v>
      </c>
      <c r="B374" s="80" t="s">
        <v>631</v>
      </c>
      <c r="C374" s="82" t="s">
        <v>5979</v>
      </c>
    </row>
    <row r="375" spans="1:3" s="79" customFormat="1" ht="49.15" customHeight="1" x14ac:dyDescent="0.2">
      <c r="A375" s="81">
        <v>20001624</v>
      </c>
      <c r="B375" s="80" t="s">
        <v>632</v>
      </c>
      <c r="C375" s="82" t="s">
        <v>5980</v>
      </c>
    </row>
    <row r="376" spans="1:3" s="79" customFormat="1" ht="49.15" customHeight="1" x14ac:dyDescent="0.2">
      <c r="A376" s="81">
        <v>20001625</v>
      </c>
      <c r="B376" s="80" t="s">
        <v>633</v>
      </c>
      <c r="C376" s="82" t="s">
        <v>5981</v>
      </c>
    </row>
    <row r="377" spans="1:3" s="79" customFormat="1" ht="68.849999999999994" customHeight="1" x14ac:dyDescent="0.2">
      <c r="A377" s="81">
        <v>20001626</v>
      </c>
      <c r="B377" s="80" t="s">
        <v>634</v>
      </c>
      <c r="C377" s="82" t="s">
        <v>5982</v>
      </c>
    </row>
    <row r="378" spans="1:3" s="79" customFormat="1" ht="68.849999999999994" customHeight="1" x14ac:dyDescent="0.2">
      <c r="A378" s="81">
        <v>20001627</v>
      </c>
      <c r="B378" s="80" t="s">
        <v>635</v>
      </c>
      <c r="C378" s="82" t="s">
        <v>5983</v>
      </c>
    </row>
    <row r="379" spans="1:3" s="79" customFormat="1" ht="68.849999999999994" customHeight="1" x14ac:dyDescent="0.2">
      <c r="A379" s="81">
        <v>20001628</v>
      </c>
      <c r="B379" s="80" t="s">
        <v>636</v>
      </c>
      <c r="C379" s="82" t="s">
        <v>5984</v>
      </c>
    </row>
    <row r="380" spans="1:3" s="79" customFormat="1" ht="68.849999999999994" customHeight="1" x14ac:dyDescent="0.2">
      <c r="A380" s="81">
        <v>20001629</v>
      </c>
      <c r="B380" s="80" t="s">
        <v>637</v>
      </c>
      <c r="C380" s="82" t="s">
        <v>5985</v>
      </c>
    </row>
    <row r="381" spans="1:3" s="79" customFormat="1" ht="59.1" customHeight="1" x14ac:dyDescent="0.2">
      <c r="A381" s="81">
        <v>20001630</v>
      </c>
      <c r="B381" s="80" t="s">
        <v>638</v>
      </c>
      <c r="C381" s="82" t="s">
        <v>5986</v>
      </c>
    </row>
    <row r="382" spans="1:3" s="79" customFormat="1" ht="49.15" customHeight="1" x14ac:dyDescent="0.2">
      <c r="A382" s="81">
        <v>20001632</v>
      </c>
      <c r="B382" s="80" t="s">
        <v>639</v>
      </c>
      <c r="C382" s="82" t="s">
        <v>5987</v>
      </c>
    </row>
    <row r="383" spans="1:3" s="79" customFormat="1" ht="49.15" customHeight="1" x14ac:dyDescent="0.2">
      <c r="A383" s="81">
        <v>20001633</v>
      </c>
      <c r="B383" s="80" t="s">
        <v>640</v>
      </c>
      <c r="C383" s="82" t="s">
        <v>5988</v>
      </c>
    </row>
    <row r="384" spans="1:3" s="79" customFormat="1" ht="49.15" customHeight="1" x14ac:dyDescent="0.2">
      <c r="A384" s="81">
        <v>20001634</v>
      </c>
      <c r="B384" s="80" t="s">
        <v>641</v>
      </c>
      <c r="C384" s="82" t="s">
        <v>5989</v>
      </c>
    </row>
    <row r="385" spans="1:3" s="79" customFormat="1" ht="49.15" customHeight="1" x14ac:dyDescent="0.2">
      <c r="A385" s="81">
        <v>20001635</v>
      </c>
      <c r="B385" s="80" t="s">
        <v>642</v>
      </c>
      <c r="C385" s="82" t="s">
        <v>5990</v>
      </c>
    </row>
    <row r="386" spans="1:3" s="79" customFormat="1" ht="59.1" customHeight="1" x14ac:dyDescent="0.2">
      <c r="A386" s="81">
        <v>20001636</v>
      </c>
      <c r="B386" s="80" t="s">
        <v>643</v>
      </c>
      <c r="C386" s="82" t="s">
        <v>5991</v>
      </c>
    </row>
    <row r="387" spans="1:3" s="79" customFormat="1" ht="59.1" customHeight="1" x14ac:dyDescent="0.2">
      <c r="A387" s="81">
        <v>20001637</v>
      </c>
      <c r="B387" s="80" t="s">
        <v>644</v>
      </c>
      <c r="C387" s="82" t="s">
        <v>5992</v>
      </c>
    </row>
    <row r="388" spans="1:3" s="79" customFormat="1" ht="59.1" customHeight="1" x14ac:dyDescent="0.2">
      <c r="A388" s="81">
        <v>20001638</v>
      </c>
      <c r="B388" s="80" t="s">
        <v>645</v>
      </c>
      <c r="C388" s="82" t="s">
        <v>5993</v>
      </c>
    </row>
    <row r="389" spans="1:3" s="79" customFormat="1" ht="59.1" customHeight="1" x14ac:dyDescent="0.2">
      <c r="A389" s="81">
        <v>20001639</v>
      </c>
      <c r="B389" s="80" t="s">
        <v>646</v>
      </c>
      <c r="C389" s="82" t="s">
        <v>5994</v>
      </c>
    </row>
    <row r="390" spans="1:3" s="79" customFormat="1" ht="59.1" customHeight="1" x14ac:dyDescent="0.2">
      <c r="A390" s="81">
        <v>20001640</v>
      </c>
      <c r="B390" s="80" t="s">
        <v>647</v>
      </c>
      <c r="C390" s="82" t="s">
        <v>5995</v>
      </c>
    </row>
    <row r="391" spans="1:3" s="79" customFormat="1" ht="59.1" customHeight="1" x14ac:dyDescent="0.2">
      <c r="A391" s="81">
        <v>20001641</v>
      </c>
      <c r="B391" s="80" t="s">
        <v>648</v>
      </c>
      <c r="C391" s="82" t="s">
        <v>5996</v>
      </c>
    </row>
    <row r="392" spans="1:3" s="79" customFormat="1" ht="28.7" customHeight="1" x14ac:dyDescent="0.2">
      <c r="A392" s="81">
        <v>20001643</v>
      </c>
      <c r="B392" s="80" t="s">
        <v>649</v>
      </c>
      <c r="C392" s="82" t="s">
        <v>5997</v>
      </c>
    </row>
    <row r="393" spans="1:3" s="79" customFormat="1" ht="28.7" customHeight="1" x14ac:dyDescent="0.2">
      <c r="A393" s="81">
        <v>20001644</v>
      </c>
      <c r="B393" s="80" t="s">
        <v>650</v>
      </c>
      <c r="C393" s="82" t="s">
        <v>5998</v>
      </c>
    </row>
    <row r="394" spans="1:3" s="79" customFormat="1" ht="28.7" customHeight="1" x14ac:dyDescent="0.2">
      <c r="A394" s="81">
        <v>20001645</v>
      </c>
      <c r="B394" s="80" t="s">
        <v>651</v>
      </c>
      <c r="C394" s="82" t="s">
        <v>5999</v>
      </c>
    </row>
    <row r="395" spans="1:3" s="79" customFormat="1" ht="28.7" customHeight="1" x14ac:dyDescent="0.2">
      <c r="A395" s="81">
        <v>20001646</v>
      </c>
      <c r="B395" s="80" t="s">
        <v>652</v>
      </c>
      <c r="C395" s="82" t="s">
        <v>6000</v>
      </c>
    </row>
    <row r="396" spans="1:3" s="79" customFormat="1" ht="28.7" customHeight="1" x14ac:dyDescent="0.2">
      <c r="A396" s="81">
        <v>20001647</v>
      </c>
      <c r="B396" s="80" t="s">
        <v>653</v>
      </c>
      <c r="C396" s="82" t="s">
        <v>6001</v>
      </c>
    </row>
    <row r="397" spans="1:3" s="79" customFormat="1" ht="28.7" customHeight="1" x14ac:dyDescent="0.2">
      <c r="A397" s="81">
        <v>20001648</v>
      </c>
      <c r="B397" s="80" t="s">
        <v>654</v>
      </c>
      <c r="C397" s="82" t="s">
        <v>6002</v>
      </c>
    </row>
    <row r="398" spans="1:3" s="79" customFormat="1" ht="28.7" customHeight="1" x14ac:dyDescent="0.2">
      <c r="A398" s="81">
        <v>20001649</v>
      </c>
      <c r="B398" s="80" t="s">
        <v>655</v>
      </c>
      <c r="C398" s="82" t="s">
        <v>6003</v>
      </c>
    </row>
    <row r="399" spans="1:3" s="79" customFormat="1" ht="38.85" customHeight="1" x14ac:dyDescent="0.2">
      <c r="A399" s="81">
        <v>20001653</v>
      </c>
      <c r="B399" s="80" t="s">
        <v>656</v>
      </c>
      <c r="C399" s="82" t="s">
        <v>6004</v>
      </c>
    </row>
    <row r="400" spans="1:3" s="79" customFormat="1" ht="38.85" customHeight="1" x14ac:dyDescent="0.2">
      <c r="A400" s="81">
        <v>20001654</v>
      </c>
      <c r="B400" s="80" t="s">
        <v>657</v>
      </c>
      <c r="C400" s="82" t="s">
        <v>6005</v>
      </c>
    </row>
    <row r="401" spans="1:3" s="79" customFormat="1" ht="49.15" customHeight="1" x14ac:dyDescent="0.2">
      <c r="A401" s="81">
        <v>20001655</v>
      </c>
      <c r="B401" s="80" t="s">
        <v>658</v>
      </c>
      <c r="C401" s="82" t="s">
        <v>6006</v>
      </c>
    </row>
    <row r="402" spans="1:3" s="79" customFormat="1" ht="59.1" customHeight="1" x14ac:dyDescent="0.2">
      <c r="A402" s="81">
        <v>20001681</v>
      </c>
      <c r="B402" s="80" t="s">
        <v>659</v>
      </c>
      <c r="C402" s="81" t="s">
        <v>6007</v>
      </c>
    </row>
    <row r="403" spans="1:3" s="79" customFormat="1" ht="59.1" customHeight="1" x14ac:dyDescent="0.2">
      <c r="A403" s="81">
        <v>20001682</v>
      </c>
      <c r="B403" s="80" t="s">
        <v>660</v>
      </c>
      <c r="C403" s="81" t="s">
        <v>6008</v>
      </c>
    </row>
    <row r="404" spans="1:3" s="79" customFormat="1" ht="89.1" customHeight="1" x14ac:dyDescent="0.2">
      <c r="A404" s="81">
        <v>20001683</v>
      </c>
      <c r="B404" s="80" t="s">
        <v>661</v>
      </c>
      <c r="C404" s="82" t="s">
        <v>6009</v>
      </c>
    </row>
    <row r="405" spans="1:3" s="79" customFormat="1" ht="49.15" customHeight="1" x14ac:dyDescent="0.2">
      <c r="A405" s="81">
        <v>20001688</v>
      </c>
      <c r="B405" s="80" t="s">
        <v>662</v>
      </c>
      <c r="C405" s="82" t="s">
        <v>6010</v>
      </c>
    </row>
    <row r="406" spans="1:3" s="79" customFormat="1" ht="49.15" customHeight="1" x14ac:dyDescent="0.2">
      <c r="A406" s="81">
        <v>20001689</v>
      </c>
      <c r="B406" s="80" t="s">
        <v>663</v>
      </c>
      <c r="C406" s="82" t="s">
        <v>6011</v>
      </c>
    </row>
    <row r="407" spans="1:3" s="79" customFormat="1" ht="49.15" customHeight="1" x14ac:dyDescent="0.2">
      <c r="A407" s="81">
        <v>20001690</v>
      </c>
      <c r="B407" s="80" t="s">
        <v>664</v>
      </c>
      <c r="C407" s="82" t="s">
        <v>6012</v>
      </c>
    </row>
    <row r="408" spans="1:3" s="79" customFormat="1" ht="59.1" customHeight="1" x14ac:dyDescent="0.2">
      <c r="A408" s="81">
        <v>20001691</v>
      </c>
      <c r="B408" s="80" t="s">
        <v>665</v>
      </c>
      <c r="C408" s="81" t="s">
        <v>6013</v>
      </c>
    </row>
    <row r="409" spans="1:3" s="79" customFormat="1" ht="49.15" customHeight="1" x14ac:dyDescent="0.2">
      <c r="A409" s="81">
        <v>20001693</v>
      </c>
      <c r="B409" s="80" t="s">
        <v>666</v>
      </c>
      <c r="C409" s="82" t="s">
        <v>6014</v>
      </c>
    </row>
    <row r="410" spans="1:3" s="79" customFormat="1" ht="49.15" customHeight="1" x14ac:dyDescent="0.2">
      <c r="A410" s="81">
        <v>20001694</v>
      </c>
      <c r="B410" s="80" t="s">
        <v>667</v>
      </c>
      <c r="C410" s="82" t="s">
        <v>6015</v>
      </c>
    </row>
    <row r="411" spans="1:3" s="79" customFormat="1" ht="49.15" customHeight="1" x14ac:dyDescent="0.2">
      <c r="A411" s="81">
        <v>20001695</v>
      </c>
      <c r="B411" s="80" t="s">
        <v>668</v>
      </c>
      <c r="C411" s="82" t="s">
        <v>6016</v>
      </c>
    </row>
    <row r="412" spans="1:3" s="79" customFormat="1" ht="49.15" customHeight="1" x14ac:dyDescent="0.2">
      <c r="A412" s="81">
        <v>20001696</v>
      </c>
      <c r="B412" s="80" t="s">
        <v>669</v>
      </c>
      <c r="C412" s="82" t="s">
        <v>6017</v>
      </c>
    </row>
    <row r="413" spans="1:3" s="79" customFormat="1" ht="49.15" customHeight="1" x14ac:dyDescent="0.2">
      <c r="A413" s="81">
        <v>20001719</v>
      </c>
      <c r="B413" s="80" t="s">
        <v>670</v>
      </c>
      <c r="C413" s="82" t="s">
        <v>6018</v>
      </c>
    </row>
    <row r="414" spans="1:3" s="79" customFormat="1" ht="49.15" customHeight="1" x14ac:dyDescent="0.2">
      <c r="A414" s="81">
        <v>20001720</v>
      </c>
      <c r="B414" s="80" t="s">
        <v>671</v>
      </c>
      <c r="C414" s="82" t="s">
        <v>6019</v>
      </c>
    </row>
    <row r="415" spans="1:3" s="79" customFormat="1" ht="59.1" customHeight="1" x14ac:dyDescent="0.2">
      <c r="A415" s="81">
        <v>20001721</v>
      </c>
      <c r="B415" s="80" t="s">
        <v>672</v>
      </c>
      <c r="C415" s="82" t="s">
        <v>6020</v>
      </c>
    </row>
    <row r="416" spans="1:3" s="79" customFormat="1" ht="38.85" customHeight="1" x14ac:dyDescent="0.2">
      <c r="A416" s="81">
        <v>20001732</v>
      </c>
      <c r="B416" s="80" t="s">
        <v>673</v>
      </c>
      <c r="C416" s="82" t="s">
        <v>6021</v>
      </c>
    </row>
    <row r="417" spans="1:3" s="79" customFormat="1" ht="38.85" customHeight="1" x14ac:dyDescent="0.2">
      <c r="A417" s="81">
        <v>20001733</v>
      </c>
      <c r="B417" s="80" t="s">
        <v>674</v>
      </c>
      <c r="C417" s="82" t="s">
        <v>6022</v>
      </c>
    </row>
    <row r="418" spans="1:3" s="79" customFormat="1" ht="38.85" customHeight="1" x14ac:dyDescent="0.2">
      <c r="A418" s="81">
        <v>20001734</v>
      </c>
      <c r="B418" s="80" t="s">
        <v>675</v>
      </c>
      <c r="C418" s="82" t="s">
        <v>6023</v>
      </c>
    </row>
    <row r="419" spans="1:3" s="79" customFormat="1" ht="38.85" customHeight="1" x14ac:dyDescent="0.2">
      <c r="A419" s="81">
        <v>20001735</v>
      </c>
      <c r="B419" s="80" t="s">
        <v>676</v>
      </c>
      <c r="C419" s="82" t="s">
        <v>6024</v>
      </c>
    </row>
    <row r="420" spans="1:3" s="79" customFormat="1" ht="38.85" customHeight="1" x14ac:dyDescent="0.2">
      <c r="A420" s="81">
        <v>20001736</v>
      </c>
      <c r="B420" s="80" t="s">
        <v>677</v>
      </c>
      <c r="C420" s="82" t="s">
        <v>6025</v>
      </c>
    </row>
    <row r="421" spans="1:3" s="79" customFormat="1" ht="38.85" customHeight="1" x14ac:dyDescent="0.2">
      <c r="A421" s="81">
        <v>20001737</v>
      </c>
      <c r="B421" s="80" t="s">
        <v>678</v>
      </c>
      <c r="C421" s="82" t="s">
        <v>6026</v>
      </c>
    </row>
    <row r="422" spans="1:3" s="79" customFormat="1" ht="38.85" customHeight="1" x14ac:dyDescent="0.2">
      <c r="A422" s="81">
        <v>20001738</v>
      </c>
      <c r="B422" s="80" t="s">
        <v>679</v>
      </c>
      <c r="C422" s="82" t="s">
        <v>6027</v>
      </c>
    </row>
    <row r="423" spans="1:3" s="79" customFormat="1" ht="59.1" customHeight="1" x14ac:dyDescent="0.2">
      <c r="A423" s="81">
        <v>20001739</v>
      </c>
      <c r="B423" s="80" t="s">
        <v>680</v>
      </c>
      <c r="C423" s="82" t="s">
        <v>6028</v>
      </c>
    </row>
    <row r="424" spans="1:3" s="79" customFormat="1" ht="59.1" customHeight="1" x14ac:dyDescent="0.2">
      <c r="A424" s="81">
        <v>20001740</v>
      </c>
      <c r="B424" s="80" t="s">
        <v>681</v>
      </c>
      <c r="C424" s="82" t="s">
        <v>6029</v>
      </c>
    </row>
    <row r="425" spans="1:3" s="79" customFormat="1" ht="59.1" customHeight="1" x14ac:dyDescent="0.2">
      <c r="A425" s="81">
        <v>20001741</v>
      </c>
      <c r="B425" s="80" t="s">
        <v>682</v>
      </c>
      <c r="C425" s="82" t="s">
        <v>6030</v>
      </c>
    </row>
    <row r="426" spans="1:3" s="79" customFormat="1" ht="59.1" customHeight="1" x14ac:dyDescent="0.2">
      <c r="A426" s="81">
        <v>20001742</v>
      </c>
      <c r="B426" s="80" t="s">
        <v>683</v>
      </c>
      <c r="C426" s="82" t="s">
        <v>6031</v>
      </c>
    </row>
    <row r="427" spans="1:3" s="79" customFormat="1" ht="59.1" customHeight="1" x14ac:dyDescent="0.2">
      <c r="A427" s="81">
        <v>20001743</v>
      </c>
      <c r="B427" s="80" t="s">
        <v>684</v>
      </c>
      <c r="C427" s="82" t="s">
        <v>6032</v>
      </c>
    </row>
    <row r="428" spans="1:3" s="79" customFormat="1" ht="68.849999999999994" customHeight="1" x14ac:dyDescent="0.2">
      <c r="A428" s="81">
        <v>20001744</v>
      </c>
      <c r="B428" s="80" t="s">
        <v>685</v>
      </c>
      <c r="C428" s="82" t="s">
        <v>6033</v>
      </c>
    </row>
    <row r="429" spans="1:3" s="79" customFormat="1" ht="89.1" customHeight="1" x14ac:dyDescent="0.2">
      <c r="A429" s="81">
        <v>20001754</v>
      </c>
      <c r="B429" s="80" t="s">
        <v>686</v>
      </c>
      <c r="C429" s="82" t="s">
        <v>11664</v>
      </c>
    </row>
    <row r="430" spans="1:3" s="79" customFormat="1" ht="109.35" customHeight="1" x14ac:dyDescent="0.2">
      <c r="A430" s="81">
        <v>20001755</v>
      </c>
      <c r="B430" s="80" t="s">
        <v>687</v>
      </c>
      <c r="C430" s="81" t="s">
        <v>6034</v>
      </c>
    </row>
    <row r="431" spans="1:3" s="79" customFormat="1" ht="109.35" customHeight="1" x14ac:dyDescent="0.2">
      <c r="A431" s="81">
        <v>20001756</v>
      </c>
      <c r="B431" s="80" t="s">
        <v>688</v>
      </c>
      <c r="C431" s="81" t="s">
        <v>6035</v>
      </c>
    </row>
    <row r="432" spans="1:3" s="79" customFormat="1" ht="19.149999999999999" customHeight="1" x14ac:dyDescent="0.2">
      <c r="A432" s="81">
        <v>20001764</v>
      </c>
      <c r="B432" s="80" t="s">
        <v>689</v>
      </c>
      <c r="C432" s="80" t="s">
        <v>6036</v>
      </c>
    </row>
    <row r="433" spans="1:3" s="79" customFormat="1" ht="49.15" customHeight="1" x14ac:dyDescent="0.2">
      <c r="A433" s="81">
        <v>20001777</v>
      </c>
      <c r="B433" s="80" t="s">
        <v>690</v>
      </c>
      <c r="C433" s="82" t="s">
        <v>6037</v>
      </c>
    </row>
    <row r="434" spans="1:3" s="79" customFormat="1" ht="99.2" customHeight="1" x14ac:dyDescent="0.2">
      <c r="A434" s="81">
        <v>20001787</v>
      </c>
      <c r="B434" s="80" t="s">
        <v>691</v>
      </c>
      <c r="C434" s="81" t="s">
        <v>6038</v>
      </c>
    </row>
    <row r="435" spans="1:3" s="79" customFormat="1" ht="89.1" customHeight="1" x14ac:dyDescent="0.2">
      <c r="A435" s="81">
        <v>20001788</v>
      </c>
      <c r="B435" s="80" t="s">
        <v>692</v>
      </c>
      <c r="C435" s="81" t="s">
        <v>6039</v>
      </c>
    </row>
    <row r="436" spans="1:3" s="79" customFormat="1" ht="89.1" customHeight="1" x14ac:dyDescent="0.2">
      <c r="A436" s="81">
        <v>20001789</v>
      </c>
      <c r="B436" s="80" t="s">
        <v>693</v>
      </c>
      <c r="C436" s="81" t="s">
        <v>6040</v>
      </c>
    </row>
    <row r="437" spans="1:3" s="79" customFormat="1" ht="139.15" customHeight="1" x14ac:dyDescent="0.2">
      <c r="A437" s="81">
        <v>20001790</v>
      </c>
      <c r="B437" s="80" t="s">
        <v>694</v>
      </c>
      <c r="C437" s="81" t="s">
        <v>6041</v>
      </c>
    </row>
    <row r="438" spans="1:3" s="79" customFormat="1" ht="59.1" customHeight="1" x14ac:dyDescent="0.2">
      <c r="A438" s="81">
        <v>20001796</v>
      </c>
      <c r="B438" s="80" t="s">
        <v>695</v>
      </c>
      <c r="C438" s="81" t="s">
        <v>6042</v>
      </c>
    </row>
    <row r="439" spans="1:3" s="79" customFormat="1" ht="59.1" customHeight="1" x14ac:dyDescent="0.2">
      <c r="A439" s="81">
        <v>20001797</v>
      </c>
      <c r="B439" s="80" t="s">
        <v>696</v>
      </c>
      <c r="C439" s="81" t="s">
        <v>6043</v>
      </c>
    </row>
    <row r="440" spans="1:3" s="79" customFormat="1" ht="59.1" customHeight="1" x14ac:dyDescent="0.2">
      <c r="A440" s="81">
        <v>20001799</v>
      </c>
      <c r="B440" s="80" t="s">
        <v>697</v>
      </c>
      <c r="C440" s="81" t="s">
        <v>6044</v>
      </c>
    </row>
    <row r="441" spans="1:3" s="79" customFormat="1" ht="19.149999999999999" customHeight="1" x14ac:dyDescent="0.2">
      <c r="A441" s="81">
        <v>20001806</v>
      </c>
      <c r="B441" s="80" t="s">
        <v>698</v>
      </c>
      <c r="C441" s="80" t="s">
        <v>11020</v>
      </c>
    </row>
    <row r="442" spans="1:3" s="79" customFormat="1" ht="68.849999999999994" customHeight="1" x14ac:dyDescent="0.2">
      <c r="A442" s="81">
        <v>20001807</v>
      </c>
      <c r="B442" s="80" t="s">
        <v>699</v>
      </c>
      <c r="C442" s="82" t="s">
        <v>6045</v>
      </c>
    </row>
    <row r="443" spans="1:3" s="79" customFormat="1" ht="78.95" customHeight="1" x14ac:dyDescent="0.2">
      <c r="A443" s="81">
        <v>20001827</v>
      </c>
      <c r="B443" s="80" t="s">
        <v>700</v>
      </c>
      <c r="C443" s="82" t="s">
        <v>6046</v>
      </c>
    </row>
    <row r="444" spans="1:3" s="79" customFormat="1" ht="78.95" customHeight="1" x14ac:dyDescent="0.2">
      <c r="A444" s="81">
        <v>20001828</v>
      </c>
      <c r="B444" s="80" t="s">
        <v>701</v>
      </c>
      <c r="C444" s="82" t="s">
        <v>6047</v>
      </c>
    </row>
    <row r="445" spans="1:3" s="79" customFormat="1" ht="78.95" customHeight="1" x14ac:dyDescent="0.2">
      <c r="A445" s="81">
        <v>20001829</v>
      </c>
      <c r="B445" s="80" t="s">
        <v>702</v>
      </c>
      <c r="C445" s="82" t="s">
        <v>6048</v>
      </c>
    </row>
    <row r="446" spans="1:3" s="79" customFormat="1" ht="68.849999999999994" customHeight="1" x14ac:dyDescent="0.2">
      <c r="A446" s="81">
        <v>20001830</v>
      </c>
      <c r="B446" s="80" t="s">
        <v>703</v>
      </c>
      <c r="C446" s="82" t="s">
        <v>6049</v>
      </c>
    </row>
    <row r="447" spans="1:3" s="79" customFormat="1" ht="68.849999999999994" customHeight="1" x14ac:dyDescent="0.2">
      <c r="A447" s="81">
        <v>20001831</v>
      </c>
      <c r="B447" s="80" t="s">
        <v>704</v>
      </c>
      <c r="C447" s="82" t="s">
        <v>6050</v>
      </c>
    </row>
    <row r="448" spans="1:3" s="79" customFormat="1" ht="68.849999999999994" customHeight="1" x14ac:dyDescent="0.2">
      <c r="A448" s="81">
        <v>20001832</v>
      </c>
      <c r="B448" s="80" t="s">
        <v>705</v>
      </c>
      <c r="C448" s="82" t="s">
        <v>6051</v>
      </c>
    </row>
    <row r="449" spans="1:3" s="79" customFormat="1" ht="78.95" customHeight="1" x14ac:dyDescent="0.2">
      <c r="A449" s="81">
        <v>20001833</v>
      </c>
      <c r="B449" s="80" t="s">
        <v>706</v>
      </c>
      <c r="C449" s="82" t="s">
        <v>6052</v>
      </c>
    </row>
    <row r="450" spans="1:3" s="79" customFormat="1" ht="68.849999999999994" customHeight="1" x14ac:dyDescent="0.2">
      <c r="A450" s="81">
        <v>20001834</v>
      </c>
      <c r="B450" s="80" t="s">
        <v>707</v>
      </c>
      <c r="C450" s="82" t="s">
        <v>6053</v>
      </c>
    </row>
    <row r="451" spans="1:3" s="79" customFormat="1" ht="78.95" customHeight="1" x14ac:dyDescent="0.2">
      <c r="A451" s="81">
        <v>20001835</v>
      </c>
      <c r="B451" s="80" t="s">
        <v>708</v>
      </c>
      <c r="C451" s="82" t="s">
        <v>6054</v>
      </c>
    </row>
    <row r="452" spans="1:3" s="79" customFormat="1" ht="19.149999999999999" customHeight="1" x14ac:dyDescent="0.2">
      <c r="A452" s="81">
        <v>20001838</v>
      </c>
      <c r="B452" s="80" t="s">
        <v>709</v>
      </c>
      <c r="C452" s="82" t="s">
        <v>6055</v>
      </c>
    </row>
    <row r="453" spans="1:3" s="79" customFormat="1" ht="19.149999999999999" customHeight="1" x14ac:dyDescent="0.2">
      <c r="A453" s="81">
        <v>20001839</v>
      </c>
      <c r="B453" s="80" t="s">
        <v>710</v>
      </c>
      <c r="C453" s="80" t="s">
        <v>6056</v>
      </c>
    </row>
    <row r="454" spans="1:3" s="79" customFormat="1" ht="19.149999999999999" customHeight="1" x14ac:dyDescent="0.2">
      <c r="A454" s="81">
        <v>20001840</v>
      </c>
      <c r="B454" s="80" t="s">
        <v>711</v>
      </c>
      <c r="C454" s="82" t="s">
        <v>6057</v>
      </c>
    </row>
    <row r="455" spans="1:3" s="79" customFormat="1" ht="38.85" customHeight="1" x14ac:dyDescent="0.2">
      <c r="A455" s="81">
        <v>20001841</v>
      </c>
      <c r="B455" s="80" t="s">
        <v>712</v>
      </c>
      <c r="C455" s="82" t="s">
        <v>6058</v>
      </c>
    </row>
    <row r="456" spans="1:3" s="79" customFormat="1" ht="49.15" customHeight="1" x14ac:dyDescent="0.2">
      <c r="A456" s="81">
        <v>20001845</v>
      </c>
      <c r="B456" s="80" t="s">
        <v>713</v>
      </c>
      <c r="C456" s="82" t="s">
        <v>6059</v>
      </c>
    </row>
    <row r="457" spans="1:3" s="79" customFormat="1" ht="49.15" customHeight="1" x14ac:dyDescent="0.2">
      <c r="A457" s="81">
        <v>20001846</v>
      </c>
      <c r="B457" s="80" t="s">
        <v>714</v>
      </c>
      <c r="C457" s="82" t="s">
        <v>6060</v>
      </c>
    </row>
    <row r="458" spans="1:3" s="79" customFormat="1" ht="49.15" customHeight="1" x14ac:dyDescent="0.2">
      <c r="A458" s="81">
        <v>20001847</v>
      </c>
      <c r="B458" s="80" t="s">
        <v>715</v>
      </c>
      <c r="C458" s="81" t="s">
        <v>6061</v>
      </c>
    </row>
    <row r="459" spans="1:3" s="79" customFormat="1" ht="38.85" customHeight="1" x14ac:dyDescent="0.2">
      <c r="A459" s="81">
        <v>20001848</v>
      </c>
      <c r="B459" s="80" t="s">
        <v>716</v>
      </c>
      <c r="C459" s="81" t="s">
        <v>6062</v>
      </c>
    </row>
    <row r="460" spans="1:3" s="79" customFormat="1" ht="38.85" customHeight="1" x14ac:dyDescent="0.2">
      <c r="A460" s="81">
        <v>20001849</v>
      </c>
      <c r="B460" s="80" t="s">
        <v>717</v>
      </c>
      <c r="C460" s="81" t="s">
        <v>6063</v>
      </c>
    </row>
    <row r="461" spans="1:3" s="79" customFormat="1" ht="38.85" customHeight="1" x14ac:dyDescent="0.2">
      <c r="A461" s="81">
        <v>20001850</v>
      </c>
      <c r="B461" s="80" t="s">
        <v>718</v>
      </c>
      <c r="C461" s="81" t="s">
        <v>6064</v>
      </c>
    </row>
    <row r="462" spans="1:3" s="79" customFormat="1" ht="38.85" customHeight="1" x14ac:dyDescent="0.2">
      <c r="A462" s="81">
        <v>20001851</v>
      </c>
      <c r="B462" s="80" t="s">
        <v>719</v>
      </c>
      <c r="C462" s="81" t="s">
        <v>6065</v>
      </c>
    </row>
    <row r="463" spans="1:3" s="79" customFormat="1" ht="59.1" customHeight="1" x14ac:dyDescent="0.2">
      <c r="A463" s="81">
        <v>20001877</v>
      </c>
      <c r="B463" s="80" t="s">
        <v>720</v>
      </c>
      <c r="C463" s="82" t="s">
        <v>6066</v>
      </c>
    </row>
    <row r="464" spans="1:3" s="79" customFormat="1" ht="59.1" customHeight="1" x14ac:dyDescent="0.2">
      <c r="A464" s="81">
        <v>20003364</v>
      </c>
      <c r="B464" s="80" t="s">
        <v>722</v>
      </c>
      <c r="C464" s="82" t="s">
        <v>6067</v>
      </c>
    </row>
    <row r="465" spans="1:3" s="79" customFormat="1" ht="49.15" customHeight="1" x14ac:dyDescent="0.2">
      <c r="A465" s="81">
        <v>20003367</v>
      </c>
      <c r="B465" s="80" t="s">
        <v>723</v>
      </c>
      <c r="C465" s="82" t="s">
        <v>6068</v>
      </c>
    </row>
    <row r="466" spans="1:3" s="79" customFormat="1" ht="49.15" customHeight="1" x14ac:dyDescent="0.2">
      <c r="A466" s="81">
        <v>20003413</v>
      </c>
      <c r="B466" s="80" t="s">
        <v>724</v>
      </c>
      <c r="C466" s="82" t="s">
        <v>6069</v>
      </c>
    </row>
    <row r="467" spans="1:3" s="79" customFormat="1" ht="68.849999999999994" customHeight="1" x14ac:dyDescent="0.2">
      <c r="A467" s="81">
        <v>20003414</v>
      </c>
      <c r="B467" s="80" t="s">
        <v>725</v>
      </c>
      <c r="C467" s="82" t="s">
        <v>6070</v>
      </c>
    </row>
    <row r="468" spans="1:3" s="79" customFormat="1" ht="68.849999999999994" customHeight="1" x14ac:dyDescent="0.2">
      <c r="A468" s="81">
        <v>20003415</v>
      </c>
      <c r="B468" s="80" t="s">
        <v>726</v>
      </c>
      <c r="C468" s="82" t="s">
        <v>6071</v>
      </c>
    </row>
    <row r="469" spans="1:3" s="79" customFormat="1" ht="59.1" customHeight="1" x14ac:dyDescent="0.2">
      <c r="A469" s="81">
        <v>20003416</v>
      </c>
      <c r="B469" s="80" t="s">
        <v>727</v>
      </c>
      <c r="C469" s="82" t="s">
        <v>6072</v>
      </c>
    </row>
    <row r="470" spans="1:3" s="79" customFormat="1" ht="49.15" customHeight="1" x14ac:dyDescent="0.2">
      <c r="A470" s="81">
        <v>20003417</v>
      </c>
      <c r="B470" s="80" t="s">
        <v>728</v>
      </c>
      <c r="C470" s="82" t="s">
        <v>6073</v>
      </c>
    </row>
    <row r="471" spans="1:3" s="79" customFormat="1" ht="19.149999999999999" customHeight="1" x14ac:dyDescent="0.2">
      <c r="A471" s="81">
        <v>20003418</v>
      </c>
      <c r="B471" s="80" t="s">
        <v>729</v>
      </c>
      <c r="C471" s="82" t="s">
        <v>6074</v>
      </c>
    </row>
    <row r="472" spans="1:3" s="79" customFormat="1" ht="28.7" customHeight="1" x14ac:dyDescent="0.2">
      <c r="A472" s="81">
        <v>20003419</v>
      </c>
      <c r="B472" s="80" t="s">
        <v>730</v>
      </c>
      <c r="C472" s="82" t="s">
        <v>6075</v>
      </c>
    </row>
    <row r="473" spans="1:3" s="79" customFormat="1" ht="28.7" customHeight="1" x14ac:dyDescent="0.2">
      <c r="A473" s="81">
        <v>20003420</v>
      </c>
      <c r="B473" s="80" t="s">
        <v>731</v>
      </c>
      <c r="C473" s="82" t="s">
        <v>6076</v>
      </c>
    </row>
    <row r="474" spans="1:3" s="79" customFormat="1" ht="28.7" customHeight="1" x14ac:dyDescent="0.2">
      <c r="A474" s="81">
        <v>20003421</v>
      </c>
      <c r="B474" s="80" t="s">
        <v>732</v>
      </c>
      <c r="C474" s="82" t="s">
        <v>6077</v>
      </c>
    </row>
    <row r="475" spans="1:3" s="79" customFormat="1" ht="28.7" customHeight="1" x14ac:dyDescent="0.2">
      <c r="A475" s="81">
        <v>20003422</v>
      </c>
      <c r="B475" s="80" t="s">
        <v>733</v>
      </c>
      <c r="C475" s="82" t="s">
        <v>6078</v>
      </c>
    </row>
    <row r="476" spans="1:3" s="79" customFormat="1" ht="49.15" customHeight="1" x14ac:dyDescent="0.2">
      <c r="A476" s="81">
        <v>20003423</v>
      </c>
      <c r="B476" s="80" t="s">
        <v>734</v>
      </c>
      <c r="C476" s="82" t="s">
        <v>6079</v>
      </c>
    </row>
    <row r="477" spans="1:3" s="79" customFormat="1" ht="149.25" customHeight="1" x14ac:dyDescent="0.2">
      <c r="A477" s="81">
        <v>20003431</v>
      </c>
      <c r="B477" s="80" t="s">
        <v>11544</v>
      </c>
      <c r="C477" s="81" t="s">
        <v>6080</v>
      </c>
    </row>
    <row r="478" spans="1:3" s="79" customFormat="1" ht="158.85" customHeight="1" x14ac:dyDescent="0.2">
      <c r="A478" s="81">
        <v>20003434</v>
      </c>
      <c r="B478" s="80" t="s">
        <v>735</v>
      </c>
      <c r="C478" s="81" t="s">
        <v>6081</v>
      </c>
    </row>
    <row r="479" spans="1:3" s="79" customFormat="1" ht="28.7" customHeight="1" x14ac:dyDescent="0.2">
      <c r="A479" s="81">
        <v>20003435</v>
      </c>
      <c r="B479" s="80" t="s">
        <v>736</v>
      </c>
      <c r="C479" s="82" t="s">
        <v>6082</v>
      </c>
    </row>
    <row r="480" spans="1:3" s="79" customFormat="1" ht="78.95" customHeight="1" x14ac:dyDescent="0.2">
      <c r="A480" s="81">
        <v>20003436</v>
      </c>
      <c r="B480" s="80" t="s">
        <v>737</v>
      </c>
      <c r="C480" s="81" t="s">
        <v>11507</v>
      </c>
    </row>
    <row r="481" spans="1:3" s="79" customFormat="1" ht="68.849999999999994" customHeight="1" x14ac:dyDescent="0.2">
      <c r="A481" s="81">
        <v>20003438</v>
      </c>
      <c r="B481" s="80" t="s">
        <v>11207</v>
      </c>
      <c r="C481" s="82" t="s">
        <v>6083</v>
      </c>
    </row>
    <row r="482" spans="1:3" s="79" customFormat="1" ht="68.849999999999994" customHeight="1" x14ac:dyDescent="0.2">
      <c r="A482" s="81">
        <v>20003439</v>
      </c>
      <c r="B482" s="80" t="s">
        <v>738</v>
      </c>
      <c r="C482" s="82" t="s">
        <v>6084</v>
      </c>
    </row>
    <row r="483" spans="1:3" s="79" customFormat="1" ht="68.849999999999994" customHeight="1" x14ac:dyDescent="0.2">
      <c r="A483" s="81">
        <v>20003442</v>
      </c>
      <c r="B483" s="80" t="s">
        <v>739</v>
      </c>
      <c r="C483" s="81" t="s">
        <v>6085</v>
      </c>
    </row>
    <row r="484" spans="1:3" s="79" customFormat="1" ht="28.7" customHeight="1" x14ac:dyDescent="0.2">
      <c r="A484" s="81">
        <v>20003443</v>
      </c>
      <c r="B484" s="80" t="s">
        <v>740</v>
      </c>
      <c r="C484" s="82" t="s">
        <v>6086</v>
      </c>
    </row>
    <row r="485" spans="1:3" s="79" customFormat="1" ht="49.15" customHeight="1" x14ac:dyDescent="0.2">
      <c r="A485" s="81">
        <v>20003444</v>
      </c>
      <c r="B485" s="80" t="s">
        <v>741</v>
      </c>
      <c r="C485" s="82" t="s">
        <v>6087</v>
      </c>
    </row>
    <row r="486" spans="1:3" s="79" customFormat="1" ht="109.35" customHeight="1" x14ac:dyDescent="0.2">
      <c r="A486" s="81">
        <v>20003445</v>
      </c>
      <c r="B486" s="80" t="s">
        <v>11248</v>
      </c>
      <c r="C486" s="81" t="s">
        <v>10948</v>
      </c>
    </row>
    <row r="487" spans="1:3" s="79" customFormat="1" ht="19.149999999999999" customHeight="1" x14ac:dyDescent="0.2">
      <c r="A487" s="81">
        <v>20003446</v>
      </c>
      <c r="B487" s="80" t="s">
        <v>742</v>
      </c>
      <c r="C487" s="80" t="s">
        <v>6088</v>
      </c>
    </row>
    <row r="488" spans="1:3" s="79" customFormat="1" ht="28.7" customHeight="1" x14ac:dyDescent="0.2">
      <c r="A488" s="81">
        <v>20003447</v>
      </c>
      <c r="B488" s="80" t="s">
        <v>743</v>
      </c>
      <c r="C488" s="82" t="s">
        <v>6089</v>
      </c>
    </row>
    <row r="489" spans="1:3" s="79" customFormat="1" ht="89.1" customHeight="1" x14ac:dyDescent="0.2">
      <c r="A489" s="81">
        <v>20003449</v>
      </c>
      <c r="B489" s="80" t="s">
        <v>744</v>
      </c>
      <c r="C489" s="81" t="s">
        <v>6090</v>
      </c>
    </row>
    <row r="490" spans="1:3" s="79" customFormat="1" ht="129" customHeight="1" x14ac:dyDescent="0.2">
      <c r="A490" s="81">
        <v>20003451</v>
      </c>
      <c r="B490" s="80" t="s">
        <v>745</v>
      </c>
      <c r="C490" s="81" t="s">
        <v>6091</v>
      </c>
    </row>
    <row r="491" spans="1:3" s="79" customFormat="1" ht="118.9" customHeight="1" x14ac:dyDescent="0.2">
      <c r="A491" s="81">
        <v>20003452</v>
      </c>
      <c r="B491" s="80" t="s">
        <v>746</v>
      </c>
      <c r="C491" s="81" t="s">
        <v>6092</v>
      </c>
    </row>
    <row r="492" spans="1:3" s="79" customFormat="1" ht="59.1" customHeight="1" x14ac:dyDescent="0.2">
      <c r="A492" s="81">
        <v>20003530</v>
      </c>
      <c r="B492" s="80" t="s">
        <v>747</v>
      </c>
      <c r="C492" s="82" t="s">
        <v>6093</v>
      </c>
    </row>
    <row r="493" spans="1:3" s="79" customFormat="1" ht="49.15" customHeight="1" x14ac:dyDescent="0.2">
      <c r="A493" s="81">
        <v>20003531</v>
      </c>
      <c r="B493" s="80" t="s">
        <v>748</v>
      </c>
      <c r="C493" s="82" t="s">
        <v>6094</v>
      </c>
    </row>
    <row r="494" spans="1:3" s="79" customFormat="1" ht="99.2" customHeight="1" x14ac:dyDescent="0.2">
      <c r="A494" s="81">
        <v>20003532</v>
      </c>
      <c r="B494" s="80" t="s">
        <v>749</v>
      </c>
      <c r="C494" s="82" t="s">
        <v>6095</v>
      </c>
    </row>
    <row r="495" spans="1:3" s="79" customFormat="1" ht="28.7" customHeight="1" x14ac:dyDescent="0.2">
      <c r="A495" s="81">
        <v>20003535</v>
      </c>
      <c r="B495" s="80" t="s">
        <v>750</v>
      </c>
      <c r="C495" s="82" t="s">
        <v>6096</v>
      </c>
    </row>
    <row r="496" spans="1:3" s="79" customFormat="1" ht="19.149999999999999" customHeight="1" x14ac:dyDescent="0.2">
      <c r="A496" s="81">
        <v>20003536</v>
      </c>
      <c r="B496" s="80" t="s">
        <v>751</v>
      </c>
      <c r="C496" s="80" t="s">
        <v>6097</v>
      </c>
    </row>
    <row r="497" spans="1:3" s="79" customFormat="1" ht="59.1" customHeight="1" x14ac:dyDescent="0.2">
      <c r="A497" s="81">
        <v>20003538</v>
      </c>
      <c r="B497" s="80" t="s">
        <v>752</v>
      </c>
      <c r="C497" s="82" t="s">
        <v>6098</v>
      </c>
    </row>
    <row r="498" spans="1:3" s="79" customFormat="1" ht="139.15" customHeight="1" x14ac:dyDescent="0.2">
      <c r="A498" s="81">
        <v>20003539</v>
      </c>
      <c r="B498" s="80" t="s">
        <v>753</v>
      </c>
      <c r="C498" s="81" t="s">
        <v>6099</v>
      </c>
    </row>
    <row r="499" spans="1:3" s="79" customFormat="1" ht="49.15" customHeight="1" x14ac:dyDescent="0.2">
      <c r="A499" s="81">
        <v>20003541</v>
      </c>
      <c r="B499" s="80" t="s">
        <v>754</v>
      </c>
      <c r="C499" s="82" t="s">
        <v>6100</v>
      </c>
    </row>
    <row r="500" spans="1:3" s="79" customFormat="1" ht="59.1" customHeight="1" x14ac:dyDescent="0.2">
      <c r="A500" s="81">
        <v>20003543</v>
      </c>
      <c r="B500" s="80" t="s">
        <v>755</v>
      </c>
      <c r="C500" s="82" t="s">
        <v>6101</v>
      </c>
    </row>
    <row r="501" spans="1:3" s="79" customFormat="1" ht="38.85" customHeight="1" x14ac:dyDescent="0.2">
      <c r="A501" s="81">
        <v>20003551</v>
      </c>
      <c r="B501" s="80" t="s">
        <v>756</v>
      </c>
      <c r="C501" s="82" t="s">
        <v>11545</v>
      </c>
    </row>
    <row r="502" spans="1:3" s="79" customFormat="1" ht="59.1" customHeight="1" x14ac:dyDescent="0.2">
      <c r="A502" s="81">
        <v>20003552</v>
      </c>
      <c r="B502" s="80" t="s">
        <v>757</v>
      </c>
      <c r="C502" s="82" t="s">
        <v>6102</v>
      </c>
    </row>
    <row r="503" spans="1:3" s="79" customFormat="1" ht="19.149999999999999" customHeight="1" x14ac:dyDescent="0.2">
      <c r="A503" s="81">
        <v>20003562</v>
      </c>
      <c r="B503" s="80" t="s">
        <v>758</v>
      </c>
      <c r="C503" s="80" t="s">
        <v>6103</v>
      </c>
    </row>
    <row r="504" spans="1:3" s="79" customFormat="1" ht="19.149999999999999" customHeight="1" x14ac:dyDescent="0.2">
      <c r="A504" s="81">
        <v>20003566</v>
      </c>
      <c r="B504" s="80" t="s">
        <v>759</v>
      </c>
      <c r="C504" s="82" t="s">
        <v>6104</v>
      </c>
    </row>
    <row r="505" spans="1:3" s="79" customFormat="1" ht="19.149999999999999" customHeight="1" x14ac:dyDescent="0.2">
      <c r="A505" s="81">
        <v>20003567</v>
      </c>
      <c r="B505" s="80" t="s">
        <v>760</v>
      </c>
      <c r="C505" s="80" t="s">
        <v>6105</v>
      </c>
    </row>
    <row r="506" spans="1:3" s="79" customFormat="1" ht="19.149999999999999" customHeight="1" x14ac:dyDescent="0.2">
      <c r="A506" s="81">
        <v>20003568</v>
      </c>
      <c r="B506" s="80" t="s">
        <v>761</v>
      </c>
      <c r="C506" s="80" t="s">
        <v>6106</v>
      </c>
    </row>
    <row r="507" spans="1:3" s="79" customFormat="1" ht="19.149999999999999" customHeight="1" x14ac:dyDescent="0.2">
      <c r="A507" s="81">
        <v>20003569</v>
      </c>
      <c r="B507" s="80" t="s">
        <v>762</v>
      </c>
      <c r="C507" s="82" t="s">
        <v>6107</v>
      </c>
    </row>
    <row r="508" spans="1:3" s="79" customFormat="1" ht="19.149999999999999" customHeight="1" x14ac:dyDescent="0.2">
      <c r="A508" s="81">
        <v>20003570</v>
      </c>
      <c r="B508" s="80" t="s">
        <v>11021</v>
      </c>
      <c r="C508" s="82" t="s">
        <v>6108</v>
      </c>
    </row>
    <row r="509" spans="1:3" s="79" customFormat="1" ht="28.7" customHeight="1" x14ac:dyDescent="0.2">
      <c r="A509" s="81">
        <v>20003571</v>
      </c>
      <c r="B509" s="80" t="s">
        <v>763</v>
      </c>
      <c r="C509" s="80" t="s">
        <v>6109</v>
      </c>
    </row>
    <row r="510" spans="1:3" s="79" customFormat="1" ht="19.149999999999999" customHeight="1" x14ac:dyDescent="0.2">
      <c r="A510" s="81">
        <v>20003572</v>
      </c>
      <c r="B510" s="80" t="s">
        <v>764</v>
      </c>
      <c r="C510" s="82" t="s">
        <v>6110</v>
      </c>
    </row>
    <row r="511" spans="1:3" s="79" customFormat="1" ht="59.1" customHeight="1" x14ac:dyDescent="0.2">
      <c r="A511" s="81">
        <v>20003573</v>
      </c>
      <c r="B511" s="80" t="s">
        <v>765</v>
      </c>
      <c r="C511" s="81" t="s">
        <v>6111</v>
      </c>
    </row>
    <row r="512" spans="1:3" s="79" customFormat="1" ht="89.1" customHeight="1" x14ac:dyDescent="0.2">
      <c r="A512" s="81">
        <v>20003574</v>
      </c>
      <c r="B512" s="80" t="s">
        <v>766</v>
      </c>
      <c r="C512" s="81" t="s">
        <v>6112</v>
      </c>
    </row>
    <row r="513" spans="1:3" s="79" customFormat="1" ht="78.95" customHeight="1" x14ac:dyDescent="0.2">
      <c r="A513" s="81">
        <v>20003575</v>
      </c>
      <c r="B513" s="80" t="s">
        <v>767</v>
      </c>
      <c r="C513" s="82" t="s">
        <v>6113</v>
      </c>
    </row>
    <row r="514" spans="1:3" s="79" customFormat="1" ht="49.15" customHeight="1" x14ac:dyDescent="0.2">
      <c r="A514" s="81">
        <v>20003581</v>
      </c>
      <c r="B514" s="80" t="s">
        <v>768</v>
      </c>
      <c r="C514" s="82" t="s">
        <v>6114</v>
      </c>
    </row>
    <row r="515" spans="1:3" s="79" customFormat="1" ht="89.1" customHeight="1" x14ac:dyDescent="0.2">
      <c r="A515" s="81">
        <v>20003582</v>
      </c>
      <c r="B515" s="80" t="s">
        <v>769</v>
      </c>
      <c r="C515" s="82" t="s">
        <v>6115</v>
      </c>
    </row>
    <row r="516" spans="1:3" s="79" customFormat="1" ht="89.1" customHeight="1" x14ac:dyDescent="0.2">
      <c r="A516" s="81">
        <v>20003583</v>
      </c>
      <c r="B516" s="80" t="s">
        <v>770</v>
      </c>
      <c r="C516" s="82" t="s">
        <v>6116</v>
      </c>
    </row>
    <row r="517" spans="1:3" s="79" customFormat="1" ht="89.1" customHeight="1" x14ac:dyDescent="0.2">
      <c r="A517" s="81">
        <v>20003584</v>
      </c>
      <c r="B517" s="80" t="s">
        <v>771</v>
      </c>
      <c r="C517" s="82" t="s">
        <v>6117</v>
      </c>
    </row>
    <row r="518" spans="1:3" s="79" customFormat="1" ht="89.1" customHeight="1" x14ac:dyDescent="0.2">
      <c r="A518" s="81">
        <v>20003585</v>
      </c>
      <c r="B518" s="80" t="s">
        <v>772</v>
      </c>
      <c r="C518" s="82" t="s">
        <v>6118</v>
      </c>
    </row>
    <row r="519" spans="1:3" s="79" customFormat="1" ht="89.1" customHeight="1" x14ac:dyDescent="0.2">
      <c r="A519" s="81">
        <v>20003586</v>
      </c>
      <c r="B519" s="80" t="s">
        <v>773</v>
      </c>
      <c r="C519" s="82" t="s">
        <v>6119</v>
      </c>
    </row>
    <row r="520" spans="1:3" s="79" customFormat="1" ht="89.1" customHeight="1" x14ac:dyDescent="0.2">
      <c r="A520" s="81">
        <v>20003587</v>
      </c>
      <c r="B520" s="80" t="s">
        <v>774</v>
      </c>
      <c r="C520" s="82" t="s">
        <v>6120</v>
      </c>
    </row>
    <row r="521" spans="1:3" s="79" customFormat="1" ht="89.1" customHeight="1" x14ac:dyDescent="0.2">
      <c r="A521" s="81">
        <v>20003588</v>
      </c>
      <c r="B521" s="80" t="s">
        <v>775</v>
      </c>
      <c r="C521" s="82" t="s">
        <v>6121</v>
      </c>
    </row>
    <row r="522" spans="1:3" s="79" customFormat="1" ht="89.1" customHeight="1" x14ac:dyDescent="0.2">
      <c r="A522" s="81">
        <v>20003589</v>
      </c>
      <c r="B522" s="80" t="s">
        <v>776</v>
      </c>
      <c r="C522" s="82" t="s">
        <v>6122</v>
      </c>
    </row>
    <row r="523" spans="1:3" s="79" customFormat="1" ht="89.1" customHeight="1" x14ac:dyDescent="0.2">
      <c r="A523" s="81">
        <v>20003590</v>
      </c>
      <c r="B523" s="80" t="s">
        <v>777</v>
      </c>
      <c r="C523" s="82" t="s">
        <v>6123</v>
      </c>
    </row>
    <row r="524" spans="1:3" s="79" customFormat="1" ht="38.85" customHeight="1" x14ac:dyDescent="0.2">
      <c r="A524" s="81">
        <v>20003591</v>
      </c>
      <c r="B524" s="80" t="s">
        <v>778</v>
      </c>
      <c r="C524" s="82" t="s">
        <v>6124</v>
      </c>
    </row>
    <row r="525" spans="1:3" s="79" customFormat="1" ht="28.7" customHeight="1" x14ac:dyDescent="0.2">
      <c r="A525" s="81">
        <v>20003592</v>
      </c>
      <c r="B525" s="80" t="s">
        <v>779</v>
      </c>
      <c r="C525" s="82" t="s">
        <v>6125</v>
      </c>
    </row>
    <row r="526" spans="1:3" s="79" customFormat="1" ht="49.15" customHeight="1" x14ac:dyDescent="0.2">
      <c r="A526" s="81">
        <v>20003593</v>
      </c>
      <c r="B526" s="80" t="s">
        <v>780</v>
      </c>
      <c r="C526" s="81" t="s">
        <v>6126</v>
      </c>
    </row>
    <row r="527" spans="1:3" s="79" customFormat="1" ht="78.95" customHeight="1" x14ac:dyDescent="0.2">
      <c r="A527" s="81">
        <v>20003594</v>
      </c>
      <c r="B527" s="80" t="s">
        <v>781</v>
      </c>
      <c r="C527" s="82" t="s">
        <v>6127</v>
      </c>
    </row>
    <row r="528" spans="1:3" s="79" customFormat="1" ht="59.1" customHeight="1" x14ac:dyDescent="0.2">
      <c r="A528" s="81">
        <v>20003595</v>
      </c>
      <c r="B528" s="80" t="s">
        <v>782</v>
      </c>
      <c r="C528" s="82" t="s">
        <v>6128</v>
      </c>
    </row>
    <row r="529" spans="1:3" s="79" customFormat="1" ht="38.85" customHeight="1" x14ac:dyDescent="0.2">
      <c r="A529" s="81">
        <v>20003596</v>
      </c>
      <c r="B529" s="80" t="s">
        <v>783</v>
      </c>
      <c r="C529" s="82" t="s">
        <v>6129</v>
      </c>
    </row>
    <row r="530" spans="1:3" s="79" customFormat="1" ht="78.95" customHeight="1" x14ac:dyDescent="0.2">
      <c r="A530" s="81">
        <v>20003597</v>
      </c>
      <c r="B530" s="80" t="s">
        <v>784</v>
      </c>
      <c r="C530" s="82" t="s">
        <v>6130</v>
      </c>
    </row>
    <row r="531" spans="1:3" s="79" customFormat="1" ht="49.15" customHeight="1" x14ac:dyDescent="0.2">
      <c r="A531" s="81">
        <v>20003598</v>
      </c>
      <c r="B531" s="80" t="s">
        <v>785</v>
      </c>
      <c r="C531" s="82" t="s">
        <v>6131</v>
      </c>
    </row>
    <row r="532" spans="1:3" s="79" customFormat="1" ht="49.15" customHeight="1" x14ac:dyDescent="0.2">
      <c r="A532" s="81">
        <v>20003599</v>
      </c>
      <c r="B532" s="80" t="s">
        <v>786</v>
      </c>
      <c r="C532" s="82" t="s">
        <v>6132</v>
      </c>
    </row>
    <row r="533" spans="1:3" s="79" customFormat="1" ht="49.15" customHeight="1" x14ac:dyDescent="0.2">
      <c r="A533" s="81">
        <v>20003600</v>
      </c>
      <c r="B533" s="80" t="s">
        <v>787</v>
      </c>
      <c r="C533" s="82" t="s">
        <v>6133</v>
      </c>
    </row>
    <row r="534" spans="1:3" s="79" customFormat="1" ht="49.15" customHeight="1" x14ac:dyDescent="0.2">
      <c r="A534" s="81">
        <v>20003603</v>
      </c>
      <c r="B534" s="80" t="s">
        <v>788</v>
      </c>
      <c r="C534" s="81" t="s">
        <v>6134</v>
      </c>
    </row>
    <row r="535" spans="1:3" s="79" customFormat="1" ht="78.95" customHeight="1" x14ac:dyDescent="0.2">
      <c r="A535" s="81">
        <v>20003605</v>
      </c>
      <c r="B535" s="80" t="s">
        <v>789</v>
      </c>
      <c r="C535" s="82" t="s">
        <v>6135</v>
      </c>
    </row>
    <row r="536" spans="1:3" s="79" customFormat="1" ht="59.1" customHeight="1" x14ac:dyDescent="0.2">
      <c r="A536" s="81">
        <v>20003606</v>
      </c>
      <c r="B536" s="80" t="s">
        <v>790</v>
      </c>
      <c r="C536" s="82" t="s">
        <v>6136</v>
      </c>
    </row>
    <row r="537" spans="1:3" s="79" customFormat="1" ht="59.1" customHeight="1" x14ac:dyDescent="0.2">
      <c r="A537" s="81">
        <v>20003607</v>
      </c>
      <c r="B537" s="80" t="s">
        <v>791</v>
      </c>
      <c r="C537" s="82" t="s">
        <v>6137</v>
      </c>
    </row>
    <row r="538" spans="1:3" s="79" customFormat="1" ht="59.1" customHeight="1" x14ac:dyDescent="0.2">
      <c r="A538" s="81">
        <v>20003608</v>
      </c>
      <c r="B538" s="80" t="s">
        <v>792</v>
      </c>
      <c r="C538" s="82" t="s">
        <v>6138</v>
      </c>
    </row>
    <row r="539" spans="1:3" s="79" customFormat="1" ht="59.1" customHeight="1" x14ac:dyDescent="0.2">
      <c r="A539" s="81">
        <v>20003610</v>
      </c>
      <c r="B539" s="80" t="s">
        <v>793</v>
      </c>
      <c r="C539" s="82" t="s">
        <v>6139</v>
      </c>
    </row>
    <row r="540" spans="1:3" s="79" customFormat="1" ht="49.15" customHeight="1" x14ac:dyDescent="0.2">
      <c r="A540" s="81">
        <v>20003611</v>
      </c>
      <c r="B540" s="80" t="s">
        <v>794</v>
      </c>
      <c r="C540" s="82" t="s">
        <v>6140</v>
      </c>
    </row>
    <row r="541" spans="1:3" s="79" customFormat="1" ht="28.7" customHeight="1" x14ac:dyDescent="0.2">
      <c r="A541" s="81">
        <v>20003612</v>
      </c>
      <c r="B541" s="80" t="s">
        <v>795</v>
      </c>
      <c r="C541" s="81" t="s">
        <v>6141</v>
      </c>
    </row>
    <row r="542" spans="1:3" s="79" customFormat="1" ht="118.9" customHeight="1" x14ac:dyDescent="0.2">
      <c r="A542" s="81">
        <v>20003613</v>
      </c>
      <c r="B542" s="80" t="s">
        <v>796</v>
      </c>
      <c r="C542" s="82" t="s">
        <v>6142</v>
      </c>
    </row>
    <row r="543" spans="1:3" s="79" customFormat="1" ht="59.1" customHeight="1" x14ac:dyDescent="0.2">
      <c r="A543" s="81">
        <v>20003614</v>
      </c>
      <c r="B543" s="80" t="s">
        <v>797</v>
      </c>
      <c r="C543" s="81" t="s">
        <v>6143</v>
      </c>
    </row>
    <row r="544" spans="1:3" s="79" customFormat="1" ht="68.849999999999994" customHeight="1" x14ac:dyDescent="0.2">
      <c r="A544" s="81">
        <v>20003617</v>
      </c>
      <c r="B544" s="80" t="s">
        <v>798</v>
      </c>
      <c r="C544" s="82" t="s">
        <v>6144</v>
      </c>
    </row>
    <row r="545" spans="1:3" s="79" customFormat="1" ht="68.849999999999994" customHeight="1" x14ac:dyDescent="0.2">
      <c r="A545" s="81">
        <v>20003619</v>
      </c>
      <c r="B545" s="80" t="s">
        <v>799</v>
      </c>
      <c r="C545" s="81" t="s">
        <v>6145</v>
      </c>
    </row>
    <row r="546" spans="1:3" s="79" customFormat="1" ht="68.849999999999994" customHeight="1" x14ac:dyDescent="0.2">
      <c r="A546" s="81">
        <v>20003620</v>
      </c>
      <c r="B546" s="80" t="s">
        <v>800</v>
      </c>
      <c r="C546" s="81" t="s">
        <v>6146</v>
      </c>
    </row>
    <row r="547" spans="1:3" s="79" customFormat="1" ht="68.849999999999994" customHeight="1" x14ac:dyDescent="0.2">
      <c r="A547" s="81">
        <v>20003622</v>
      </c>
      <c r="B547" s="80" t="s">
        <v>801</v>
      </c>
      <c r="C547" s="81" t="s">
        <v>6147</v>
      </c>
    </row>
    <row r="548" spans="1:3" s="79" customFormat="1" ht="78.95" customHeight="1" x14ac:dyDescent="0.2">
      <c r="A548" s="81">
        <v>20003623</v>
      </c>
      <c r="B548" s="80" t="s">
        <v>802</v>
      </c>
      <c r="C548" s="81" t="s">
        <v>6148</v>
      </c>
    </row>
    <row r="549" spans="1:3" s="79" customFormat="1" ht="78.95" customHeight="1" x14ac:dyDescent="0.2">
      <c r="A549" s="81">
        <v>20003624</v>
      </c>
      <c r="B549" s="80" t="s">
        <v>803</v>
      </c>
      <c r="C549" s="81" t="s">
        <v>6149</v>
      </c>
    </row>
    <row r="550" spans="1:3" s="79" customFormat="1" ht="78.95" customHeight="1" x14ac:dyDescent="0.2">
      <c r="A550" s="81">
        <v>20003625</v>
      </c>
      <c r="B550" s="80" t="s">
        <v>804</v>
      </c>
      <c r="C550" s="81" t="s">
        <v>6150</v>
      </c>
    </row>
    <row r="551" spans="1:3" s="79" customFormat="1" ht="78.95" customHeight="1" x14ac:dyDescent="0.2">
      <c r="A551" s="81">
        <v>20003626</v>
      </c>
      <c r="B551" s="80" t="s">
        <v>805</v>
      </c>
      <c r="C551" s="82" t="s">
        <v>6151</v>
      </c>
    </row>
    <row r="552" spans="1:3" s="79" customFormat="1" ht="89.1" customHeight="1" x14ac:dyDescent="0.2">
      <c r="A552" s="81">
        <v>20003627</v>
      </c>
      <c r="B552" s="80" t="s">
        <v>806</v>
      </c>
      <c r="C552" s="82" t="s">
        <v>6152</v>
      </c>
    </row>
    <row r="553" spans="1:3" s="79" customFormat="1" ht="38.85" customHeight="1" x14ac:dyDescent="0.2">
      <c r="A553" s="81">
        <v>20003628</v>
      </c>
      <c r="B553" s="80" t="s">
        <v>807</v>
      </c>
      <c r="C553" s="82" t="s">
        <v>6153</v>
      </c>
    </row>
    <row r="554" spans="1:3" s="79" customFormat="1" ht="49.15" customHeight="1" x14ac:dyDescent="0.2">
      <c r="A554" s="81">
        <v>20003629</v>
      </c>
      <c r="B554" s="80" t="s">
        <v>808</v>
      </c>
      <c r="C554" s="81" t="s">
        <v>6154</v>
      </c>
    </row>
    <row r="555" spans="1:3" s="79" customFormat="1" ht="68.849999999999994" customHeight="1" x14ac:dyDescent="0.2">
      <c r="A555" s="81">
        <v>20003630</v>
      </c>
      <c r="B555" s="80" t="s">
        <v>809</v>
      </c>
      <c r="C555" s="81" t="s">
        <v>6155</v>
      </c>
    </row>
    <row r="556" spans="1:3" s="79" customFormat="1" ht="68.849999999999994" customHeight="1" x14ac:dyDescent="0.2">
      <c r="A556" s="81">
        <v>20003631</v>
      </c>
      <c r="B556" s="80" t="s">
        <v>810</v>
      </c>
      <c r="C556" s="81" t="s">
        <v>6156</v>
      </c>
    </row>
    <row r="557" spans="1:3" s="79" customFormat="1" ht="179.1" customHeight="1" x14ac:dyDescent="0.2">
      <c r="A557" s="81">
        <v>20003632</v>
      </c>
      <c r="B557" s="80" t="s">
        <v>811</v>
      </c>
      <c r="C557" s="81" t="s">
        <v>6157</v>
      </c>
    </row>
    <row r="558" spans="1:3" s="79" customFormat="1" ht="139.15" customHeight="1" x14ac:dyDescent="0.2">
      <c r="A558" s="81">
        <v>20003633</v>
      </c>
      <c r="B558" s="80" t="s">
        <v>812</v>
      </c>
      <c r="C558" s="82" t="s">
        <v>6158</v>
      </c>
    </row>
    <row r="559" spans="1:3" s="79" customFormat="1" ht="59.1" customHeight="1" x14ac:dyDescent="0.2">
      <c r="A559" s="81">
        <v>20003634</v>
      </c>
      <c r="B559" s="80" t="s">
        <v>813</v>
      </c>
      <c r="C559" s="82" t="s">
        <v>6159</v>
      </c>
    </row>
    <row r="560" spans="1:3" s="79" customFormat="1" ht="49.15" customHeight="1" x14ac:dyDescent="0.2">
      <c r="A560" s="81">
        <v>20003635</v>
      </c>
      <c r="B560" s="80" t="s">
        <v>814</v>
      </c>
      <c r="C560" s="82" t="s">
        <v>6160</v>
      </c>
    </row>
    <row r="561" spans="1:3" s="79" customFormat="1" ht="59.1" customHeight="1" x14ac:dyDescent="0.2">
      <c r="A561" s="81">
        <v>20003636</v>
      </c>
      <c r="B561" s="80" t="s">
        <v>815</v>
      </c>
      <c r="C561" s="82" t="s">
        <v>6161</v>
      </c>
    </row>
    <row r="562" spans="1:3" s="79" customFormat="1" ht="49.15" customHeight="1" x14ac:dyDescent="0.2">
      <c r="A562" s="81">
        <v>20003640</v>
      </c>
      <c r="B562" s="80" t="s">
        <v>816</v>
      </c>
      <c r="C562" s="82" t="s">
        <v>6162</v>
      </c>
    </row>
    <row r="563" spans="1:3" s="79" customFormat="1" ht="59.1" customHeight="1" x14ac:dyDescent="0.2">
      <c r="A563" s="81">
        <v>20003652</v>
      </c>
      <c r="B563" s="80" t="s">
        <v>817</v>
      </c>
      <c r="C563" s="82" t="s">
        <v>6163</v>
      </c>
    </row>
    <row r="564" spans="1:3" s="79" customFormat="1" ht="49.15" customHeight="1" x14ac:dyDescent="0.2">
      <c r="A564" s="81">
        <v>20003653</v>
      </c>
      <c r="B564" s="80" t="s">
        <v>818</v>
      </c>
      <c r="C564" s="82" t="s">
        <v>6164</v>
      </c>
    </row>
    <row r="565" spans="1:3" s="79" customFormat="1" ht="49.15" customHeight="1" x14ac:dyDescent="0.2">
      <c r="A565" s="81">
        <v>20003657</v>
      </c>
      <c r="B565" s="80" t="s">
        <v>819</v>
      </c>
      <c r="C565" s="82" t="s">
        <v>6165</v>
      </c>
    </row>
    <row r="566" spans="1:3" s="79" customFormat="1" ht="19.149999999999999" customHeight="1" x14ac:dyDescent="0.2">
      <c r="A566" s="81">
        <v>20003658</v>
      </c>
      <c r="B566" s="80" t="s">
        <v>820</v>
      </c>
      <c r="C566" s="81" t="s">
        <v>6166</v>
      </c>
    </row>
    <row r="567" spans="1:3" s="79" customFormat="1" ht="78.95" customHeight="1" x14ac:dyDescent="0.2">
      <c r="A567" s="81">
        <v>20003660</v>
      </c>
      <c r="B567" s="80" t="s">
        <v>821</v>
      </c>
      <c r="C567" s="82" t="s">
        <v>6167</v>
      </c>
    </row>
    <row r="568" spans="1:3" s="79" customFormat="1" ht="19.149999999999999" customHeight="1" x14ac:dyDescent="0.2">
      <c r="A568" s="81">
        <v>20003662</v>
      </c>
      <c r="B568" s="80" t="s">
        <v>822</v>
      </c>
      <c r="C568" s="81" t="s">
        <v>6168</v>
      </c>
    </row>
    <row r="569" spans="1:3" s="79" customFormat="1" ht="78.95" customHeight="1" x14ac:dyDescent="0.2">
      <c r="A569" s="81">
        <v>20003663</v>
      </c>
      <c r="B569" s="80" t="s">
        <v>823</v>
      </c>
      <c r="C569" s="82" t="s">
        <v>6169</v>
      </c>
    </row>
    <row r="570" spans="1:3" s="79" customFormat="1" ht="28.7" customHeight="1" x14ac:dyDescent="0.2">
      <c r="A570" s="81">
        <v>20003692</v>
      </c>
      <c r="B570" s="80" t="s">
        <v>824</v>
      </c>
      <c r="C570" s="81" t="s">
        <v>6170</v>
      </c>
    </row>
    <row r="571" spans="1:3" s="79" customFormat="1" ht="59.1" customHeight="1" x14ac:dyDescent="0.2">
      <c r="A571" s="81">
        <v>20003715</v>
      </c>
      <c r="B571" s="80" t="s">
        <v>825</v>
      </c>
      <c r="C571" s="81" t="s">
        <v>6171</v>
      </c>
    </row>
    <row r="572" spans="1:3" s="79" customFormat="1" ht="68.849999999999994" customHeight="1" x14ac:dyDescent="0.2">
      <c r="A572" s="81">
        <v>20003716</v>
      </c>
      <c r="B572" s="80" t="s">
        <v>826</v>
      </c>
      <c r="C572" s="81" t="s">
        <v>6172</v>
      </c>
    </row>
    <row r="573" spans="1:3" s="79" customFormat="1" ht="68.849999999999994" customHeight="1" x14ac:dyDescent="0.2">
      <c r="A573" s="81">
        <v>20003719</v>
      </c>
      <c r="B573" s="80" t="s">
        <v>827</v>
      </c>
      <c r="C573" s="81" t="s">
        <v>6173</v>
      </c>
    </row>
    <row r="574" spans="1:3" s="79" customFormat="1" ht="68.849999999999994" customHeight="1" x14ac:dyDescent="0.2">
      <c r="A574" s="81">
        <v>20003720</v>
      </c>
      <c r="B574" s="80" t="s">
        <v>828</v>
      </c>
      <c r="C574" s="82" t="s">
        <v>6174</v>
      </c>
    </row>
    <row r="575" spans="1:3" s="79" customFormat="1" ht="28.7" customHeight="1" x14ac:dyDescent="0.2">
      <c r="A575" s="81">
        <v>20003721</v>
      </c>
      <c r="B575" s="80" t="s">
        <v>829</v>
      </c>
      <c r="C575" s="82" t="s">
        <v>6175</v>
      </c>
    </row>
    <row r="576" spans="1:3" s="79" customFormat="1" ht="49.15" customHeight="1" x14ac:dyDescent="0.2">
      <c r="A576" s="81">
        <v>20003722</v>
      </c>
      <c r="B576" s="80" t="s">
        <v>830</v>
      </c>
      <c r="C576" s="82" t="s">
        <v>6176</v>
      </c>
    </row>
    <row r="577" spans="1:3" s="79" customFormat="1" ht="28.7" customHeight="1" x14ac:dyDescent="0.2">
      <c r="A577" s="81">
        <v>20003723</v>
      </c>
      <c r="B577" s="80" t="s">
        <v>831</v>
      </c>
      <c r="C577" s="82" t="s">
        <v>6177</v>
      </c>
    </row>
    <row r="578" spans="1:3" s="79" customFormat="1" ht="49.15" customHeight="1" x14ac:dyDescent="0.2">
      <c r="A578" s="81">
        <v>20003728</v>
      </c>
      <c r="B578" s="80" t="s">
        <v>832</v>
      </c>
      <c r="C578" s="81" t="s">
        <v>6178</v>
      </c>
    </row>
    <row r="579" spans="1:3" s="79" customFormat="1" ht="49.15" customHeight="1" x14ac:dyDescent="0.2">
      <c r="A579" s="81">
        <v>20003729</v>
      </c>
      <c r="B579" s="80" t="s">
        <v>833</v>
      </c>
      <c r="C579" s="81" t="s">
        <v>6179</v>
      </c>
    </row>
    <row r="580" spans="1:3" s="79" customFormat="1" ht="129" customHeight="1" x14ac:dyDescent="0.2">
      <c r="A580" s="81">
        <v>20003730</v>
      </c>
      <c r="B580" s="80" t="s">
        <v>834</v>
      </c>
      <c r="C580" s="82" t="s">
        <v>6180</v>
      </c>
    </row>
    <row r="581" spans="1:3" s="79" customFormat="1" ht="49.15" customHeight="1" x14ac:dyDescent="0.2">
      <c r="A581" s="81">
        <v>20003731</v>
      </c>
      <c r="B581" s="80" t="s">
        <v>835</v>
      </c>
      <c r="C581" s="82" t="s">
        <v>6181</v>
      </c>
    </row>
    <row r="582" spans="1:3" s="79" customFormat="1" ht="49.15" customHeight="1" x14ac:dyDescent="0.2">
      <c r="A582" s="81">
        <v>20003732</v>
      </c>
      <c r="B582" s="80" t="s">
        <v>836</v>
      </c>
      <c r="C582" s="82" t="s">
        <v>6182</v>
      </c>
    </row>
    <row r="583" spans="1:3" s="79" customFormat="1" ht="19.149999999999999" customHeight="1" x14ac:dyDescent="0.2">
      <c r="A583" s="81">
        <v>20003733</v>
      </c>
      <c r="B583" s="80" t="s">
        <v>837</v>
      </c>
      <c r="C583" s="80" t="s">
        <v>6183</v>
      </c>
    </row>
    <row r="584" spans="1:3" s="79" customFormat="1" ht="19.149999999999999" customHeight="1" x14ac:dyDescent="0.2">
      <c r="A584" s="81">
        <v>20003734</v>
      </c>
      <c r="B584" s="80" t="s">
        <v>838</v>
      </c>
      <c r="C584" s="82" t="s">
        <v>6184</v>
      </c>
    </row>
    <row r="585" spans="1:3" s="79" customFormat="1" ht="19.149999999999999" customHeight="1" x14ac:dyDescent="0.2">
      <c r="A585" s="81">
        <v>20003735</v>
      </c>
      <c r="B585" s="80" t="s">
        <v>839</v>
      </c>
      <c r="C585" s="82" t="s">
        <v>6185</v>
      </c>
    </row>
    <row r="586" spans="1:3" s="79" customFormat="1" ht="19.149999999999999" customHeight="1" x14ac:dyDescent="0.2">
      <c r="A586" s="81">
        <v>20003736</v>
      </c>
      <c r="B586" s="80" t="s">
        <v>840</v>
      </c>
      <c r="C586" s="82" t="s">
        <v>6186</v>
      </c>
    </row>
    <row r="587" spans="1:3" s="79" customFormat="1" ht="49.15" customHeight="1" x14ac:dyDescent="0.2">
      <c r="A587" s="81">
        <v>20003741</v>
      </c>
      <c r="B587" s="80" t="s">
        <v>841</v>
      </c>
      <c r="C587" s="82" t="s">
        <v>6187</v>
      </c>
    </row>
    <row r="588" spans="1:3" s="79" customFormat="1" ht="49.15" customHeight="1" x14ac:dyDescent="0.2">
      <c r="A588" s="81">
        <v>20003742</v>
      </c>
      <c r="B588" s="80" t="s">
        <v>842</v>
      </c>
      <c r="C588" s="82" t="s">
        <v>6188</v>
      </c>
    </row>
    <row r="589" spans="1:3" s="79" customFormat="1" ht="59.1" customHeight="1" x14ac:dyDescent="0.2">
      <c r="A589" s="81">
        <v>20003743</v>
      </c>
      <c r="B589" s="80" t="s">
        <v>843</v>
      </c>
      <c r="C589" s="82" t="s">
        <v>6189</v>
      </c>
    </row>
    <row r="590" spans="1:3" s="79" customFormat="1" ht="68.849999999999994" customHeight="1" x14ac:dyDescent="0.2">
      <c r="A590" s="81">
        <v>20003744</v>
      </c>
      <c r="B590" s="80" t="s">
        <v>844</v>
      </c>
      <c r="C590" s="82" t="s">
        <v>6190</v>
      </c>
    </row>
    <row r="591" spans="1:3" s="79" customFormat="1" ht="59.1" customHeight="1" x14ac:dyDescent="0.2">
      <c r="A591" s="81">
        <v>20003745</v>
      </c>
      <c r="B591" s="80" t="s">
        <v>845</v>
      </c>
      <c r="C591" s="82" t="s">
        <v>6191</v>
      </c>
    </row>
    <row r="592" spans="1:3" s="79" customFormat="1" ht="59.1" customHeight="1" x14ac:dyDescent="0.2">
      <c r="A592" s="81">
        <v>20003746</v>
      </c>
      <c r="B592" s="80" t="s">
        <v>846</v>
      </c>
      <c r="C592" s="82" t="s">
        <v>6192</v>
      </c>
    </row>
    <row r="593" spans="1:3" s="79" customFormat="1" ht="38.85" customHeight="1" x14ac:dyDescent="0.2">
      <c r="A593" s="81">
        <v>20003747</v>
      </c>
      <c r="B593" s="80" t="s">
        <v>847</v>
      </c>
      <c r="C593" s="82" t="s">
        <v>6193</v>
      </c>
    </row>
    <row r="594" spans="1:3" s="79" customFormat="1" ht="38.85" customHeight="1" x14ac:dyDescent="0.2">
      <c r="A594" s="81">
        <v>20003748</v>
      </c>
      <c r="B594" s="80" t="s">
        <v>848</v>
      </c>
      <c r="C594" s="82" t="s">
        <v>6194</v>
      </c>
    </row>
    <row r="595" spans="1:3" s="79" customFormat="1" ht="38.85" customHeight="1" x14ac:dyDescent="0.2">
      <c r="A595" s="81">
        <v>20003749</v>
      </c>
      <c r="B595" s="80" t="s">
        <v>849</v>
      </c>
      <c r="C595" s="82" t="s">
        <v>6195</v>
      </c>
    </row>
    <row r="596" spans="1:3" s="79" customFormat="1" ht="38.85" customHeight="1" x14ac:dyDescent="0.2">
      <c r="A596" s="81">
        <v>20003750</v>
      </c>
      <c r="B596" s="80" t="s">
        <v>850</v>
      </c>
      <c r="C596" s="82" t="s">
        <v>6196</v>
      </c>
    </row>
    <row r="597" spans="1:3" s="79" customFormat="1" ht="38.85" customHeight="1" x14ac:dyDescent="0.2">
      <c r="A597" s="81">
        <v>20003751</v>
      </c>
      <c r="B597" s="80" t="s">
        <v>851</v>
      </c>
      <c r="C597" s="82" t="s">
        <v>6197</v>
      </c>
    </row>
    <row r="598" spans="1:3" s="79" customFormat="1" ht="38.85" customHeight="1" x14ac:dyDescent="0.2">
      <c r="A598" s="81">
        <v>20003752</v>
      </c>
      <c r="B598" s="80" t="s">
        <v>852</v>
      </c>
      <c r="C598" s="82" t="s">
        <v>6198</v>
      </c>
    </row>
    <row r="599" spans="1:3" s="79" customFormat="1" ht="59.1" customHeight="1" x14ac:dyDescent="0.2">
      <c r="A599" s="81">
        <v>20003753</v>
      </c>
      <c r="B599" s="80" t="s">
        <v>853</v>
      </c>
      <c r="C599" s="82" t="s">
        <v>6199</v>
      </c>
    </row>
    <row r="600" spans="1:3" s="79" customFormat="1" ht="59.1" customHeight="1" x14ac:dyDescent="0.2">
      <c r="A600" s="81">
        <v>20003761</v>
      </c>
      <c r="B600" s="80" t="s">
        <v>854</v>
      </c>
      <c r="C600" s="82" t="s">
        <v>6200</v>
      </c>
    </row>
    <row r="601" spans="1:3" s="79" customFormat="1" ht="59.1" customHeight="1" x14ac:dyDescent="0.2">
      <c r="A601" s="107">
        <v>20003765</v>
      </c>
      <c r="B601" s="106" t="s">
        <v>855</v>
      </c>
      <c r="C601" s="107" t="s">
        <v>6201</v>
      </c>
    </row>
    <row r="602" spans="1:3" s="79" customFormat="1" ht="409.6" customHeight="1" x14ac:dyDescent="0.2">
      <c r="A602" s="106"/>
      <c r="B602" s="106"/>
      <c r="C602" s="107"/>
    </row>
    <row r="603" spans="1:3" s="79" customFormat="1" ht="10.15" customHeight="1" x14ac:dyDescent="0.2">
      <c r="A603" s="81">
        <v>20003766</v>
      </c>
      <c r="B603" s="80" t="s">
        <v>856</v>
      </c>
      <c r="C603" s="81" t="s">
        <v>6202</v>
      </c>
    </row>
    <row r="604" spans="1:3" s="79" customFormat="1" ht="158.85" customHeight="1" x14ac:dyDescent="0.2">
      <c r="A604" s="81">
        <v>20003768</v>
      </c>
      <c r="B604" s="80" t="s">
        <v>857</v>
      </c>
      <c r="C604" s="81" t="s">
        <v>6203</v>
      </c>
    </row>
    <row r="605" spans="1:3" s="79" customFormat="1" ht="259.14999999999998" customHeight="1" x14ac:dyDescent="0.2">
      <c r="A605" s="81">
        <v>20003773</v>
      </c>
      <c r="B605" s="80" t="s">
        <v>858</v>
      </c>
      <c r="C605" s="80" t="s">
        <v>6204</v>
      </c>
    </row>
    <row r="606" spans="1:3" s="79" customFormat="1" ht="19.149999999999999" customHeight="1" x14ac:dyDescent="0.2">
      <c r="A606" s="81">
        <v>20003776</v>
      </c>
      <c r="B606" s="80" t="s">
        <v>859</v>
      </c>
      <c r="C606" s="82" t="s">
        <v>6205</v>
      </c>
    </row>
    <row r="607" spans="1:3" s="79" customFormat="1" ht="59.1" customHeight="1" x14ac:dyDescent="0.2">
      <c r="A607" s="81">
        <v>20003784</v>
      </c>
      <c r="B607" s="80" t="s">
        <v>860</v>
      </c>
      <c r="C607" s="82" t="s">
        <v>6206</v>
      </c>
    </row>
    <row r="608" spans="1:3" s="79" customFormat="1" ht="19.149999999999999" customHeight="1" x14ac:dyDescent="0.2">
      <c r="A608" s="81">
        <v>20003785</v>
      </c>
      <c r="B608" s="80" t="s">
        <v>861</v>
      </c>
      <c r="C608" s="82" t="s">
        <v>6207</v>
      </c>
    </row>
    <row r="609" spans="1:3" s="79" customFormat="1" ht="19.149999999999999" customHeight="1" x14ac:dyDescent="0.2">
      <c r="A609" s="81">
        <v>20003786</v>
      </c>
      <c r="B609" s="80" t="s">
        <v>862</v>
      </c>
      <c r="C609" s="82" t="s">
        <v>6208</v>
      </c>
    </row>
    <row r="610" spans="1:3" s="79" customFormat="1" ht="19.149999999999999" customHeight="1" x14ac:dyDescent="0.2">
      <c r="A610" s="81">
        <v>20003787</v>
      </c>
      <c r="B610" s="80" t="s">
        <v>863</v>
      </c>
      <c r="C610" s="82" t="s">
        <v>6209</v>
      </c>
    </row>
    <row r="611" spans="1:3" s="79" customFormat="1" ht="19.149999999999999" customHeight="1" x14ac:dyDescent="0.2">
      <c r="A611" s="81">
        <v>20003788</v>
      </c>
      <c r="B611" s="80" t="s">
        <v>864</v>
      </c>
      <c r="C611" s="82" t="s">
        <v>6210</v>
      </c>
    </row>
    <row r="612" spans="1:3" s="79" customFormat="1" ht="28.7" customHeight="1" x14ac:dyDescent="0.2">
      <c r="A612" s="81">
        <v>20003802</v>
      </c>
      <c r="B612" s="80" t="s">
        <v>865</v>
      </c>
      <c r="C612" s="82" t="s">
        <v>6211</v>
      </c>
    </row>
    <row r="613" spans="1:3" s="79" customFormat="1" ht="49.15" customHeight="1" x14ac:dyDescent="0.2">
      <c r="A613" s="81">
        <v>20003803</v>
      </c>
      <c r="B613" s="80" t="s">
        <v>866</v>
      </c>
      <c r="C613" s="82" t="s">
        <v>6212</v>
      </c>
    </row>
    <row r="614" spans="1:3" s="79" customFormat="1" ht="59.1" customHeight="1" x14ac:dyDescent="0.2">
      <c r="A614" s="81">
        <v>20003804</v>
      </c>
      <c r="B614" s="80" t="s">
        <v>867</v>
      </c>
      <c r="C614" s="82" t="s">
        <v>6213</v>
      </c>
    </row>
    <row r="615" spans="1:3" s="79" customFormat="1" ht="68.849999999999994" customHeight="1" x14ac:dyDescent="0.2">
      <c r="A615" s="81">
        <v>20003805</v>
      </c>
      <c r="B615" s="80" t="s">
        <v>868</v>
      </c>
      <c r="C615" s="81" t="s">
        <v>6214</v>
      </c>
    </row>
    <row r="616" spans="1:3" s="79" customFormat="1" ht="99.2" customHeight="1" x14ac:dyDescent="0.2">
      <c r="A616" s="81">
        <v>20003806</v>
      </c>
      <c r="B616" s="80" t="s">
        <v>869</v>
      </c>
      <c r="C616" s="81" t="s">
        <v>6215</v>
      </c>
    </row>
    <row r="617" spans="1:3" s="79" customFormat="1" ht="68.849999999999994" customHeight="1" x14ac:dyDescent="0.2">
      <c r="A617" s="81">
        <v>20003807</v>
      </c>
      <c r="B617" s="80" t="s">
        <v>870</v>
      </c>
      <c r="C617" s="81" t="s">
        <v>6216</v>
      </c>
    </row>
    <row r="618" spans="1:3" s="79" customFormat="1" ht="78.95" customHeight="1" x14ac:dyDescent="0.2">
      <c r="A618" s="81">
        <v>20003811</v>
      </c>
      <c r="B618" s="80" t="s">
        <v>871</v>
      </c>
      <c r="C618" s="81" t="s">
        <v>6217</v>
      </c>
    </row>
    <row r="619" spans="1:3" s="79" customFormat="1" ht="99.2" customHeight="1" x14ac:dyDescent="0.2">
      <c r="A619" s="81">
        <v>20003813</v>
      </c>
      <c r="B619" s="80" t="s">
        <v>872</v>
      </c>
      <c r="C619" s="82" t="s">
        <v>6218</v>
      </c>
    </row>
    <row r="620" spans="1:3" s="79" customFormat="1" ht="49.15" customHeight="1" x14ac:dyDescent="0.2">
      <c r="A620" s="81">
        <v>20003814</v>
      </c>
      <c r="B620" s="80" t="s">
        <v>873</v>
      </c>
      <c r="C620" s="81" t="s">
        <v>6219</v>
      </c>
    </row>
    <row r="621" spans="1:3" s="79" customFormat="1" ht="118.9" customHeight="1" x14ac:dyDescent="0.2">
      <c r="A621" s="81">
        <v>20003815</v>
      </c>
      <c r="B621" s="80" t="s">
        <v>874</v>
      </c>
      <c r="C621" s="81" t="s">
        <v>6220</v>
      </c>
    </row>
    <row r="622" spans="1:3" s="79" customFormat="1" ht="99.2" customHeight="1" x14ac:dyDescent="0.2">
      <c r="A622" s="81">
        <v>20003816</v>
      </c>
      <c r="B622" s="80" t="s">
        <v>875</v>
      </c>
      <c r="C622" s="81" t="s">
        <v>6221</v>
      </c>
    </row>
    <row r="623" spans="1:3" s="79" customFormat="1" ht="99.2" customHeight="1" x14ac:dyDescent="0.2">
      <c r="A623" s="81">
        <v>20003817</v>
      </c>
      <c r="B623" s="80" t="s">
        <v>876</v>
      </c>
      <c r="C623" s="81" t="s">
        <v>6222</v>
      </c>
    </row>
    <row r="624" spans="1:3" s="79" customFormat="1" ht="118.9" customHeight="1" x14ac:dyDescent="0.2">
      <c r="A624" s="81">
        <v>20003818</v>
      </c>
      <c r="B624" s="80" t="s">
        <v>877</v>
      </c>
      <c r="C624" s="81" t="s">
        <v>6223</v>
      </c>
    </row>
    <row r="625" spans="1:3" s="79" customFormat="1" ht="78.95" customHeight="1" x14ac:dyDescent="0.2">
      <c r="A625" s="81">
        <v>20003819</v>
      </c>
      <c r="B625" s="80" t="s">
        <v>878</v>
      </c>
      <c r="C625" s="81" t="s">
        <v>6224</v>
      </c>
    </row>
    <row r="626" spans="1:3" s="79" customFormat="1" ht="99.2" customHeight="1" x14ac:dyDescent="0.2">
      <c r="A626" s="81">
        <v>20003820</v>
      </c>
      <c r="B626" s="80" t="s">
        <v>879</v>
      </c>
      <c r="C626" s="81" t="s">
        <v>6225</v>
      </c>
    </row>
    <row r="627" spans="1:3" s="79" customFormat="1" ht="118.9" customHeight="1" x14ac:dyDescent="0.2">
      <c r="A627" s="81">
        <v>20003821</v>
      </c>
      <c r="B627" s="80" t="s">
        <v>880</v>
      </c>
      <c r="C627" s="82" t="s">
        <v>6226</v>
      </c>
    </row>
    <row r="628" spans="1:3" s="79" customFormat="1" ht="28.7" customHeight="1" x14ac:dyDescent="0.2">
      <c r="A628" s="81">
        <v>20003822</v>
      </c>
      <c r="B628" s="80" t="s">
        <v>881</v>
      </c>
      <c r="C628" s="82" t="s">
        <v>6227</v>
      </c>
    </row>
    <row r="629" spans="1:3" s="79" customFormat="1" ht="28.7" customHeight="1" x14ac:dyDescent="0.2">
      <c r="A629" s="81">
        <v>20003823</v>
      </c>
      <c r="B629" s="80" t="s">
        <v>882</v>
      </c>
      <c r="C629" s="82" t="s">
        <v>6228</v>
      </c>
    </row>
    <row r="630" spans="1:3" s="79" customFormat="1" ht="99.2" customHeight="1" x14ac:dyDescent="0.2">
      <c r="A630" s="81">
        <v>20003824</v>
      </c>
      <c r="B630" s="80" t="s">
        <v>883</v>
      </c>
      <c r="C630" s="81" t="s">
        <v>6229</v>
      </c>
    </row>
    <row r="631" spans="1:3" s="79" customFormat="1" ht="99.2" customHeight="1" x14ac:dyDescent="0.2">
      <c r="A631" s="81">
        <v>20003825</v>
      </c>
      <c r="B631" s="80" t="s">
        <v>884</v>
      </c>
      <c r="C631" s="81" t="s">
        <v>6230</v>
      </c>
    </row>
    <row r="632" spans="1:3" s="79" customFormat="1" ht="109.35" customHeight="1" x14ac:dyDescent="0.2">
      <c r="A632" s="81">
        <v>20003826</v>
      </c>
      <c r="B632" s="80" t="s">
        <v>885</v>
      </c>
      <c r="C632" s="82" t="s">
        <v>6231</v>
      </c>
    </row>
    <row r="633" spans="1:3" s="79" customFormat="1" ht="68.849999999999994" customHeight="1" x14ac:dyDescent="0.2">
      <c r="A633" s="81">
        <v>20003827</v>
      </c>
      <c r="B633" s="80" t="s">
        <v>886</v>
      </c>
      <c r="C633" s="82" t="s">
        <v>6232</v>
      </c>
    </row>
    <row r="634" spans="1:3" s="79" customFormat="1" ht="68.849999999999994" customHeight="1" x14ac:dyDescent="0.2">
      <c r="A634" s="81">
        <v>20003828</v>
      </c>
      <c r="B634" s="80" t="s">
        <v>887</v>
      </c>
      <c r="C634" s="82" t="s">
        <v>6233</v>
      </c>
    </row>
    <row r="635" spans="1:3" s="79" customFormat="1" ht="59.1" customHeight="1" x14ac:dyDescent="0.2">
      <c r="A635" s="81">
        <v>20003830</v>
      </c>
      <c r="B635" s="80" t="s">
        <v>888</v>
      </c>
      <c r="C635" s="82" t="s">
        <v>6234</v>
      </c>
    </row>
    <row r="636" spans="1:3" s="79" customFormat="1" ht="59.1" customHeight="1" x14ac:dyDescent="0.2">
      <c r="A636" s="81">
        <v>20003836</v>
      </c>
      <c r="B636" s="80" t="s">
        <v>889</v>
      </c>
      <c r="C636" s="81" t="s">
        <v>6235</v>
      </c>
    </row>
    <row r="637" spans="1:3" s="79" customFormat="1" ht="89.1" customHeight="1" x14ac:dyDescent="0.2">
      <c r="A637" s="81">
        <v>20003837</v>
      </c>
      <c r="B637" s="80" t="s">
        <v>890</v>
      </c>
      <c r="C637" s="81" t="s">
        <v>6236</v>
      </c>
    </row>
    <row r="638" spans="1:3" s="79" customFormat="1" ht="149.25" customHeight="1" x14ac:dyDescent="0.2">
      <c r="A638" s="81">
        <v>20003838</v>
      </c>
      <c r="B638" s="80" t="s">
        <v>891</v>
      </c>
      <c r="C638" s="81" t="s">
        <v>6237</v>
      </c>
    </row>
    <row r="639" spans="1:3" s="79" customFormat="1" ht="89.1" customHeight="1" x14ac:dyDescent="0.2">
      <c r="A639" s="81">
        <v>20003839</v>
      </c>
      <c r="B639" s="80" t="s">
        <v>892</v>
      </c>
      <c r="C639" s="81" t="s">
        <v>6238</v>
      </c>
    </row>
    <row r="640" spans="1:3" s="79" customFormat="1" ht="99.2" customHeight="1" x14ac:dyDescent="0.2">
      <c r="A640" s="81">
        <v>20003840</v>
      </c>
      <c r="B640" s="80" t="s">
        <v>893</v>
      </c>
      <c r="C640" s="81" t="s">
        <v>6239</v>
      </c>
    </row>
    <row r="641" spans="1:3" s="79" customFormat="1" ht="118.9" customHeight="1" x14ac:dyDescent="0.2">
      <c r="A641" s="81">
        <v>20003841</v>
      </c>
      <c r="B641" s="80" t="s">
        <v>894</v>
      </c>
      <c r="C641" s="81" t="s">
        <v>6240</v>
      </c>
    </row>
    <row r="642" spans="1:3" s="79" customFormat="1" ht="68.849999999999994" customHeight="1" x14ac:dyDescent="0.2">
      <c r="A642" s="81">
        <v>20003842</v>
      </c>
      <c r="B642" s="80" t="s">
        <v>895</v>
      </c>
      <c r="C642" s="82" t="s">
        <v>6241</v>
      </c>
    </row>
    <row r="643" spans="1:3" s="79" customFormat="1" ht="49.15" customHeight="1" x14ac:dyDescent="0.2">
      <c r="A643" s="81">
        <v>20003843</v>
      </c>
      <c r="B643" s="80" t="s">
        <v>896</v>
      </c>
      <c r="C643" s="82" t="s">
        <v>6242</v>
      </c>
    </row>
    <row r="644" spans="1:3" s="79" customFormat="1" ht="59.1" customHeight="1" x14ac:dyDescent="0.2">
      <c r="A644" s="81">
        <v>20003844</v>
      </c>
      <c r="B644" s="80" t="s">
        <v>897</v>
      </c>
      <c r="C644" s="82" t="s">
        <v>6243</v>
      </c>
    </row>
    <row r="645" spans="1:3" s="79" customFormat="1" ht="59.1" customHeight="1" x14ac:dyDescent="0.2">
      <c r="A645" s="81">
        <v>20003845</v>
      </c>
      <c r="B645" s="80" t="s">
        <v>898</v>
      </c>
      <c r="C645" s="81" t="s">
        <v>6244</v>
      </c>
    </row>
    <row r="646" spans="1:3" s="79" customFormat="1" ht="149.25" customHeight="1" x14ac:dyDescent="0.2">
      <c r="A646" s="81">
        <v>20003846</v>
      </c>
      <c r="B646" s="80" t="s">
        <v>899</v>
      </c>
      <c r="C646" s="81" t="s">
        <v>6245</v>
      </c>
    </row>
    <row r="647" spans="1:3" s="79" customFormat="1" ht="179.1" customHeight="1" x14ac:dyDescent="0.2">
      <c r="A647" s="81">
        <v>20003848</v>
      </c>
      <c r="B647" s="80" t="s">
        <v>900</v>
      </c>
      <c r="C647" s="81" t="s">
        <v>6246</v>
      </c>
    </row>
    <row r="648" spans="1:3" s="79" customFormat="1" ht="99.2" customHeight="1" x14ac:dyDescent="0.2">
      <c r="A648" s="81">
        <v>20003849</v>
      </c>
      <c r="B648" s="80" t="s">
        <v>901</v>
      </c>
      <c r="C648" s="81" t="s">
        <v>6247</v>
      </c>
    </row>
    <row r="649" spans="1:3" s="79" customFormat="1" ht="89.1" customHeight="1" x14ac:dyDescent="0.2">
      <c r="A649" s="81">
        <v>20003909</v>
      </c>
      <c r="B649" s="80" t="s">
        <v>902</v>
      </c>
      <c r="C649" s="82" t="s">
        <v>6248</v>
      </c>
    </row>
    <row r="650" spans="1:3" s="79" customFormat="1" ht="19.149999999999999" customHeight="1" x14ac:dyDescent="0.2">
      <c r="A650" s="81">
        <v>20003984</v>
      </c>
      <c r="B650" s="80" t="s">
        <v>903</v>
      </c>
      <c r="C650" s="82" t="s">
        <v>6249</v>
      </c>
    </row>
    <row r="651" spans="1:3" s="79" customFormat="1" ht="28.7" customHeight="1" x14ac:dyDescent="0.2">
      <c r="A651" s="81">
        <v>20004041</v>
      </c>
      <c r="B651" s="80" t="s">
        <v>904</v>
      </c>
      <c r="C651" s="81" t="s">
        <v>6250</v>
      </c>
    </row>
    <row r="652" spans="1:3" s="79" customFormat="1" ht="78.95" customHeight="1" x14ac:dyDescent="0.2">
      <c r="A652" s="81">
        <v>20004043</v>
      </c>
      <c r="B652" s="80" t="s">
        <v>905</v>
      </c>
      <c r="C652" s="81" t="s">
        <v>6251</v>
      </c>
    </row>
    <row r="653" spans="1:3" s="79" customFormat="1" ht="78.95" customHeight="1" x14ac:dyDescent="0.2">
      <c r="A653" s="81">
        <v>20004044</v>
      </c>
      <c r="B653" s="80" t="s">
        <v>906</v>
      </c>
      <c r="C653" s="81" t="s">
        <v>6252</v>
      </c>
    </row>
    <row r="654" spans="1:3" s="79" customFormat="1" ht="78.95" customHeight="1" x14ac:dyDescent="0.2">
      <c r="A654" s="81">
        <v>20004045</v>
      </c>
      <c r="B654" s="80" t="s">
        <v>907</v>
      </c>
      <c r="C654" s="81" t="s">
        <v>6253</v>
      </c>
    </row>
    <row r="655" spans="1:3" s="79" customFormat="1" ht="78.95" customHeight="1" x14ac:dyDescent="0.2">
      <c r="A655" s="81">
        <v>20004047</v>
      </c>
      <c r="B655" s="80" t="s">
        <v>908</v>
      </c>
      <c r="C655" s="81" t="s">
        <v>6254</v>
      </c>
    </row>
    <row r="656" spans="1:3" s="79" customFormat="1" ht="78.95" customHeight="1" x14ac:dyDescent="0.2">
      <c r="A656" s="81">
        <v>20004048</v>
      </c>
      <c r="B656" s="80" t="s">
        <v>909</v>
      </c>
      <c r="C656" s="81" t="s">
        <v>6255</v>
      </c>
    </row>
    <row r="657" spans="1:3" s="79" customFormat="1" ht="78.95" customHeight="1" x14ac:dyDescent="0.2">
      <c r="A657" s="81">
        <v>20004119</v>
      </c>
      <c r="B657" s="80" t="s">
        <v>911</v>
      </c>
      <c r="C657" s="80"/>
    </row>
    <row r="658" spans="1:3" s="79" customFormat="1" ht="19.149999999999999" customHeight="1" x14ac:dyDescent="0.2">
      <c r="A658" s="81">
        <v>20004132</v>
      </c>
      <c r="B658" s="80" t="s">
        <v>913</v>
      </c>
      <c r="C658" s="80" t="s">
        <v>6256</v>
      </c>
    </row>
    <row r="659" spans="1:3" s="79" customFormat="1" ht="19.149999999999999" customHeight="1" x14ac:dyDescent="0.2">
      <c r="A659" s="81">
        <v>20004134</v>
      </c>
      <c r="B659" s="80" t="s">
        <v>914</v>
      </c>
      <c r="C659" s="80" t="s">
        <v>6257</v>
      </c>
    </row>
    <row r="660" spans="1:3" s="79" customFormat="1" ht="19.149999999999999" customHeight="1" x14ac:dyDescent="0.2">
      <c r="A660" s="81">
        <v>20004249</v>
      </c>
      <c r="B660" s="80" t="s">
        <v>915</v>
      </c>
      <c r="C660" s="82" t="s">
        <v>6258</v>
      </c>
    </row>
    <row r="661" spans="1:3" s="79" customFormat="1" ht="49.15" customHeight="1" x14ac:dyDescent="0.2">
      <c r="A661" s="81">
        <v>20004336</v>
      </c>
      <c r="B661" s="80" t="s">
        <v>916</v>
      </c>
      <c r="C661" s="80" t="s">
        <v>6259</v>
      </c>
    </row>
    <row r="662" spans="1:3" s="79" customFormat="1" ht="19.149999999999999" customHeight="1" x14ac:dyDescent="0.2">
      <c r="A662" s="81">
        <v>20004408</v>
      </c>
      <c r="B662" s="80" t="s">
        <v>917</v>
      </c>
      <c r="C662" s="80" t="s">
        <v>6260</v>
      </c>
    </row>
    <row r="663" spans="1:3" s="79" customFormat="1" ht="19.149999999999999" customHeight="1" x14ac:dyDescent="0.2">
      <c r="A663" s="81">
        <v>20004412</v>
      </c>
      <c r="B663" s="80" t="s">
        <v>918</v>
      </c>
      <c r="C663" s="80"/>
    </row>
    <row r="664" spans="1:3" s="79" customFormat="1" ht="19.149999999999999" customHeight="1" x14ac:dyDescent="0.2">
      <c r="A664" s="81">
        <v>20004413</v>
      </c>
      <c r="B664" s="80" t="s">
        <v>919</v>
      </c>
      <c r="C664" s="80"/>
    </row>
    <row r="665" spans="1:3" s="79" customFormat="1" ht="19.149999999999999" customHeight="1" x14ac:dyDescent="0.2">
      <c r="A665" s="81">
        <v>20004423</v>
      </c>
      <c r="B665" s="80" t="s">
        <v>920</v>
      </c>
      <c r="C665" s="80"/>
    </row>
    <row r="666" spans="1:3" s="79" customFormat="1" ht="19.149999999999999" customHeight="1" x14ac:dyDescent="0.2">
      <c r="A666" s="81">
        <v>20004433</v>
      </c>
      <c r="B666" s="80" t="s">
        <v>921</v>
      </c>
      <c r="C666" s="80"/>
    </row>
    <row r="667" spans="1:3" s="79" customFormat="1" ht="19.149999999999999" customHeight="1" x14ac:dyDescent="0.2">
      <c r="A667" s="81">
        <v>20004434</v>
      </c>
      <c r="B667" s="80" t="s">
        <v>922</v>
      </c>
      <c r="C667" s="81" t="s">
        <v>6261</v>
      </c>
    </row>
    <row r="668" spans="1:3" s="79" customFormat="1" ht="78.95" customHeight="1" x14ac:dyDescent="0.2">
      <c r="A668" s="81">
        <v>20004437</v>
      </c>
      <c r="B668" s="80" t="s">
        <v>923</v>
      </c>
      <c r="C668" s="80"/>
    </row>
    <row r="669" spans="1:3" s="79" customFormat="1" ht="19.149999999999999" customHeight="1" x14ac:dyDescent="0.2">
      <c r="A669" s="81">
        <v>20004449</v>
      </c>
      <c r="B669" s="80" t="s">
        <v>924</v>
      </c>
      <c r="C669" s="80"/>
    </row>
    <row r="670" spans="1:3" s="79" customFormat="1" ht="19.149999999999999" customHeight="1" x14ac:dyDescent="0.2">
      <c r="A670" s="81">
        <v>20004450</v>
      </c>
      <c r="B670" s="80" t="s">
        <v>925</v>
      </c>
      <c r="C670" s="80"/>
    </row>
    <row r="671" spans="1:3" s="79" customFormat="1" ht="19.149999999999999" customHeight="1" x14ac:dyDescent="0.2">
      <c r="A671" s="81">
        <v>20004451</v>
      </c>
      <c r="B671" s="80" t="s">
        <v>926</v>
      </c>
      <c r="C671" s="80"/>
    </row>
    <row r="672" spans="1:3" s="79" customFormat="1" ht="19.149999999999999" customHeight="1" x14ac:dyDescent="0.2">
      <c r="A672" s="81">
        <v>20004459</v>
      </c>
      <c r="B672" s="80" t="s">
        <v>927</v>
      </c>
      <c r="C672" s="80" t="s">
        <v>6262</v>
      </c>
    </row>
    <row r="673" spans="1:3" s="79" customFormat="1" ht="19.149999999999999" customHeight="1" x14ac:dyDescent="0.2">
      <c r="A673" s="81">
        <v>20004461</v>
      </c>
      <c r="B673" s="80" t="s">
        <v>928</v>
      </c>
      <c r="C673" s="80"/>
    </row>
    <row r="674" spans="1:3" s="79" customFormat="1" ht="19.149999999999999" customHeight="1" x14ac:dyDescent="0.2">
      <c r="A674" s="81">
        <v>20004469</v>
      </c>
      <c r="B674" s="80" t="s">
        <v>929</v>
      </c>
      <c r="C674" s="80" t="s">
        <v>6263</v>
      </c>
    </row>
    <row r="675" spans="1:3" s="79" customFormat="1" ht="19.149999999999999" customHeight="1" x14ac:dyDescent="0.2">
      <c r="A675" s="81">
        <v>20004474</v>
      </c>
      <c r="B675" s="80" t="s">
        <v>930</v>
      </c>
      <c r="C675" s="80"/>
    </row>
    <row r="676" spans="1:3" s="79" customFormat="1" ht="19.149999999999999" customHeight="1" x14ac:dyDescent="0.2">
      <c r="A676" s="81">
        <v>20004476</v>
      </c>
      <c r="B676" s="80" t="s">
        <v>931</v>
      </c>
      <c r="C676" s="80" t="s">
        <v>10949</v>
      </c>
    </row>
    <row r="677" spans="1:3" s="79" customFormat="1" ht="19.149999999999999" customHeight="1" x14ac:dyDescent="0.2">
      <c r="A677" s="81">
        <v>20004862</v>
      </c>
      <c r="B677" s="80" t="s">
        <v>932</v>
      </c>
      <c r="C677" s="82" t="s">
        <v>6264</v>
      </c>
    </row>
    <row r="678" spans="1:3" s="79" customFormat="1" ht="78.95" customHeight="1" x14ac:dyDescent="0.2">
      <c r="A678" s="81">
        <v>20004958</v>
      </c>
      <c r="B678" s="80" t="s">
        <v>933</v>
      </c>
      <c r="C678" s="82" t="s">
        <v>6265</v>
      </c>
    </row>
    <row r="679" spans="1:3" s="79" customFormat="1" ht="38.85" customHeight="1" x14ac:dyDescent="0.2">
      <c r="A679" s="81">
        <v>20004960</v>
      </c>
      <c r="B679" s="80" t="s">
        <v>934</v>
      </c>
      <c r="C679" s="82" t="s">
        <v>6266</v>
      </c>
    </row>
    <row r="680" spans="1:3" s="79" customFormat="1" ht="38.85" customHeight="1" x14ac:dyDescent="0.2">
      <c r="A680" s="81">
        <v>20004961</v>
      </c>
      <c r="B680" s="80" t="s">
        <v>935</v>
      </c>
      <c r="C680" s="82" t="s">
        <v>6267</v>
      </c>
    </row>
    <row r="681" spans="1:3" s="79" customFormat="1" ht="28.7" customHeight="1" x14ac:dyDescent="0.2">
      <c r="A681" s="81">
        <v>20004962</v>
      </c>
      <c r="B681" s="80" t="s">
        <v>936</v>
      </c>
      <c r="C681" s="80"/>
    </row>
    <row r="682" spans="1:3" s="79" customFormat="1" ht="19.149999999999999" customHeight="1" x14ac:dyDescent="0.2">
      <c r="A682" s="81">
        <v>20004964</v>
      </c>
      <c r="B682" s="80" t="s">
        <v>937</v>
      </c>
      <c r="C682" s="80"/>
    </row>
    <row r="683" spans="1:3" s="79" customFormat="1" ht="19.149999999999999" customHeight="1" x14ac:dyDescent="0.2">
      <c r="A683" s="81">
        <v>20005002</v>
      </c>
      <c r="B683" s="80" t="s">
        <v>938</v>
      </c>
      <c r="C683" s="82" t="s">
        <v>6268</v>
      </c>
    </row>
    <row r="684" spans="1:3" s="79" customFormat="1" ht="68.849999999999994" customHeight="1" x14ac:dyDescent="0.2">
      <c r="A684" s="81">
        <v>20005037</v>
      </c>
      <c r="B684" s="80" t="s">
        <v>939</v>
      </c>
      <c r="C684" s="82" t="s">
        <v>6269</v>
      </c>
    </row>
    <row r="685" spans="1:3" s="79" customFormat="1" ht="59.1" customHeight="1" x14ac:dyDescent="0.2">
      <c r="A685" s="81">
        <v>20005038</v>
      </c>
      <c r="B685" s="80" t="s">
        <v>940</v>
      </c>
      <c r="C685" s="82" t="s">
        <v>6270</v>
      </c>
    </row>
    <row r="686" spans="1:3" s="79" customFormat="1" ht="28.7" customHeight="1" x14ac:dyDescent="0.2">
      <c r="A686" s="81">
        <v>20005042</v>
      </c>
      <c r="B686" s="80" t="s">
        <v>941</v>
      </c>
      <c r="C686" s="82" t="s">
        <v>6271</v>
      </c>
    </row>
    <row r="687" spans="1:3" s="79" customFormat="1" ht="59.1" customHeight="1" x14ac:dyDescent="0.2">
      <c r="A687" s="81">
        <v>20005100</v>
      </c>
      <c r="B687" s="80" t="s">
        <v>943</v>
      </c>
      <c r="C687" s="82" t="s">
        <v>6272</v>
      </c>
    </row>
    <row r="688" spans="1:3" s="79" customFormat="1" ht="38.85" customHeight="1" x14ac:dyDescent="0.2">
      <c r="A688" s="81">
        <v>20005103</v>
      </c>
      <c r="B688" s="80" t="s">
        <v>944</v>
      </c>
      <c r="C688" s="82" t="s">
        <v>6273</v>
      </c>
    </row>
    <row r="689" spans="1:3" s="79" customFormat="1" ht="38.85" customHeight="1" x14ac:dyDescent="0.2">
      <c r="A689" s="81">
        <v>20005109</v>
      </c>
      <c r="B689" s="80" t="s">
        <v>945</v>
      </c>
      <c r="C689" s="82" t="s">
        <v>6274</v>
      </c>
    </row>
    <row r="690" spans="1:3" s="79" customFormat="1" ht="38.85" customHeight="1" x14ac:dyDescent="0.2">
      <c r="A690" s="81">
        <v>20005117</v>
      </c>
      <c r="B690" s="80" t="s">
        <v>946</v>
      </c>
      <c r="C690" s="81" t="s">
        <v>6275</v>
      </c>
    </row>
    <row r="691" spans="1:3" s="79" customFormat="1" ht="59.1" customHeight="1" x14ac:dyDescent="0.2">
      <c r="A691" s="81">
        <v>20005139</v>
      </c>
      <c r="B691" s="80" t="s">
        <v>947</v>
      </c>
      <c r="C691" s="82" t="s">
        <v>6276</v>
      </c>
    </row>
    <row r="692" spans="1:3" s="79" customFormat="1" ht="49.15" customHeight="1" x14ac:dyDescent="0.2">
      <c r="A692" s="81">
        <v>20005141</v>
      </c>
      <c r="B692" s="80" t="s">
        <v>948</v>
      </c>
      <c r="C692" s="82" t="s">
        <v>6277</v>
      </c>
    </row>
    <row r="693" spans="1:3" s="79" customFormat="1" ht="38.85" customHeight="1" x14ac:dyDescent="0.2">
      <c r="A693" s="81">
        <v>20005143</v>
      </c>
      <c r="B693" s="80" t="s">
        <v>949</v>
      </c>
      <c r="C693" s="80" t="s">
        <v>6278</v>
      </c>
    </row>
    <row r="694" spans="1:3" s="79" customFormat="1" ht="19.149999999999999" customHeight="1" x14ac:dyDescent="0.2">
      <c r="A694" s="81">
        <v>20005155</v>
      </c>
      <c r="B694" s="80" t="s">
        <v>950</v>
      </c>
      <c r="C694" s="82" t="s">
        <v>6279</v>
      </c>
    </row>
    <row r="695" spans="1:3" s="79" customFormat="1" ht="19.149999999999999" customHeight="1" x14ac:dyDescent="0.2">
      <c r="A695" s="81">
        <v>20005159</v>
      </c>
      <c r="B695" s="80" t="s">
        <v>951</v>
      </c>
      <c r="C695" s="80" t="s">
        <v>6280</v>
      </c>
    </row>
    <row r="696" spans="1:3" s="79" customFormat="1" ht="19.149999999999999" customHeight="1" x14ac:dyDescent="0.2">
      <c r="A696" s="81">
        <v>20005160</v>
      </c>
      <c r="B696" s="80" t="s">
        <v>952</v>
      </c>
      <c r="C696" s="80" t="s">
        <v>6281</v>
      </c>
    </row>
    <row r="697" spans="1:3" s="79" customFormat="1" ht="19.149999999999999" customHeight="1" x14ac:dyDescent="0.2">
      <c r="A697" s="81">
        <v>20005201</v>
      </c>
      <c r="B697" s="80" t="s">
        <v>953</v>
      </c>
      <c r="C697" s="82" t="s">
        <v>6282</v>
      </c>
    </row>
    <row r="698" spans="1:3" s="79" customFormat="1" ht="49.15" customHeight="1" x14ac:dyDescent="0.2">
      <c r="A698" s="81">
        <v>20005236</v>
      </c>
      <c r="B698" s="80" t="s">
        <v>955</v>
      </c>
      <c r="C698" s="81" t="s">
        <v>6283</v>
      </c>
    </row>
    <row r="699" spans="1:3" s="79" customFormat="1" ht="89.1" customHeight="1" x14ac:dyDescent="0.2">
      <c r="A699" s="81">
        <v>20005237</v>
      </c>
      <c r="B699" s="80" t="s">
        <v>956</v>
      </c>
      <c r="C699" s="81" t="s">
        <v>6284</v>
      </c>
    </row>
    <row r="700" spans="1:3" s="79" customFormat="1" ht="89.1" customHeight="1" x14ac:dyDescent="0.2">
      <c r="A700" s="81">
        <v>20005238</v>
      </c>
      <c r="B700" s="80" t="s">
        <v>957</v>
      </c>
      <c r="C700" s="81" t="s">
        <v>6285</v>
      </c>
    </row>
    <row r="701" spans="1:3" s="79" customFormat="1" ht="89.1" customHeight="1" x14ac:dyDescent="0.2">
      <c r="A701" s="81">
        <v>20005239</v>
      </c>
      <c r="B701" s="80" t="s">
        <v>958</v>
      </c>
      <c r="C701" s="81" t="s">
        <v>6286</v>
      </c>
    </row>
    <row r="702" spans="1:3" s="79" customFormat="1" ht="89.1" customHeight="1" x14ac:dyDescent="0.2">
      <c r="A702" s="81">
        <v>20005240</v>
      </c>
      <c r="B702" s="80" t="s">
        <v>959</v>
      </c>
      <c r="C702" s="81" t="s">
        <v>6287</v>
      </c>
    </row>
    <row r="703" spans="1:3" s="79" customFormat="1" ht="89.1" customHeight="1" x14ac:dyDescent="0.2">
      <c r="A703" s="81">
        <v>20005241</v>
      </c>
      <c r="B703" s="80" t="s">
        <v>960</v>
      </c>
      <c r="C703" s="81" t="s">
        <v>6288</v>
      </c>
    </row>
    <row r="704" spans="1:3" s="79" customFormat="1" ht="89.1" customHeight="1" x14ac:dyDescent="0.2">
      <c r="A704" s="81">
        <v>20005242</v>
      </c>
      <c r="B704" s="80" t="s">
        <v>961</v>
      </c>
      <c r="C704" s="81" t="s">
        <v>6289</v>
      </c>
    </row>
    <row r="705" spans="1:3" s="79" customFormat="1" ht="89.1" customHeight="1" x14ac:dyDescent="0.2">
      <c r="A705" s="81">
        <v>20005243</v>
      </c>
      <c r="B705" s="80" t="s">
        <v>962</v>
      </c>
      <c r="C705" s="81" t="s">
        <v>6290</v>
      </c>
    </row>
    <row r="706" spans="1:3" s="79" customFormat="1" ht="78.95" customHeight="1" x14ac:dyDescent="0.2">
      <c r="A706" s="81">
        <v>20005244</v>
      </c>
      <c r="B706" s="80" t="s">
        <v>963</v>
      </c>
      <c r="C706" s="81" t="s">
        <v>6291</v>
      </c>
    </row>
    <row r="707" spans="1:3" s="79" customFormat="1" ht="78.95" customHeight="1" x14ac:dyDescent="0.2">
      <c r="A707" s="81">
        <v>20005245</v>
      </c>
      <c r="B707" s="80" t="s">
        <v>964</v>
      </c>
      <c r="C707" s="81" t="s">
        <v>6292</v>
      </c>
    </row>
    <row r="708" spans="1:3" s="79" customFormat="1" ht="78.95" customHeight="1" x14ac:dyDescent="0.2">
      <c r="A708" s="81">
        <v>20005252</v>
      </c>
      <c r="B708" s="80" t="s">
        <v>965</v>
      </c>
      <c r="C708" s="82" t="s">
        <v>6293</v>
      </c>
    </row>
    <row r="709" spans="1:3" s="79" customFormat="1" ht="49.15" customHeight="1" x14ac:dyDescent="0.2">
      <c r="A709" s="81">
        <v>20005257</v>
      </c>
      <c r="B709" s="80" t="s">
        <v>966</v>
      </c>
      <c r="C709" s="82" t="s">
        <v>6294</v>
      </c>
    </row>
    <row r="710" spans="1:3" s="79" customFormat="1" ht="28.7" customHeight="1" x14ac:dyDescent="0.2">
      <c r="A710" s="81">
        <v>20005258</v>
      </c>
      <c r="B710" s="80" t="s">
        <v>967</v>
      </c>
      <c r="C710" s="80" t="s">
        <v>6295</v>
      </c>
    </row>
    <row r="711" spans="1:3" s="79" customFormat="1" ht="19.149999999999999" customHeight="1" x14ac:dyDescent="0.2">
      <c r="A711" s="81">
        <v>20005259</v>
      </c>
      <c r="B711" s="80" t="s">
        <v>968</v>
      </c>
      <c r="C711" s="80" t="s">
        <v>6296</v>
      </c>
    </row>
    <row r="712" spans="1:3" s="79" customFormat="1" ht="19.149999999999999" customHeight="1" x14ac:dyDescent="0.2">
      <c r="A712" s="81">
        <v>20005263</v>
      </c>
      <c r="B712" s="80" t="s">
        <v>969</v>
      </c>
      <c r="C712" s="82" t="s">
        <v>6297</v>
      </c>
    </row>
    <row r="713" spans="1:3" s="79" customFormat="1" ht="129" customHeight="1" x14ac:dyDescent="0.2">
      <c r="A713" s="81">
        <v>20005264</v>
      </c>
      <c r="B713" s="80" t="s">
        <v>970</v>
      </c>
      <c r="C713" s="81" t="s">
        <v>6298</v>
      </c>
    </row>
    <row r="714" spans="1:3" s="79" customFormat="1" ht="129" customHeight="1" x14ac:dyDescent="0.2">
      <c r="A714" s="81">
        <v>20005265</v>
      </c>
      <c r="B714" s="80" t="s">
        <v>11508</v>
      </c>
      <c r="C714" s="81" t="s">
        <v>6299</v>
      </c>
    </row>
    <row r="715" spans="1:3" s="79" customFormat="1" ht="149.25" customHeight="1" x14ac:dyDescent="0.2">
      <c r="A715" s="81">
        <v>20005266</v>
      </c>
      <c r="B715" s="80" t="s">
        <v>971</v>
      </c>
      <c r="C715" s="81" t="s">
        <v>6300</v>
      </c>
    </row>
    <row r="716" spans="1:3" s="79" customFormat="1" ht="89.1" customHeight="1" x14ac:dyDescent="0.2">
      <c r="A716" s="81">
        <v>20005267</v>
      </c>
      <c r="B716" s="80" t="s">
        <v>972</v>
      </c>
      <c r="C716" s="81" t="s">
        <v>6301</v>
      </c>
    </row>
    <row r="717" spans="1:3" s="79" customFormat="1" ht="169.15" customHeight="1" x14ac:dyDescent="0.2">
      <c r="A717" s="81">
        <v>20005270</v>
      </c>
      <c r="B717" s="80" t="s">
        <v>973</v>
      </c>
      <c r="C717" s="82" t="s">
        <v>6302</v>
      </c>
    </row>
    <row r="718" spans="1:3" s="79" customFormat="1" ht="38.85" customHeight="1" x14ac:dyDescent="0.2">
      <c r="A718" s="81">
        <v>20005292</v>
      </c>
      <c r="B718" s="80" t="s">
        <v>974</v>
      </c>
      <c r="C718" s="82" t="s">
        <v>6303</v>
      </c>
    </row>
    <row r="719" spans="1:3" s="79" customFormat="1" ht="28.7" customHeight="1" x14ac:dyDescent="0.2">
      <c r="A719" s="81">
        <v>20005296</v>
      </c>
      <c r="B719" s="80" t="s">
        <v>975</v>
      </c>
      <c r="C719" s="82" t="s">
        <v>6304</v>
      </c>
    </row>
    <row r="720" spans="1:3" s="79" customFormat="1" ht="28.7" customHeight="1" x14ac:dyDescent="0.2">
      <c r="A720" s="81">
        <v>20005343</v>
      </c>
      <c r="B720" s="80" t="s">
        <v>976</v>
      </c>
      <c r="C720" s="80"/>
    </row>
    <row r="721" spans="1:3" s="79" customFormat="1" ht="19.149999999999999" customHeight="1" x14ac:dyDescent="0.2">
      <c r="A721" s="81">
        <v>20005346</v>
      </c>
      <c r="B721" s="80" t="s">
        <v>977</v>
      </c>
      <c r="C721" s="82" t="s">
        <v>6305</v>
      </c>
    </row>
    <row r="722" spans="1:3" s="79" customFormat="1" ht="59.1" customHeight="1" x14ac:dyDescent="0.2">
      <c r="A722" s="81">
        <v>20005347</v>
      </c>
      <c r="B722" s="80" t="s">
        <v>978</v>
      </c>
      <c r="C722" s="82" t="s">
        <v>6306</v>
      </c>
    </row>
    <row r="723" spans="1:3" s="79" customFormat="1" ht="59.1" customHeight="1" x14ac:dyDescent="0.2">
      <c r="A723" s="81">
        <v>20005359</v>
      </c>
      <c r="B723" s="80" t="s">
        <v>979</v>
      </c>
      <c r="C723" s="82" t="s">
        <v>6307</v>
      </c>
    </row>
    <row r="724" spans="1:3" s="79" customFormat="1" ht="19.149999999999999" customHeight="1" x14ac:dyDescent="0.2">
      <c r="A724" s="81">
        <v>20005363</v>
      </c>
      <c r="B724" s="80" t="s">
        <v>980</v>
      </c>
      <c r="C724" s="82" t="s">
        <v>6308</v>
      </c>
    </row>
    <row r="725" spans="1:3" s="79" customFormat="1" ht="49.15" customHeight="1" x14ac:dyDescent="0.2">
      <c r="A725" s="81">
        <v>20005366</v>
      </c>
      <c r="B725" s="80" t="s">
        <v>981</v>
      </c>
      <c r="C725" s="82" t="s">
        <v>6309</v>
      </c>
    </row>
    <row r="726" spans="1:3" s="79" customFormat="1" ht="49.15" customHeight="1" x14ac:dyDescent="0.2">
      <c r="A726" s="81">
        <v>20005367</v>
      </c>
      <c r="B726" s="80" t="s">
        <v>982</v>
      </c>
      <c r="C726" s="82" t="s">
        <v>6310</v>
      </c>
    </row>
    <row r="727" spans="1:3" s="79" customFormat="1" ht="49.15" customHeight="1" x14ac:dyDescent="0.2">
      <c r="A727" s="81">
        <v>20005432</v>
      </c>
      <c r="B727" s="80" t="s">
        <v>983</v>
      </c>
      <c r="C727" s="82" t="s">
        <v>6311</v>
      </c>
    </row>
    <row r="728" spans="1:3" s="79" customFormat="1" ht="28.7" customHeight="1" x14ac:dyDescent="0.2">
      <c r="A728" s="81">
        <v>20005450</v>
      </c>
      <c r="B728" s="80" t="s">
        <v>984</v>
      </c>
      <c r="C728" s="80" t="s">
        <v>6312</v>
      </c>
    </row>
    <row r="729" spans="1:3" s="79" customFormat="1" ht="19.149999999999999" customHeight="1" x14ac:dyDescent="0.2">
      <c r="A729" s="81">
        <v>20005451</v>
      </c>
      <c r="B729" s="80" t="s">
        <v>985</v>
      </c>
      <c r="C729" s="82" t="s">
        <v>6313</v>
      </c>
    </row>
    <row r="730" spans="1:3" s="79" customFormat="1" ht="59.1" customHeight="1" x14ac:dyDescent="0.2">
      <c r="A730" s="81">
        <v>20005459</v>
      </c>
      <c r="B730" s="80" t="s">
        <v>986</v>
      </c>
      <c r="C730" s="80" t="s">
        <v>6314</v>
      </c>
    </row>
    <row r="731" spans="1:3" s="79" customFormat="1" ht="19.149999999999999" customHeight="1" x14ac:dyDescent="0.2">
      <c r="A731" s="81">
        <v>20005472</v>
      </c>
      <c r="B731" s="80" t="s">
        <v>987</v>
      </c>
      <c r="C731" s="82" t="s">
        <v>6315</v>
      </c>
    </row>
    <row r="732" spans="1:3" s="79" customFormat="1" ht="38.85" customHeight="1" x14ac:dyDescent="0.2">
      <c r="A732" s="81">
        <v>20005475</v>
      </c>
      <c r="B732" s="80" t="s">
        <v>988</v>
      </c>
      <c r="C732" s="82" t="s">
        <v>6316</v>
      </c>
    </row>
    <row r="733" spans="1:3" s="79" customFormat="1" ht="38.85" customHeight="1" x14ac:dyDescent="0.2">
      <c r="A733" s="81">
        <v>20005476</v>
      </c>
      <c r="B733" s="80" t="s">
        <v>989</v>
      </c>
      <c r="C733" s="82" t="s">
        <v>6317</v>
      </c>
    </row>
    <row r="734" spans="1:3" s="79" customFormat="1" ht="38.85" customHeight="1" x14ac:dyDescent="0.2">
      <c r="A734" s="81">
        <v>20005487</v>
      </c>
      <c r="B734" s="80" t="s">
        <v>990</v>
      </c>
      <c r="C734" s="80" t="s">
        <v>6318</v>
      </c>
    </row>
    <row r="735" spans="1:3" s="79" customFormat="1" ht="19.149999999999999" customHeight="1" x14ac:dyDescent="0.2">
      <c r="A735" s="81">
        <v>20005488</v>
      </c>
      <c r="B735" s="80" t="s">
        <v>991</v>
      </c>
      <c r="C735" s="80"/>
    </row>
    <row r="736" spans="1:3" s="79" customFormat="1" ht="19.149999999999999" customHeight="1" x14ac:dyDescent="0.2">
      <c r="A736" s="81">
        <v>20005493</v>
      </c>
      <c r="B736" s="80" t="s">
        <v>992</v>
      </c>
      <c r="C736" s="82" t="s">
        <v>6319</v>
      </c>
    </row>
    <row r="737" spans="1:3" s="79" customFormat="1" ht="59.1" customHeight="1" x14ac:dyDescent="0.2">
      <c r="A737" s="81">
        <v>20005497</v>
      </c>
      <c r="B737" s="80" t="s">
        <v>993</v>
      </c>
      <c r="C737" s="80" t="s">
        <v>6320</v>
      </c>
    </row>
    <row r="738" spans="1:3" s="79" customFormat="1" ht="19.149999999999999" customHeight="1" x14ac:dyDescent="0.2">
      <c r="A738" s="81">
        <v>20005499</v>
      </c>
      <c r="B738" s="80" t="s">
        <v>994</v>
      </c>
      <c r="C738" s="80" t="s">
        <v>6321</v>
      </c>
    </row>
    <row r="739" spans="1:3" s="79" customFormat="1" ht="19.149999999999999" customHeight="1" x14ac:dyDescent="0.2">
      <c r="A739" s="81">
        <v>20005544</v>
      </c>
      <c r="B739" s="80" t="s">
        <v>995</v>
      </c>
      <c r="C739" s="82" t="s">
        <v>6322</v>
      </c>
    </row>
    <row r="740" spans="1:3" s="79" customFormat="1" ht="99.2" customHeight="1" x14ac:dyDescent="0.2">
      <c r="A740" s="81">
        <v>20005546</v>
      </c>
      <c r="B740" s="80" t="s">
        <v>996</v>
      </c>
      <c r="C740" s="82" t="s">
        <v>6323</v>
      </c>
    </row>
    <row r="741" spans="1:3" s="79" customFormat="1" ht="19.149999999999999" customHeight="1" x14ac:dyDescent="0.2">
      <c r="A741" s="81">
        <v>20005551</v>
      </c>
      <c r="B741" s="80" t="s">
        <v>997</v>
      </c>
      <c r="C741" s="82" t="s">
        <v>6324</v>
      </c>
    </row>
    <row r="742" spans="1:3" s="79" customFormat="1" ht="28.7" customHeight="1" x14ac:dyDescent="0.2">
      <c r="A742" s="81">
        <v>20005555</v>
      </c>
      <c r="B742" s="80" t="s">
        <v>998</v>
      </c>
      <c r="C742" s="82" t="s">
        <v>6325</v>
      </c>
    </row>
    <row r="743" spans="1:3" s="79" customFormat="1" ht="19.149999999999999" customHeight="1" x14ac:dyDescent="0.2">
      <c r="A743" s="81">
        <v>20005618</v>
      </c>
      <c r="B743" s="80" t="s">
        <v>999</v>
      </c>
      <c r="C743" s="82" t="s">
        <v>6326</v>
      </c>
    </row>
    <row r="744" spans="1:3" s="79" customFormat="1" ht="28.7" customHeight="1" x14ac:dyDescent="0.2">
      <c r="A744" s="81">
        <v>20005619</v>
      </c>
      <c r="B744" s="80" t="s">
        <v>1000</v>
      </c>
      <c r="C744" s="82" t="s">
        <v>6326</v>
      </c>
    </row>
    <row r="745" spans="1:3" s="79" customFormat="1" ht="28.7" customHeight="1" x14ac:dyDescent="0.2">
      <c r="A745" s="81">
        <v>20005620</v>
      </c>
      <c r="B745" s="80" t="s">
        <v>1001</v>
      </c>
      <c r="C745" s="82" t="s">
        <v>6326</v>
      </c>
    </row>
    <row r="746" spans="1:3" s="79" customFormat="1" ht="28.7" customHeight="1" x14ac:dyDescent="0.2">
      <c r="A746" s="81">
        <v>20005621</v>
      </c>
      <c r="B746" s="80" t="s">
        <v>1002</v>
      </c>
      <c r="C746" s="82" t="s">
        <v>6326</v>
      </c>
    </row>
    <row r="747" spans="1:3" s="79" customFormat="1" ht="28.7" customHeight="1" x14ac:dyDescent="0.2">
      <c r="A747" s="81">
        <v>20005622</v>
      </c>
      <c r="B747" s="80" t="s">
        <v>1003</v>
      </c>
      <c r="C747" s="82" t="s">
        <v>6326</v>
      </c>
    </row>
    <row r="748" spans="1:3" s="79" customFormat="1" ht="28.7" customHeight="1" x14ac:dyDescent="0.2">
      <c r="A748" s="81">
        <v>20005641</v>
      </c>
      <c r="B748" s="80" t="s">
        <v>1004</v>
      </c>
      <c r="C748" s="82" t="s">
        <v>6327</v>
      </c>
    </row>
    <row r="749" spans="1:3" s="79" customFormat="1" ht="78.95" customHeight="1" x14ac:dyDescent="0.2">
      <c r="A749" s="81">
        <v>20005754</v>
      </c>
      <c r="B749" s="80" t="s">
        <v>1005</v>
      </c>
      <c r="C749" s="82" t="s">
        <v>6328</v>
      </c>
    </row>
    <row r="750" spans="1:3" s="79" customFormat="1" ht="59.1" customHeight="1" x14ac:dyDescent="0.2">
      <c r="A750" s="81">
        <v>20005820</v>
      </c>
      <c r="B750" s="80" t="s">
        <v>1007</v>
      </c>
      <c r="C750" s="81" t="s">
        <v>6329</v>
      </c>
    </row>
    <row r="751" spans="1:3" s="79" customFormat="1" ht="68.849999999999994" customHeight="1" x14ac:dyDescent="0.2">
      <c r="A751" s="81">
        <v>20005841</v>
      </c>
      <c r="B751" s="80" t="s">
        <v>1008</v>
      </c>
      <c r="C751" s="81" t="s">
        <v>6330</v>
      </c>
    </row>
    <row r="752" spans="1:3" s="79" customFormat="1" ht="68.849999999999994" customHeight="1" x14ac:dyDescent="0.2">
      <c r="A752" s="81">
        <v>20005854</v>
      </c>
      <c r="B752" s="80" t="s">
        <v>1009</v>
      </c>
      <c r="C752" s="82" t="s">
        <v>6331</v>
      </c>
    </row>
    <row r="753" spans="1:3" s="79" customFormat="1" ht="28.7" customHeight="1" x14ac:dyDescent="0.2">
      <c r="A753" s="81">
        <v>20005856</v>
      </c>
      <c r="B753" s="80" t="s">
        <v>1010</v>
      </c>
      <c r="C753" s="81" t="s">
        <v>6332</v>
      </c>
    </row>
    <row r="754" spans="1:3" s="79" customFormat="1" ht="99.2" customHeight="1" x14ac:dyDescent="0.2">
      <c r="A754" s="81">
        <v>20005857</v>
      </c>
      <c r="B754" s="80" t="s">
        <v>1011</v>
      </c>
      <c r="C754" s="81" t="s">
        <v>6333</v>
      </c>
    </row>
    <row r="755" spans="1:3" s="79" customFormat="1" ht="99.2" customHeight="1" x14ac:dyDescent="0.2">
      <c r="A755" s="81">
        <v>20005858</v>
      </c>
      <c r="B755" s="80" t="s">
        <v>1012</v>
      </c>
      <c r="C755" s="81" t="s">
        <v>6334</v>
      </c>
    </row>
    <row r="756" spans="1:3" s="79" customFormat="1" ht="78.95" customHeight="1" x14ac:dyDescent="0.2">
      <c r="A756" s="81">
        <v>20005859</v>
      </c>
      <c r="B756" s="80" t="s">
        <v>1013</v>
      </c>
      <c r="C756" s="81" t="s">
        <v>6335</v>
      </c>
    </row>
    <row r="757" spans="1:3" s="79" customFormat="1" ht="89.1" customHeight="1" x14ac:dyDescent="0.2">
      <c r="A757" s="81">
        <v>20005863</v>
      </c>
      <c r="B757" s="80" t="s">
        <v>1014</v>
      </c>
      <c r="C757" s="81" t="s">
        <v>6336</v>
      </c>
    </row>
    <row r="758" spans="1:3" s="79" customFormat="1" ht="99.2" customHeight="1" x14ac:dyDescent="0.2">
      <c r="A758" s="81">
        <v>20005866</v>
      </c>
      <c r="B758" s="80" t="s">
        <v>1015</v>
      </c>
      <c r="C758" s="81" t="s">
        <v>6337</v>
      </c>
    </row>
    <row r="759" spans="1:3" s="79" customFormat="1" ht="78.95" customHeight="1" x14ac:dyDescent="0.2">
      <c r="A759" s="81">
        <v>20005867</v>
      </c>
      <c r="B759" s="80" t="s">
        <v>1016</v>
      </c>
      <c r="C759" s="81" t="s">
        <v>6338</v>
      </c>
    </row>
    <row r="760" spans="1:3" s="79" customFormat="1" ht="89.1" customHeight="1" x14ac:dyDescent="0.2">
      <c r="A760" s="81">
        <v>20005869</v>
      </c>
      <c r="B760" s="80" t="s">
        <v>1017</v>
      </c>
      <c r="C760" s="81" t="s">
        <v>6339</v>
      </c>
    </row>
    <row r="761" spans="1:3" s="79" customFormat="1" ht="89.1" customHeight="1" x14ac:dyDescent="0.2">
      <c r="A761" s="81">
        <v>20005871</v>
      </c>
      <c r="B761" s="80" t="s">
        <v>1018</v>
      </c>
      <c r="C761" s="81" t="s">
        <v>6340</v>
      </c>
    </row>
    <row r="762" spans="1:3" s="79" customFormat="1" ht="68.849999999999994" customHeight="1" x14ac:dyDescent="0.2">
      <c r="A762" s="81">
        <v>20005872</v>
      </c>
      <c r="B762" s="80" t="s">
        <v>1019</v>
      </c>
      <c r="C762" s="82" t="s">
        <v>6341</v>
      </c>
    </row>
    <row r="763" spans="1:3" s="79" customFormat="1" ht="49.15" customHeight="1" x14ac:dyDescent="0.2">
      <c r="A763" s="81">
        <v>20005873</v>
      </c>
      <c r="B763" s="80" t="s">
        <v>1020</v>
      </c>
      <c r="C763" s="81" t="s">
        <v>6342</v>
      </c>
    </row>
    <row r="764" spans="1:3" s="79" customFormat="1" ht="78.95" customHeight="1" x14ac:dyDescent="0.2">
      <c r="A764" s="81">
        <v>20005878</v>
      </c>
      <c r="B764" s="80" t="s">
        <v>1021</v>
      </c>
      <c r="C764" s="81" t="s">
        <v>6343</v>
      </c>
    </row>
    <row r="765" spans="1:3" s="79" customFormat="1" ht="89.1" customHeight="1" x14ac:dyDescent="0.2">
      <c r="A765" s="81">
        <v>20005881</v>
      </c>
      <c r="B765" s="80" t="s">
        <v>1022</v>
      </c>
      <c r="C765" s="82" t="s">
        <v>6344</v>
      </c>
    </row>
    <row r="766" spans="1:3" s="79" customFormat="1" ht="49.15" customHeight="1" x14ac:dyDescent="0.2">
      <c r="A766" s="81">
        <v>20005888</v>
      </c>
      <c r="B766" s="80" t="s">
        <v>1023</v>
      </c>
      <c r="C766" s="82" t="s">
        <v>6345</v>
      </c>
    </row>
    <row r="767" spans="1:3" s="79" customFormat="1" ht="28.7" customHeight="1" x14ac:dyDescent="0.2">
      <c r="A767" s="81">
        <v>20005911</v>
      </c>
      <c r="B767" s="80" t="s">
        <v>1024</v>
      </c>
      <c r="C767" s="82" t="s">
        <v>6346</v>
      </c>
    </row>
    <row r="768" spans="1:3" s="79" customFormat="1" ht="68.849999999999994" customHeight="1" x14ac:dyDescent="0.2">
      <c r="A768" s="81">
        <v>20005915</v>
      </c>
      <c r="B768" s="80" t="s">
        <v>1025</v>
      </c>
      <c r="C768" s="81" t="s">
        <v>6347</v>
      </c>
    </row>
    <row r="769" spans="1:3" s="79" customFormat="1" ht="158.85" customHeight="1" x14ac:dyDescent="0.2">
      <c r="A769" s="81">
        <v>20005921</v>
      </c>
      <c r="B769" s="80" t="s">
        <v>1026</v>
      </c>
      <c r="C769" s="82" t="s">
        <v>6348</v>
      </c>
    </row>
    <row r="770" spans="1:3" s="79" customFormat="1" ht="49.15" customHeight="1" x14ac:dyDescent="0.2">
      <c r="A770" s="81">
        <v>20005923</v>
      </c>
      <c r="B770" s="80" t="s">
        <v>1027</v>
      </c>
      <c r="C770" s="82" t="s">
        <v>6349</v>
      </c>
    </row>
    <row r="771" spans="1:3" s="79" customFormat="1" ht="59.1" customHeight="1" x14ac:dyDescent="0.2">
      <c r="A771" s="81">
        <v>20005955</v>
      </c>
      <c r="B771" s="80" t="s">
        <v>1028</v>
      </c>
      <c r="C771" s="82" t="s">
        <v>6350</v>
      </c>
    </row>
    <row r="772" spans="1:3" s="79" customFormat="1" ht="19.149999999999999" customHeight="1" x14ac:dyDescent="0.2">
      <c r="A772" s="81">
        <v>20006042</v>
      </c>
      <c r="B772" s="80" t="s">
        <v>1029</v>
      </c>
      <c r="C772" s="82" t="s">
        <v>6351</v>
      </c>
    </row>
    <row r="773" spans="1:3" s="79" customFormat="1" ht="28.7" customHeight="1" x14ac:dyDescent="0.2">
      <c r="A773" s="81">
        <v>20006076</v>
      </c>
      <c r="B773" s="80" t="s">
        <v>1030</v>
      </c>
      <c r="C773" s="82" t="s">
        <v>6352</v>
      </c>
    </row>
    <row r="774" spans="1:3" s="79" customFormat="1" ht="49.15" customHeight="1" x14ac:dyDescent="0.2">
      <c r="A774" s="81">
        <v>20006086</v>
      </c>
      <c r="B774" s="80" t="s">
        <v>1031</v>
      </c>
      <c r="C774" s="80" t="s">
        <v>6353</v>
      </c>
    </row>
    <row r="775" spans="1:3" s="79" customFormat="1" ht="19.149999999999999" customHeight="1" x14ac:dyDescent="0.2">
      <c r="A775" s="81">
        <v>20006089</v>
      </c>
      <c r="B775" s="80" t="s">
        <v>1032</v>
      </c>
      <c r="C775" s="82" t="s">
        <v>6354</v>
      </c>
    </row>
    <row r="776" spans="1:3" s="79" customFormat="1" ht="49.15" customHeight="1" x14ac:dyDescent="0.2">
      <c r="A776" s="81">
        <v>20006090</v>
      </c>
      <c r="B776" s="80" t="s">
        <v>1033</v>
      </c>
      <c r="C776" s="82" t="s">
        <v>6355</v>
      </c>
    </row>
    <row r="777" spans="1:3" s="79" customFormat="1" ht="28.7" customHeight="1" x14ac:dyDescent="0.2">
      <c r="A777" s="81">
        <v>20006091</v>
      </c>
      <c r="B777" s="80" t="s">
        <v>1034</v>
      </c>
      <c r="C777" s="82" t="s">
        <v>6356</v>
      </c>
    </row>
    <row r="778" spans="1:3" s="79" customFormat="1" ht="38.85" customHeight="1" x14ac:dyDescent="0.2">
      <c r="A778" s="81">
        <v>20006155</v>
      </c>
      <c r="B778" s="80" t="s">
        <v>1035</v>
      </c>
      <c r="C778" s="82" t="s">
        <v>6357</v>
      </c>
    </row>
    <row r="779" spans="1:3" s="79" customFormat="1" ht="38.85" customHeight="1" x14ac:dyDescent="0.2">
      <c r="A779" s="81">
        <v>20006166</v>
      </c>
      <c r="B779" s="80" t="s">
        <v>1036</v>
      </c>
      <c r="C779" s="82" t="s">
        <v>6358</v>
      </c>
    </row>
    <row r="780" spans="1:3" s="79" customFormat="1" ht="28.7" customHeight="1" x14ac:dyDescent="0.2">
      <c r="A780" s="81">
        <v>20006176</v>
      </c>
      <c r="B780" s="80" t="s">
        <v>1037</v>
      </c>
      <c r="C780" s="80" t="s">
        <v>6359</v>
      </c>
    </row>
    <row r="781" spans="1:3" s="79" customFormat="1" ht="19.149999999999999" customHeight="1" x14ac:dyDescent="0.2">
      <c r="A781" s="81">
        <v>20006179</v>
      </c>
      <c r="B781" s="80" t="s">
        <v>1039</v>
      </c>
      <c r="C781" s="82" t="s">
        <v>6360</v>
      </c>
    </row>
    <row r="782" spans="1:3" s="79" customFormat="1" ht="28.7" customHeight="1" x14ac:dyDescent="0.2">
      <c r="A782" s="81">
        <v>20006186</v>
      </c>
      <c r="B782" s="80" t="s">
        <v>1040</v>
      </c>
      <c r="C782" s="82" t="s">
        <v>6361</v>
      </c>
    </row>
    <row r="783" spans="1:3" s="79" customFormat="1" ht="28.7" customHeight="1" x14ac:dyDescent="0.2">
      <c r="A783" s="81">
        <v>20006188</v>
      </c>
      <c r="B783" s="80" t="s">
        <v>1041</v>
      </c>
      <c r="C783" s="82" t="s">
        <v>6362</v>
      </c>
    </row>
    <row r="784" spans="1:3" s="79" customFormat="1" ht="28.7" customHeight="1" x14ac:dyDescent="0.2">
      <c r="A784" s="81">
        <v>20006197</v>
      </c>
      <c r="B784" s="80" t="s">
        <v>1042</v>
      </c>
      <c r="C784" s="81" t="s">
        <v>6363</v>
      </c>
    </row>
    <row r="785" spans="1:3" s="79" customFormat="1" ht="198.95" customHeight="1" x14ac:dyDescent="0.2">
      <c r="A785" s="81">
        <v>20006199</v>
      </c>
      <c r="B785" s="80" t="s">
        <v>1043</v>
      </c>
      <c r="C785" s="82" t="s">
        <v>6364</v>
      </c>
    </row>
    <row r="786" spans="1:3" s="79" customFormat="1" ht="78.95" customHeight="1" x14ac:dyDescent="0.2">
      <c r="A786" s="81">
        <v>20006200</v>
      </c>
      <c r="B786" s="80" t="s">
        <v>1044</v>
      </c>
      <c r="C786" s="82" t="s">
        <v>6365</v>
      </c>
    </row>
    <row r="787" spans="1:3" s="79" customFormat="1" ht="78.95" customHeight="1" x14ac:dyDescent="0.2">
      <c r="A787" s="81">
        <v>20006257</v>
      </c>
      <c r="B787" s="80" t="s">
        <v>1045</v>
      </c>
      <c r="C787" s="82" t="s">
        <v>6366</v>
      </c>
    </row>
    <row r="788" spans="1:3" s="79" customFormat="1" ht="38.85" customHeight="1" x14ac:dyDescent="0.2">
      <c r="A788" s="81">
        <v>20006359</v>
      </c>
      <c r="B788" s="80" t="s">
        <v>1046</v>
      </c>
      <c r="C788" s="81" t="s">
        <v>6367</v>
      </c>
    </row>
    <row r="789" spans="1:3" s="79" customFormat="1" ht="49.15" customHeight="1" x14ac:dyDescent="0.2">
      <c r="A789" s="81">
        <v>20006360</v>
      </c>
      <c r="B789" s="80" t="s">
        <v>1047</v>
      </c>
      <c r="C789" s="82" t="s">
        <v>6368</v>
      </c>
    </row>
    <row r="790" spans="1:3" s="79" customFormat="1" ht="19.149999999999999" customHeight="1" x14ac:dyDescent="0.2">
      <c r="A790" s="81">
        <v>20006366</v>
      </c>
      <c r="B790" s="80" t="s">
        <v>1048</v>
      </c>
      <c r="C790" s="81" t="s">
        <v>6369</v>
      </c>
    </row>
    <row r="791" spans="1:3" s="79" customFormat="1" ht="169.15" customHeight="1" x14ac:dyDescent="0.2">
      <c r="A791" s="81">
        <v>20006367</v>
      </c>
      <c r="B791" s="80" t="s">
        <v>1049</v>
      </c>
      <c r="C791" s="82" t="s">
        <v>6370</v>
      </c>
    </row>
    <row r="792" spans="1:3" s="79" customFormat="1" ht="28.7" customHeight="1" x14ac:dyDescent="0.2">
      <c r="A792" s="81">
        <v>20006401</v>
      </c>
      <c r="B792" s="80" t="s">
        <v>1050</v>
      </c>
      <c r="C792" s="81" t="s">
        <v>6371</v>
      </c>
    </row>
    <row r="793" spans="1:3" s="79" customFormat="1" ht="118.9" customHeight="1" x14ac:dyDescent="0.2">
      <c r="A793" s="81">
        <v>20006405</v>
      </c>
      <c r="B793" s="80" t="s">
        <v>1051</v>
      </c>
      <c r="C793" s="81" t="s">
        <v>6372</v>
      </c>
    </row>
    <row r="794" spans="1:3" s="79" customFormat="1" ht="109.35" customHeight="1" x14ac:dyDescent="0.2">
      <c r="A794" s="81">
        <v>20006406</v>
      </c>
      <c r="B794" s="80" t="s">
        <v>1052</v>
      </c>
      <c r="C794" s="82" t="s">
        <v>6373</v>
      </c>
    </row>
    <row r="795" spans="1:3" s="79" customFormat="1" ht="28.7" customHeight="1" x14ac:dyDescent="0.2">
      <c r="A795" s="81">
        <v>20006407</v>
      </c>
      <c r="B795" s="80" t="s">
        <v>1053</v>
      </c>
      <c r="C795" s="82" t="s">
        <v>6374</v>
      </c>
    </row>
    <row r="796" spans="1:3" s="79" customFormat="1" ht="28.7" customHeight="1" x14ac:dyDescent="0.2">
      <c r="A796" s="81">
        <v>20006408</v>
      </c>
      <c r="B796" s="80" t="s">
        <v>1054</v>
      </c>
      <c r="C796" s="82" t="s">
        <v>6375</v>
      </c>
    </row>
    <row r="797" spans="1:3" s="79" customFormat="1" ht="28.7" customHeight="1" x14ac:dyDescent="0.2">
      <c r="A797" s="81">
        <v>20006409</v>
      </c>
      <c r="B797" s="80" t="s">
        <v>1055</v>
      </c>
      <c r="C797" s="82" t="s">
        <v>6376</v>
      </c>
    </row>
    <row r="798" spans="1:3" s="79" customFormat="1" ht="28.7" customHeight="1" x14ac:dyDescent="0.2">
      <c r="A798" s="81">
        <v>20006411</v>
      </c>
      <c r="B798" s="80" t="s">
        <v>1056</v>
      </c>
      <c r="C798" s="82" t="s">
        <v>6377</v>
      </c>
    </row>
    <row r="799" spans="1:3" s="79" customFormat="1" ht="28.7" customHeight="1" x14ac:dyDescent="0.2">
      <c r="A799" s="81">
        <v>20006415</v>
      </c>
      <c r="B799" s="80" t="s">
        <v>1057</v>
      </c>
      <c r="C799" s="82" t="s">
        <v>6378</v>
      </c>
    </row>
    <row r="800" spans="1:3" s="79" customFormat="1" ht="28.7" customHeight="1" x14ac:dyDescent="0.2">
      <c r="A800" s="81">
        <v>20006418</v>
      </c>
      <c r="B800" s="80" t="s">
        <v>1058</v>
      </c>
      <c r="C800" s="81" t="s">
        <v>6379</v>
      </c>
    </row>
    <row r="801" spans="1:3" s="79" customFormat="1" ht="109.35" customHeight="1" x14ac:dyDescent="0.2">
      <c r="A801" s="81">
        <v>20006421</v>
      </c>
      <c r="B801" s="80" t="s">
        <v>1059</v>
      </c>
      <c r="C801" s="81" t="s">
        <v>6380</v>
      </c>
    </row>
    <row r="802" spans="1:3" s="79" customFormat="1" ht="49.15" customHeight="1" x14ac:dyDescent="0.2">
      <c r="A802" s="81">
        <v>20006430</v>
      </c>
      <c r="B802" s="80" t="s">
        <v>1060</v>
      </c>
      <c r="C802" s="82" t="s">
        <v>6381</v>
      </c>
    </row>
    <row r="803" spans="1:3" s="79" customFormat="1" ht="38.85" customHeight="1" x14ac:dyDescent="0.2">
      <c r="A803" s="81">
        <v>20006431</v>
      </c>
      <c r="B803" s="80" t="s">
        <v>1061</v>
      </c>
      <c r="C803" s="82" t="s">
        <v>6382</v>
      </c>
    </row>
    <row r="804" spans="1:3" s="79" customFormat="1" ht="28.7" customHeight="1" x14ac:dyDescent="0.2">
      <c r="A804" s="81">
        <v>20006433</v>
      </c>
      <c r="B804" s="80" t="s">
        <v>1062</v>
      </c>
      <c r="C804" s="82" t="s">
        <v>6383</v>
      </c>
    </row>
    <row r="805" spans="1:3" s="79" customFormat="1" ht="49.15" customHeight="1" x14ac:dyDescent="0.2">
      <c r="A805" s="81">
        <v>20006448</v>
      </c>
      <c r="B805" s="80" t="s">
        <v>1063</v>
      </c>
      <c r="C805" s="82" t="s">
        <v>6384</v>
      </c>
    </row>
    <row r="806" spans="1:3" s="79" customFormat="1" ht="49.15" customHeight="1" x14ac:dyDescent="0.2">
      <c r="A806" s="81">
        <v>20006449</v>
      </c>
      <c r="B806" s="80" t="s">
        <v>1064</v>
      </c>
      <c r="C806" s="82" t="s">
        <v>6385</v>
      </c>
    </row>
    <row r="807" spans="1:3" s="79" customFormat="1" ht="49.15" customHeight="1" x14ac:dyDescent="0.2">
      <c r="A807" s="81">
        <v>20006450</v>
      </c>
      <c r="B807" s="80" t="s">
        <v>1065</v>
      </c>
      <c r="C807" s="82" t="s">
        <v>6386</v>
      </c>
    </row>
    <row r="808" spans="1:3" s="79" customFormat="1" ht="49.15" customHeight="1" x14ac:dyDescent="0.2">
      <c r="A808" s="81">
        <v>20006451</v>
      </c>
      <c r="B808" s="80" t="s">
        <v>1066</v>
      </c>
      <c r="C808" s="82" t="s">
        <v>6387</v>
      </c>
    </row>
    <row r="809" spans="1:3" s="79" customFormat="1" ht="28.7" customHeight="1" x14ac:dyDescent="0.2">
      <c r="A809" s="81">
        <v>20006452</v>
      </c>
      <c r="B809" s="80" t="s">
        <v>1067</v>
      </c>
      <c r="C809" s="82" t="s">
        <v>6388</v>
      </c>
    </row>
    <row r="810" spans="1:3" s="79" customFormat="1" ht="28.7" customHeight="1" x14ac:dyDescent="0.2">
      <c r="A810" s="81">
        <v>20006455</v>
      </c>
      <c r="B810" s="80" t="s">
        <v>1068</v>
      </c>
      <c r="C810" s="82" t="s">
        <v>6389</v>
      </c>
    </row>
    <row r="811" spans="1:3" s="79" customFormat="1" ht="59.1" customHeight="1" x14ac:dyDescent="0.2">
      <c r="A811" s="81">
        <v>20006459</v>
      </c>
      <c r="B811" s="80" t="s">
        <v>1069</v>
      </c>
      <c r="C811" s="82" t="s">
        <v>6390</v>
      </c>
    </row>
    <row r="812" spans="1:3" s="79" customFormat="1" ht="28.7" customHeight="1" x14ac:dyDescent="0.2">
      <c r="A812" s="81">
        <v>20006463</v>
      </c>
      <c r="B812" s="80" t="s">
        <v>1070</v>
      </c>
      <c r="C812" s="82" t="s">
        <v>6391</v>
      </c>
    </row>
    <row r="813" spans="1:3" s="79" customFormat="1" ht="38.85" customHeight="1" x14ac:dyDescent="0.2">
      <c r="A813" s="81">
        <v>20006465</v>
      </c>
      <c r="B813" s="80" t="s">
        <v>1071</v>
      </c>
      <c r="C813" s="80" t="s">
        <v>6392</v>
      </c>
    </row>
    <row r="814" spans="1:3" s="79" customFormat="1" ht="19.149999999999999" customHeight="1" x14ac:dyDescent="0.2">
      <c r="A814" s="81">
        <v>20006466</v>
      </c>
      <c r="B814" s="80" t="s">
        <v>1072</v>
      </c>
      <c r="C814" s="82" t="s">
        <v>6393</v>
      </c>
    </row>
    <row r="815" spans="1:3" s="79" customFormat="1" ht="38.85" customHeight="1" x14ac:dyDescent="0.2">
      <c r="A815" s="81">
        <v>20006488</v>
      </c>
      <c r="B815" s="80" t="s">
        <v>1073</v>
      </c>
      <c r="C815" s="82" t="s">
        <v>6394</v>
      </c>
    </row>
    <row r="816" spans="1:3" s="79" customFormat="1" ht="38.85" customHeight="1" x14ac:dyDescent="0.2">
      <c r="A816" s="81">
        <v>20006489</v>
      </c>
      <c r="B816" s="80" t="s">
        <v>1074</v>
      </c>
      <c r="C816" s="82" t="s">
        <v>6395</v>
      </c>
    </row>
    <row r="817" spans="1:3" s="79" customFormat="1" ht="28.7" customHeight="1" x14ac:dyDescent="0.2">
      <c r="A817" s="81">
        <v>20006495</v>
      </c>
      <c r="B817" s="80" t="s">
        <v>1075</v>
      </c>
      <c r="C817" s="80" t="s">
        <v>6396</v>
      </c>
    </row>
    <row r="818" spans="1:3" s="79" customFormat="1" ht="19.149999999999999" customHeight="1" x14ac:dyDescent="0.2">
      <c r="A818" s="81">
        <v>20006497</v>
      </c>
      <c r="B818" s="80" t="s">
        <v>1076</v>
      </c>
      <c r="C818" s="82" t="s">
        <v>6397</v>
      </c>
    </row>
    <row r="819" spans="1:3" s="79" customFormat="1" ht="28.7" customHeight="1" x14ac:dyDescent="0.2">
      <c r="A819" s="81">
        <v>20006498</v>
      </c>
      <c r="B819" s="80" t="s">
        <v>1077</v>
      </c>
      <c r="C819" s="82" t="s">
        <v>6398</v>
      </c>
    </row>
    <row r="820" spans="1:3" s="79" customFormat="1" ht="28.7" customHeight="1" x14ac:dyDescent="0.2">
      <c r="A820" s="81">
        <v>20006499</v>
      </c>
      <c r="B820" s="80" t="s">
        <v>1078</v>
      </c>
      <c r="C820" s="82" t="s">
        <v>6399</v>
      </c>
    </row>
    <row r="821" spans="1:3" s="79" customFormat="1" ht="28.7" customHeight="1" x14ac:dyDescent="0.2">
      <c r="A821" s="81">
        <v>20006500</v>
      </c>
      <c r="B821" s="80" t="s">
        <v>1079</v>
      </c>
      <c r="C821" s="82" t="s">
        <v>6400</v>
      </c>
    </row>
    <row r="822" spans="1:3" s="79" customFormat="1" ht="28.7" customHeight="1" x14ac:dyDescent="0.2">
      <c r="A822" s="81">
        <v>20006501</v>
      </c>
      <c r="B822" s="80" t="s">
        <v>1080</v>
      </c>
      <c r="C822" s="82" t="s">
        <v>6401</v>
      </c>
    </row>
    <row r="823" spans="1:3" s="79" customFormat="1" ht="28.7" customHeight="1" x14ac:dyDescent="0.2">
      <c r="A823" s="81">
        <v>20006506</v>
      </c>
      <c r="B823" s="80" t="s">
        <v>1081</v>
      </c>
      <c r="C823" s="82" t="s">
        <v>6402</v>
      </c>
    </row>
    <row r="824" spans="1:3" s="79" customFormat="1" ht="28.7" customHeight="1" x14ac:dyDescent="0.2">
      <c r="A824" s="81">
        <v>20006508</v>
      </c>
      <c r="B824" s="80" t="s">
        <v>1082</v>
      </c>
      <c r="C824" s="82" t="s">
        <v>6403</v>
      </c>
    </row>
    <row r="825" spans="1:3" s="79" customFormat="1" ht="28.7" customHeight="1" x14ac:dyDescent="0.2">
      <c r="A825" s="81">
        <v>20006512</v>
      </c>
      <c r="B825" s="80" t="s">
        <v>1083</v>
      </c>
      <c r="C825" s="82" t="s">
        <v>6404</v>
      </c>
    </row>
    <row r="826" spans="1:3" s="79" customFormat="1" ht="19.149999999999999" customHeight="1" x14ac:dyDescent="0.2">
      <c r="A826" s="81">
        <v>20006725</v>
      </c>
      <c r="B826" s="80" t="s">
        <v>1084</v>
      </c>
      <c r="C826" s="82" t="s">
        <v>6405</v>
      </c>
    </row>
    <row r="827" spans="1:3" s="79" customFormat="1" ht="49.15" customHeight="1" x14ac:dyDescent="0.2">
      <c r="A827" s="81">
        <v>20006759</v>
      </c>
      <c r="B827" s="80" t="s">
        <v>1086</v>
      </c>
      <c r="C827" s="82" t="s">
        <v>6406</v>
      </c>
    </row>
    <row r="828" spans="1:3" s="79" customFormat="1" ht="19.149999999999999" customHeight="1" x14ac:dyDescent="0.2">
      <c r="A828" s="81">
        <v>20006851</v>
      </c>
      <c r="B828" s="80" t="s">
        <v>1087</v>
      </c>
      <c r="C828" s="82" t="s">
        <v>6407</v>
      </c>
    </row>
    <row r="829" spans="1:3" s="79" customFormat="1" ht="28.7" customHeight="1" x14ac:dyDescent="0.2">
      <c r="A829" s="81">
        <v>20006860</v>
      </c>
      <c r="B829" s="80" t="s">
        <v>1088</v>
      </c>
      <c r="C829" s="82" t="s">
        <v>6408</v>
      </c>
    </row>
    <row r="830" spans="1:3" s="79" customFormat="1" ht="59.1" customHeight="1" x14ac:dyDescent="0.2">
      <c r="A830" s="81">
        <v>20006866</v>
      </c>
      <c r="B830" s="80" t="s">
        <v>1089</v>
      </c>
      <c r="C830" s="82" t="s">
        <v>6409</v>
      </c>
    </row>
    <row r="831" spans="1:3" s="79" customFormat="1" ht="59.1" customHeight="1" x14ac:dyDescent="0.2">
      <c r="A831" s="81">
        <v>20006880</v>
      </c>
      <c r="B831" s="80" t="s">
        <v>1090</v>
      </c>
      <c r="C831" s="82" t="s">
        <v>6410</v>
      </c>
    </row>
    <row r="832" spans="1:3" s="79" customFormat="1" ht="28.7" customHeight="1" x14ac:dyDescent="0.2">
      <c r="A832" s="81">
        <v>20006909</v>
      </c>
      <c r="B832" s="80" t="s">
        <v>1091</v>
      </c>
      <c r="C832" s="80" t="s">
        <v>6411</v>
      </c>
    </row>
    <row r="833" spans="1:3" s="79" customFormat="1" ht="19.149999999999999" customHeight="1" x14ac:dyDescent="0.2">
      <c r="A833" s="81">
        <v>20006910</v>
      </c>
      <c r="B833" s="80" t="s">
        <v>1092</v>
      </c>
      <c r="C833" s="82" t="s">
        <v>6412</v>
      </c>
    </row>
    <row r="834" spans="1:3" s="79" customFormat="1" ht="38.85" customHeight="1" x14ac:dyDescent="0.2">
      <c r="A834" s="81">
        <v>20007023</v>
      </c>
      <c r="B834" s="80" t="s">
        <v>1093</v>
      </c>
      <c r="C834" s="80" t="s">
        <v>6413</v>
      </c>
    </row>
    <row r="835" spans="1:3" s="79" customFormat="1" ht="19.149999999999999" customHeight="1" x14ac:dyDescent="0.2">
      <c r="A835" s="81">
        <v>20007027</v>
      </c>
      <c r="B835" s="80" t="s">
        <v>1094</v>
      </c>
      <c r="C835" s="82" t="s">
        <v>6414</v>
      </c>
    </row>
    <row r="836" spans="1:3" s="79" customFormat="1" ht="19.149999999999999" customHeight="1" x14ac:dyDescent="0.2">
      <c r="A836" s="81">
        <v>20007035</v>
      </c>
      <c r="B836" s="80" t="s">
        <v>1095</v>
      </c>
      <c r="C836" s="82" t="s">
        <v>6415</v>
      </c>
    </row>
    <row r="837" spans="1:3" s="79" customFormat="1" ht="38.85" customHeight="1" x14ac:dyDescent="0.2">
      <c r="A837" s="81">
        <v>20007038</v>
      </c>
      <c r="B837" s="80" t="s">
        <v>1097</v>
      </c>
      <c r="C837" s="82" t="s">
        <v>6416</v>
      </c>
    </row>
    <row r="838" spans="1:3" s="79" customFormat="1" ht="38.85" customHeight="1" x14ac:dyDescent="0.2">
      <c r="A838" s="81">
        <v>20007040</v>
      </c>
      <c r="B838" s="80" t="s">
        <v>1098</v>
      </c>
      <c r="C838" s="82" t="s">
        <v>6417</v>
      </c>
    </row>
    <row r="839" spans="1:3" s="79" customFormat="1" ht="19.149999999999999" customHeight="1" x14ac:dyDescent="0.2">
      <c r="A839" s="81">
        <v>20007076</v>
      </c>
      <c r="B839" s="80" t="s">
        <v>1099</v>
      </c>
      <c r="C839" s="82" t="s">
        <v>6418</v>
      </c>
    </row>
    <row r="840" spans="1:3" s="79" customFormat="1" ht="49.15" customHeight="1" x14ac:dyDescent="0.2">
      <c r="A840" s="81">
        <v>20007094</v>
      </c>
      <c r="B840" s="80" t="s">
        <v>1100</v>
      </c>
      <c r="C840" s="82" t="s">
        <v>6419</v>
      </c>
    </row>
    <row r="841" spans="1:3" s="79" customFormat="1" ht="59.1" customHeight="1" x14ac:dyDescent="0.2">
      <c r="A841" s="81">
        <v>20008214</v>
      </c>
      <c r="B841" s="80" t="s">
        <v>1101</v>
      </c>
      <c r="C841" s="81" t="s">
        <v>6420</v>
      </c>
    </row>
    <row r="842" spans="1:3" s="79" customFormat="1" ht="118.9" customHeight="1" x14ac:dyDescent="0.2">
      <c r="A842" s="81">
        <v>20008315</v>
      </c>
      <c r="B842" s="80" t="s">
        <v>1102</v>
      </c>
      <c r="C842" s="82" t="s">
        <v>6421</v>
      </c>
    </row>
    <row r="843" spans="1:3" s="79" customFormat="1" ht="28.7" customHeight="1" x14ac:dyDescent="0.2">
      <c r="A843" s="81">
        <v>20008317</v>
      </c>
      <c r="B843" s="80" t="s">
        <v>1103</v>
      </c>
      <c r="C843" s="80" t="s">
        <v>6422</v>
      </c>
    </row>
    <row r="844" spans="1:3" s="79" customFormat="1" ht="19.149999999999999" customHeight="1" x14ac:dyDescent="0.2">
      <c r="A844" s="81">
        <v>20008318</v>
      </c>
      <c r="B844" s="80" t="s">
        <v>1104</v>
      </c>
      <c r="C844" s="82" t="s">
        <v>6423</v>
      </c>
    </row>
    <row r="845" spans="1:3" s="79" customFormat="1" ht="28.7" customHeight="1" x14ac:dyDescent="0.2">
      <c r="A845" s="81">
        <v>20008357</v>
      </c>
      <c r="B845" s="80" t="s">
        <v>1105</v>
      </c>
      <c r="C845" s="82" t="s">
        <v>6424</v>
      </c>
    </row>
    <row r="846" spans="1:3" s="79" customFormat="1" ht="49.15" customHeight="1" x14ac:dyDescent="0.2">
      <c r="A846" s="81">
        <v>20008400</v>
      </c>
      <c r="B846" s="80" t="s">
        <v>1106</v>
      </c>
      <c r="C846" s="81" t="s">
        <v>6425</v>
      </c>
    </row>
    <row r="847" spans="1:3" s="79" customFormat="1" ht="149.25" customHeight="1" x14ac:dyDescent="0.2">
      <c r="A847" s="81">
        <v>20008403</v>
      </c>
      <c r="B847" s="80" t="s">
        <v>1107</v>
      </c>
      <c r="C847" s="82" t="s">
        <v>6426</v>
      </c>
    </row>
    <row r="848" spans="1:3" s="79" customFormat="1" ht="38.85" customHeight="1" x14ac:dyDescent="0.2">
      <c r="A848" s="81">
        <v>20008429</v>
      </c>
      <c r="B848" s="80" t="s">
        <v>1108</v>
      </c>
      <c r="C848" s="82" t="s">
        <v>6427</v>
      </c>
    </row>
    <row r="849" spans="1:3" s="79" customFormat="1" ht="99.2" customHeight="1" x14ac:dyDescent="0.2">
      <c r="A849" s="81">
        <v>20008430</v>
      </c>
      <c r="B849" s="80" t="s">
        <v>1109</v>
      </c>
      <c r="C849" s="82" t="s">
        <v>6428</v>
      </c>
    </row>
    <row r="850" spans="1:3" s="79" customFormat="1" ht="99.2" customHeight="1" x14ac:dyDescent="0.2">
      <c r="A850" s="81">
        <v>20008431</v>
      </c>
      <c r="B850" s="80" t="s">
        <v>1110</v>
      </c>
      <c r="C850" s="82" t="s">
        <v>6429</v>
      </c>
    </row>
    <row r="851" spans="1:3" s="79" customFormat="1" ht="99.2" customHeight="1" x14ac:dyDescent="0.2">
      <c r="A851" s="81">
        <v>20008432</v>
      </c>
      <c r="B851" s="80" t="s">
        <v>1111</v>
      </c>
      <c r="C851" s="82" t="s">
        <v>6430</v>
      </c>
    </row>
    <row r="852" spans="1:3" s="79" customFormat="1" ht="99.2" customHeight="1" x14ac:dyDescent="0.2">
      <c r="A852" s="81">
        <v>20008433</v>
      </c>
      <c r="B852" s="80" t="s">
        <v>1112</v>
      </c>
      <c r="C852" s="82" t="s">
        <v>6431</v>
      </c>
    </row>
    <row r="853" spans="1:3" s="79" customFormat="1" ht="99.2" customHeight="1" x14ac:dyDescent="0.2">
      <c r="A853" s="81">
        <v>20008434</v>
      </c>
      <c r="B853" s="80" t="s">
        <v>1113</v>
      </c>
      <c r="C853" s="82" t="s">
        <v>6432</v>
      </c>
    </row>
    <row r="854" spans="1:3" s="79" customFormat="1" ht="99.2" customHeight="1" x14ac:dyDescent="0.2">
      <c r="A854" s="81">
        <v>20008546</v>
      </c>
      <c r="B854" s="80" t="s">
        <v>1114</v>
      </c>
      <c r="C854" s="82" t="s">
        <v>6433</v>
      </c>
    </row>
    <row r="855" spans="1:3" s="79" customFormat="1" ht="38.85" customHeight="1" x14ac:dyDescent="0.2">
      <c r="A855" s="81">
        <v>20008583</v>
      </c>
      <c r="B855" s="80" t="s">
        <v>1116</v>
      </c>
      <c r="C855" s="82" t="s">
        <v>6434</v>
      </c>
    </row>
    <row r="856" spans="1:3" s="79" customFormat="1" ht="59.1" customHeight="1" x14ac:dyDescent="0.2">
      <c r="A856" s="81">
        <v>20008634</v>
      </c>
      <c r="B856" s="80" t="s">
        <v>1117</v>
      </c>
      <c r="C856" s="80" t="s">
        <v>6435</v>
      </c>
    </row>
    <row r="857" spans="1:3" s="79" customFormat="1" ht="19.149999999999999" customHeight="1" x14ac:dyDescent="0.2">
      <c r="A857" s="81">
        <v>20008710</v>
      </c>
      <c r="B857" s="80" t="s">
        <v>1118</v>
      </c>
      <c r="C857" s="82" t="s">
        <v>6436</v>
      </c>
    </row>
    <row r="858" spans="1:3" s="79" customFormat="1" ht="28.7" customHeight="1" x14ac:dyDescent="0.2">
      <c r="A858" s="81">
        <v>20008711</v>
      </c>
      <c r="B858" s="80" t="s">
        <v>1119</v>
      </c>
      <c r="C858" s="82" t="s">
        <v>6437</v>
      </c>
    </row>
    <row r="859" spans="1:3" s="79" customFormat="1" ht="28.7" customHeight="1" x14ac:dyDescent="0.2">
      <c r="A859" s="81">
        <v>20008713</v>
      </c>
      <c r="B859" s="80" t="s">
        <v>1120</v>
      </c>
      <c r="C859" s="82" t="s">
        <v>6438</v>
      </c>
    </row>
    <row r="860" spans="1:3" s="79" customFormat="1" ht="28.7" customHeight="1" x14ac:dyDescent="0.2">
      <c r="A860" s="81">
        <v>20008743</v>
      </c>
      <c r="B860" s="80" t="s">
        <v>1121</v>
      </c>
      <c r="C860" s="82" t="s">
        <v>6439</v>
      </c>
    </row>
    <row r="861" spans="1:3" s="79" customFormat="1" ht="19.149999999999999" customHeight="1" x14ac:dyDescent="0.2">
      <c r="A861" s="81">
        <v>20008744</v>
      </c>
      <c r="B861" s="80" t="s">
        <v>1122</v>
      </c>
      <c r="C861" s="80" t="s">
        <v>6440</v>
      </c>
    </row>
    <row r="862" spans="1:3" s="79" customFormat="1" ht="19.149999999999999" customHeight="1" x14ac:dyDescent="0.2">
      <c r="A862" s="81">
        <v>20008745</v>
      </c>
      <c r="B862" s="80" t="s">
        <v>1123</v>
      </c>
      <c r="C862" s="82" t="s">
        <v>6441</v>
      </c>
    </row>
    <row r="863" spans="1:3" s="79" customFormat="1" ht="19.149999999999999" customHeight="1" x14ac:dyDescent="0.2">
      <c r="A863" s="81">
        <v>20008746</v>
      </c>
      <c r="B863" s="80" t="s">
        <v>1124</v>
      </c>
      <c r="C863" s="82" t="s">
        <v>6442</v>
      </c>
    </row>
    <row r="864" spans="1:3" s="79" customFormat="1" ht="19.149999999999999" customHeight="1" x14ac:dyDescent="0.2">
      <c r="A864" s="81">
        <v>20008794</v>
      </c>
      <c r="B864" s="80" t="s">
        <v>1125</v>
      </c>
      <c r="C864" s="82" t="s">
        <v>6443</v>
      </c>
    </row>
    <row r="865" spans="1:3" s="79" customFormat="1" ht="68.849999999999994" customHeight="1" x14ac:dyDescent="0.2">
      <c r="A865" s="81">
        <v>20008856</v>
      </c>
      <c r="B865" s="80" t="s">
        <v>1126</v>
      </c>
      <c r="C865" s="82" t="s">
        <v>6444</v>
      </c>
    </row>
    <row r="866" spans="1:3" s="79" customFormat="1" ht="28.7" customHeight="1" x14ac:dyDescent="0.2">
      <c r="A866" s="81">
        <v>20008858</v>
      </c>
      <c r="B866" s="80" t="s">
        <v>1127</v>
      </c>
      <c r="C866" s="82" t="s">
        <v>6445</v>
      </c>
    </row>
    <row r="867" spans="1:3" s="79" customFormat="1" ht="28.7" customHeight="1" x14ac:dyDescent="0.2">
      <c r="A867" s="81">
        <v>20008860</v>
      </c>
      <c r="B867" s="80" t="s">
        <v>1128</v>
      </c>
      <c r="C867" s="82" t="s">
        <v>6446</v>
      </c>
    </row>
    <row r="868" spans="1:3" s="79" customFormat="1" ht="28.7" customHeight="1" x14ac:dyDescent="0.2">
      <c r="A868" s="81">
        <v>20008861</v>
      </c>
      <c r="B868" s="80" t="s">
        <v>1129</v>
      </c>
      <c r="C868" s="82" t="s">
        <v>6447</v>
      </c>
    </row>
    <row r="869" spans="1:3" s="79" customFormat="1" ht="28.7" customHeight="1" x14ac:dyDescent="0.2">
      <c r="A869" s="81">
        <v>20008862</v>
      </c>
      <c r="B869" s="80" t="s">
        <v>1130</v>
      </c>
      <c r="C869" s="82" t="s">
        <v>6448</v>
      </c>
    </row>
    <row r="870" spans="1:3" s="79" customFormat="1" ht="38.85" customHeight="1" x14ac:dyDescent="0.2">
      <c r="A870" s="81">
        <v>20008864</v>
      </c>
      <c r="B870" s="80" t="s">
        <v>1131</v>
      </c>
      <c r="C870" s="82" t="s">
        <v>6449</v>
      </c>
    </row>
    <row r="871" spans="1:3" s="79" customFormat="1" ht="28.7" customHeight="1" x14ac:dyDescent="0.2">
      <c r="A871" s="81">
        <v>20008866</v>
      </c>
      <c r="B871" s="80" t="s">
        <v>1132</v>
      </c>
      <c r="C871" s="82" t="s">
        <v>6450</v>
      </c>
    </row>
    <row r="872" spans="1:3" s="79" customFormat="1" ht="28.7" customHeight="1" x14ac:dyDescent="0.2">
      <c r="A872" s="81">
        <v>20008867</v>
      </c>
      <c r="B872" s="80" t="s">
        <v>1133</v>
      </c>
      <c r="C872" s="82" t="s">
        <v>6451</v>
      </c>
    </row>
    <row r="873" spans="1:3" s="79" customFormat="1" ht="28.7" customHeight="1" x14ac:dyDescent="0.2">
      <c r="A873" s="81">
        <v>20008868</v>
      </c>
      <c r="B873" s="80" t="s">
        <v>1134</v>
      </c>
      <c r="C873" s="82" t="s">
        <v>6452</v>
      </c>
    </row>
    <row r="874" spans="1:3" s="79" customFormat="1" ht="28.7" customHeight="1" x14ac:dyDescent="0.2">
      <c r="A874" s="81">
        <v>20008870</v>
      </c>
      <c r="B874" s="80" t="s">
        <v>1135</v>
      </c>
      <c r="C874" s="82" t="s">
        <v>6453</v>
      </c>
    </row>
    <row r="875" spans="1:3" s="79" customFormat="1" ht="28.7" customHeight="1" x14ac:dyDescent="0.2">
      <c r="A875" s="81">
        <v>20008871</v>
      </c>
      <c r="B875" s="80" t="s">
        <v>1136</v>
      </c>
      <c r="C875" s="82" t="s">
        <v>6454</v>
      </c>
    </row>
    <row r="876" spans="1:3" s="79" customFormat="1" ht="28.7" customHeight="1" x14ac:dyDescent="0.2">
      <c r="A876" s="81">
        <v>20008872</v>
      </c>
      <c r="B876" s="80" t="s">
        <v>1137</v>
      </c>
      <c r="C876" s="82" t="s">
        <v>6455</v>
      </c>
    </row>
    <row r="877" spans="1:3" s="79" customFormat="1" ht="28.7" customHeight="1" x14ac:dyDescent="0.2">
      <c r="A877" s="81">
        <v>20008873</v>
      </c>
      <c r="B877" s="80" t="s">
        <v>1138</v>
      </c>
      <c r="C877" s="82" t="s">
        <v>6456</v>
      </c>
    </row>
    <row r="878" spans="1:3" s="79" customFormat="1" ht="28.7" customHeight="1" x14ac:dyDescent="0.2">
      <c r="A878" s="81">
        <v>20008874</v>
      </c>
      <c r="B878" s="80" t="s">
        <v>1139</v>
      </c>
      <c r="C878" s="82" t="s">
        <v>6457</v>
      </c>
    </row>
    <row r="879" spans="1:3" s="79" customFormat="1" ht="28.7" customHeight="1" x14ac:dyDescent="0.2">
      <c r="A879" s="81">
        <v>20008875</v>
      </c>
      <c r="B879" s="80" t="s">
        <v>1140</v>
      </c>
      <c r="C879" s="82" t="s">
        <v>6458</v>
      </c>
    </row>
    <row r="880" spans="1:3" s="79" customFormat="1" ht="28.7" customHeight="1" x14ac:dyDescent="0.2">
      <c r="A880" s="81">
        <v>20008876</v>
      </c>
      <c r="B880" s="80" t="s">
        <v>1141</v>
      </c>
      <c r="C880" s="82" t="s">
        <v>6459</v>
      </c>
    </row>
    <row r="881" spans="1:3" s="79" customFormat="1" ht="28.7" customHeight="1" x14ac:dyDescent="0.2">
      <c r="A881" s="81">
        <v>20008877</v>
      </c>
      <c r="B881" s="80" t="s">
        <v>1142</v>
      </c>
      <c r="C881" s="82" t="s">
        <v>6460</v>
      </c>
    </row>
    <row r="882" spans="1:3" s="79" customFormat="1" ht="28.7" customHeight="1" x14ac:dyDescent="0.2">
      <c r="A882" s="81">
        <v>20008878</v>
      </c>
      <c r="B882" s="80" t="s">
        <v>1143</v>
      </c>
      <c r="C882" s="82" t="s">
        <v>6461</v>
      </c>
    </row>
    <row r="883" spans="1:3" s="79" customFormat="1" ht="28.7" customHeight="1" x14ac:dyDescent="0.2">
      <c r="A883" s="81">
        <v>20008879</v>
      </c>
      <c r="B883" s="80" t="s">
        <v>1144</v>
      </c>
      <c r="C883" s="82" t="s">
        <v>6462</v>
      </c>
    </row>
    <row r="884" spans="1:3" s="79" customFormat="1" ht="28.7" customHeight="1" x14ac:dyDescent="0.2">
      <c r="A884" s="81">
        <v>20008881</v>
      </c>
      <c r="B884" s="80" t="s">
        <v>1145</v>
      </c>
      <c r="C884" s="82" t="s">
        <v>6463</v>
      </c>
    </row>
    <row r="885" spans="1:3" s="79" customFormat="1" ht="38.85" customHeight="1" x14ac:dyDescent="0.2">
      <c r="A885" s="81">
        <v>20008882</v>
      </c>
      <c r="B885" s="80" t="s">
        <v>1146</v>
      </c>
      <c r="C885" s="82" t="s">
        <v>6464</v>
      </c>
    </row>
    <row r="886" spans="1:3" s="79" customFormat="1" ht="38.85" customHeight="1" x14ac:dyDescent="0.2">
      <c r="A886" s="81">
        <v>20008883</v>
      </c>
      <c r="B886" s="80" t="s">
        <v>1147</v>
      </c>
      <c r="C886" s="82" t="s">
        <v>6465</v>
      </c>
    </row>
    <row r="887" spans="1:3" s="79" customFormat="1" ht="38.85" customHeight="1" x14ac:dyDescent="0.2">
      <c r="A887" s="81">
        <v>20008884</v>
      </c>
      <c r="B887" s="80" t="s">
        <v>1148</v>
      </c>
      <c r="C887" s="82" t="s">
        <v>6466</v>
      </c>
    </row>
    <row r="888" spans="1:3" s="79" customFormat="1" ht="38.85" customHeight="1" x14ac:dyDescent="0.2">
      <c r="A888" s="81">
        <v>20008885</v>
      </c>
      <c r="B888" s="80" t="s">
        <v>1149</v>
      </c>
      <c r="C888" s="82" t="s">
        <v>6467</v>
      </c>
    </row>
    <row r="889" spans="1:3" s="79" customFormat="1" ht="38.85" customHeight="1" x14ac:dyDescent="0.2">
      <c r="A889" s="81">
        <v>20008886</v>
      </c>
      <c r="B889" s="80" t="s">
        <v>1150</v>
      </c>
      <c r="C889" s="82" t="s">
        <v>6468</v>
      </c>
    </row>
    <row r="890" spans="1:3" s="79" customFormat="1" ht="38.85" customHeight="1" x14ac:dyDescent="0.2">
      <c r="A890" s="81">
        <v>20008887</v>
      </c>
      <c r="B890" s="80" t="s">
        <v>1151</v>
      </c>
      <c r="C890" s="82" t="s">
        <v>6469</v>
      </c>
    </row>
    <row r="891" spans="1:3" s="79" customFormat="1" ht="38.85" customHeight="1" x14ac:dyDescent="0.2">
      <c r="A891" s="81">
        <v>20008888</v>
      </c>
      <c r="B891" s="80" t="s">
        <v>1152</v>
      </c>
      <c r="C891" s="82" t="s">
        <v>6470</v>
      </c>
    </row>
    <row r="892" spans="1:3" s="79" customFormat="1" ht="38.85" customHeight="1" x14ac:dyDescent="0.2">
      <c r="A892" s="81">
        <v>20008889</v>
      </c>
      <c r="B892" s="80" t="s">
        <v>1153</v>
      </c>
      <c r="C892" s="82" t="s">
        <v>6471</v>
      </c>
    </row>
    <row r="893" spans="1:3" s="79" customFormat="1" ht="38.85" customHeight="1" x14ac:dyDescent="0.2">
      <c r="A893" s="81">
        <v>20008890</v>
      </c>
      <c r="B893" s="80" t="s">
        <v>1154</v>
      </c>
      <c r="C893" s="82" t="s">
        <v>6472</v>
      </c>
    </row>
    <row r="894" spans="1:3" s="79" customFormat="1" ht="38.85" customHeight="1" x14ac:dyDescent="0.2">
      <c r="A894" s="81">
        <v>20008892</v>
      </c>
      <c r="B894" s="80" t="s">
        <v>1155</v>
      </c>
      <c r="C894" s="82" t="s">
        <v>6473</v>
      </c>
    </row>
    <row r="895" spans="1:3" s="79" customFormat="1" ht="68.849999999999994" customHeight="1" x14ac:dyDescent="0.2">
      <c r="A895" s="81">
        <v>20008893</v>
      </c>
      <c r="B895" s="80" t="s">
        <v>1156</v>
      </c>
      <c r="C895" s="82" t="s">
        <v>6474</v>
      </c>
    </row>
    <row r="896" spans="1:3" s="79" customFormat="1" ht="68.849999999999994" customHeight="1" x14ac:dyDescent="0.2">
      <c r="A896" s="81">
        <v>20008908</v>
      </c>
      <c r="B896" s="80" t="s">
        <v>1157</v>
      </c>
      <c r="C896" s="81" t="s">
        <v>6475</v>
      </c>
    </row>
    <row r="897" spans="1:3" s="79" customFormat="1" ht="59.1" customHeight="1" x14ac:dyDescent="0.2">
      <c r="A897" s="81">
        <v>20008920</v>
      </c>
      <c r="B897" s="80" t="s">
        <v>1158</v>
      </c>
      <c r="C897" s="82" t="s">
        <v>6476</v>
      </c>
    </row>
    <row r="898" spans="1:3" s="79" customFormat="1" ht="28.7" customHeight="1" x14ac:dyDescent="0.2">
      <c r="A898" s="81">
        <v>20008930</v>
      </c>
      <c r="B898" s="80" t="s">
        <v>1159</v>
      </c>
      <c r="C898" s="82" t="s">
        <v>6477</v>
      </c>
    </row>
    <row r="899" spans="1:3" s="79" customFormat="1" ht="99.2" customHeight="1" x14ac:dyDescent="0.2">
      <c r="A899" s="81">
        <v>20008931</v>
      </c>
      <c r="B899" s="80" t="s">
        <v>1160</v>
      </c>
      <c r="C899" s="82" t="s">
        <v>6478</v>
      </c>
    </row>
    <row r="900" spans="1:3" s="79" customFormat="1" ht="99.2" customHeight="1" x14ac:dyDescent="0.2">
      <c r="A900" s="81">
        <v>20008932</v>
      </c>
      <c r="B900" s="80" t="s">
        <v>1161</v>
      </c>
      <c r="C900" s="82" t="s">
        <v>6479</v>
      </c>
    </row>
    <row r="901" spans="1:3" s="79" customFormat="1" ht="99.2" customHeight="1" x14ac:dyDescent="0.2">
      <c r="A901" s="81">
        <v>20008948</v>
      </c>
      <c r="B901" s="80" t="s">
        <v>1162</v>
      </c>
      <c r="C901" s="82" t="s">
        <v>6480</v>
      </c>
    </row>
    <row r="902" spans="1:3" s="79" customFormat="1" ht="28.7" customHeight="1" x14ac:dyDescent="0.2">
      <c r="A902" s="81">
        <v>20008989</v>
      </c>
      <c r="B902" s="80" t="s">
        <v>1163</v>
      </c>
      <c r="C902" s="81" t="s">
        <v>6481</v>
      </c>
    </row>
    <row r="903" spans="1:3" s="79" customFormat="1" ht="99.2" customHeight="1" x14ac:dyDescent="0.2">
      <c r="A903" s="81">
        <v>20008994</v>
      </c>
      <c r="B903" s="80" t="s">
        <v>1164</v>
      </c>
      <c r="C903" s="82" t="s">
        <v>6482</v>
      </c>
    </row>
    <row r="904" spans="1:3" s="79" customFormat="1" ht="28.7" customHeight="1" x14ac:dyDescent="0.2">
      <c r="A904" s="81">
        <v>20009016</v>
      </c>
      <c r="B904" s="80" t="s">
        <v>1165</v>
      </c>
      <c r="C904" s="82" t="s">
        <v>6483</v>
      </c>
    </row>
    <row r="905" spans="1:3" s="79" customFormat="1" ht="28.7" customHeight="1" x14ac:dyDescent="0.2">
      <c r="A905" s="81">
        <v>20009020</v>
      </c>
      <c r="B905" s="80" t="s">
        <v>1166</v>
      </c>
      <c r="C905" s="80" t="s">
        <v>6484</v>
      </c>
    </row>
    <row r="906" spans="1:3" s="79" customFormat="1" ht="19.149999999999999" customHeight="1" x14ac:dyDescent="0.2">
      <c r="A906" s="81">
        <v>20009051</v>
      </c>
      <c r="B906" s="80" t="s">
        <v>1167</v>
      </c>
      <c r="C906" s="82" t="s">
        <v>6485</v>
      </c>
    </row>
    <row r="907" spans="1:3" s="79" customFormat="1" ht="28.7" customHeight="1" x14ac:dyDescent="0.2">
      <c r="A907" s="81">
        <v>20009057</v>
      </c>
      <c r="B907" s="80" t="s">
        <v>1168</v>
      </c>
      <c r="C907" s="82" t="s">
        <v>6486</v>
      </c>
    </row>
    <row r="908" spans="1:3" s="79" customFormat="1" ht="49.15" customHeight="1" x14ac:dyDescent="0.2">
      <c r="A908" s="81">
        <v>20009060</v>
      </c>
      <c r="B908" s="80" t="s">
        <v>1169</v>
      </c>
      <c r="C908" s="82" t="s">
        <v>6487</v>
      </c>
    </row>
    <row r="909" spans="1:3" s="79" customFormat="1" ht="49.15" customHeight="1" x14ac:dyDescent="0.2">
      <c r="A909" s="81">
        <v>20009116</v>
      </c>
      <c r="B909" s="80" t="s">
        <v>1170</v>
      </c>
      <c r="C909" s="82" t="s">
        <v>6488</v>
      </c>
    </row>
    <row r="910" spans="1:3" s="79" customFormat="1" ht="59.1" customHeight="1" x14ac:dyDescent="0.2">
      <c r="A910" s="81">
        <v>20009122</v>
      </c>
      <c r="B910" s="80" t="s">
        <v>1171</v>
      </c>
      <c r="C910" s="82" t="s">
        <v>6489</v>
      </c>
    </row>
    <row r="911" spans="1:3" s="79" customFormat="1" ht="28.7" customHeight="1" x14ac:dyDescent="0.2">
      <c r="A911" s="81">
        <v>20009144</v>
      </c>
      <c r="B911" s="80" t="s">
        <v>1172</v>
      </c>
      <c r="C911" s="82" t="s">
        <v>6490</v>
      </c>
    </row>
    <row r="912" spans="1:3" s="79" customFormat="1" ht="28.7" customHeight="1" x14ac:dyDescent="0.2">
      <c r="A912" s="81">
        <v>20009186</v>
      </c>
      <c r="B912" s="80" t="s">
        <v>1173</v>
      </c>
      <c r="C912" s="81" t="s">
        <v>6491</v>
      </c>
    </row>
    <row r="913" spans="1:3" s="79" customFormat="1" ht="68.849999999999994" customHeight="1" x14ac:dyDescent="0.2">
      <c r="A913" s="81">
        <v>20009206</v>
      </c>
      <c r="B913" s="80" t="s">
        <v>1174</v>
      </c>
      <c r="C913" s="82" t="s">
        <v>6492</v>
      </c>
    </row>
    <row r="914" spans="1:3" s="79" customFormat="1" ht="28.7" customHeight="1" x14ac:dyDescent="0.2">
      <c r="A914" s="81">
        <v>20009207</v>
      </c>
      <c r="B914" s="80" t="s">
        <v>1175</v>
      </c>
      <c r="C914" s="82" t="s">
        <v>6493</v>
      </c>
    </row>
    <row r="915" spans="1:3" s="79" customFormat="1" ht="38.85" customHeight="1" x14ac:dyDescent="0.2">
      <c r="A915" s="81">
        <v>20009217</v>
      </c>
      <c r="B915" s="80" t="s">
        <v>1176</v>
      </c>
      <c r="C915" s="82" t="s">
        <v>6494</v>
      </c>
    </row>
    <row r="916" spans="1:3" s="79" customFormat="1" ht="38.85" customHeight="1" x14ac:dyDescent="0.2">
      <c r="A916" s="81">
        <v>20009264</v>
      </c>
      <c r="B916" s="80" t="s">
        <v>1178</v>
      </c>
      <c r="C916" s="82" t="s">
        <v>6495</v>
      </c>
    </row>
    <row r="917" spans="1:3" s="79" customFormat="1" ht="78.95" customHeight="1" x14ac:dyDescent="0.2">
      <c r="A917" s="81">
        <v>20009390</v>
      </c>
      <c r="B917" s="80" t="s">
        <v>1179</v>
      </c>
      <c r="C917" s="82" t="s">
        <v>6496</v>
      </c>
    </row>
    <row r="918" spans="1:3" s="79" customFormat="1" ht="38.85" customHeight="1" x14ac:dyDescent="0.2">
      <c r="A918" s="81">
        <v>20009392</v>
      </c>
      <c r="B918" s="80" t="s">
        <v>1180</v>
      </c>
      <c r="C918" s="81" t="s">
        <v>6497</v>
      </c>
    </row>
    <row r="919" spans="1:3" s="79" customFormat="1" ht="59.1" customHeight="1" x14ac:dyDescent="0.2">
      <c r="A919" s="81">
        <v>20009401</v>
      </c>
      <c r="B919" s="80" t="s">
        <v>1181</v>
      </c>
      <c r="C919" s="82" t="s">
        <v>11417</v>
      </c>
    </row>
    <row r="920" spans="1:3" s="79" customFormat="1" ht="28.7" customHeight="1" x14ac:dyDescent="0.2">
      <c r="A920" s="81">
        <v>20009412</v>
      </c>
      <c r="B920" s="80" t="s">
        <v>1182</v>
      </c>
      <c r="C920" s="82" t="s">
        <v>6498</v>
      </c>
    </row>
    <row r="921" spans="1:3" s="79" customFormat="1" ht="38.85" customHeight="1" x14ac:dyDescent="0.2">
      <c r="A921" s="81">
        <v>20009413</v>
      </c>
      <c r="B921" s="80" t="s">
        <v>1183</v>
      </c>
      <c r="C921" s="82" t="s">
        <v>6499</v>
      </c>
    </row>
    <row r="922" spans="1:3" s="79" customFormat="1" ht="28.7" customHeight="1" x14ac:dyDescent="0.2">
      <c r="A922" s="81">
        <v>20009583</v>
      </c>
      <c r="B922" s="80" t="s">
        <v>1185</v>
      </c>
      <c r="C922" s="82" t="s">
        <v>6500</v>
      </c>
    </row>
    <row r="923" spans="1:3" s="79" customFormat="1" ht="38.85" customHeight="1" x14ac:dyDescent="0.2">
      <c r="A923" s="81">
        <v>20009635</v>
      </c>
      <c r="B923" s="80" t="s">
        <v>1186</v>
      </c>
      <c r="C923" s="82" t="s">
        <v>6501</v>
      </c>
    </row>
    <row r="924" spans="1:3" s="79" customFormat="1" ht="49.15" customHeight="1" x14ac:dyDescent="0.2">
      <c r="A924" s="81">
        <v>20009637</v>
      </c>
      <c r="B924" s="80" t="s">
        <v>1187</v>
      </c>
      <c r="C924" s="82" t="s">
        <v>6502</v>
      </c>
    </row>
    <row r="925" spans="1:3" s="79" customFormat="1" ht="49.15" customHeight="1" x14ac:dyDescent="0.2">
      <c r="A925" s="81">
        <v>20009638</v>
      </c>
      <c r="B925" s="80" t="s">
        <v>1188</v>
      </c>
      <c r="C925" s="82" t="s">
        <v>6503</v>
      </c>
    </row>
    <row r="926" spans="1:3" s="79" customFormat="1" ht="49.15" customHeight="1" x14ac:dyDescent="0.2">
      <c r="A926" s="81">
        <v>20009692</v>
      </c>
      <c r="B926" s="80" t="s">
        <v>1189</v>
      </c>
      <c r="C926" s="82" t="s">
        <v>6504</v>
      </c>
    </row>
    <row r="927" spans="1:3" s="79" customFormat="1" ht="38.85" customHeight="1" x14ac:dyDescent="0.2">
      <c r="A927" s="81">
        <v>20009736</v>
      </c>
      <c r="B927" s="80" t="s">
        <v>1190</v>
      </c>
      <c r="C927" s="82" t="s">
        <v>6505</v>
      </c>
    </row>
    <row r="928" spans="1:3" s="79" customFormat="1" ht="38.85" customHeight="1" x14ac:dyDescent="0.2">
      <c r="A928" s="81">
        <v>20009737</v>
      </c>
      <c r="B928" s="80" t="s">
        <v>1191</v>
      </c>
      <c r="C928" s="82" t="s">
        <v>6506</v>
      </c>
    </row>
    <row r="929" spans="1:3" s="79" customFormat="1" ht="38.85" customHeight="1" x14ac:dyDescent="0.2">
      <c r="A929" s="81">
        <v>20009738</v>
      </c>
      <c r="B929" s="80" t="s">
        <v>1192</v>
      </c>
      <c r="C929" s="82" t="s">
        <v>6507</v>
      </c>
    </row>
    <row r="930" spans="1:3" s="79" customFormat="1" ht="38.85" customHeight="1" x14ac:dyDescent="0.2">
      <c r="A930" s="81">
        <v>20009741</v>
      </c>
      <c r="B930" s="80" t="s">
        <v>1193</v>
      </c>
      <c r="C930" s="80" t="s">
        <v>6508</v>
      </c>
    </row>
    <row r="931" spans="1:3" s="79" customFormat="1" ht="19.149999999999999" customHeight="1" x14ac:dyDescent="0.2">
      <c r="A931" s="81">
        <v>20009752</v>
      </c>
      <c r="B931" s="80" t="s">
        <v>1194</v>
      </c>
      <c r="C931" s="80" t="s">
        <v>6509</v>
      </c>
    </row>
    <row r="932" spans="1:3" s="79" customFormat="1" ht="19.149999999999999" customHeight="1" x14ac:dyDescent="0.2">
      <c r="A932" s="81">
        <v>20009753</v>
      </c>
      <c r="B932" s="80" t="s">
        <v>1195</v>
      </c>
      <c r="C932" s="80" t="s">
        <v>6510</v>
      </c>
    </row>
    <row r="933" spans="1:3" s="79" customFormat="1" ht="19.149999999999999" customHeight="1" x14ac:dyDescent="0.2">
      <c r="A933" s="81">
        <v>20009761</v>
      </c>
      <c r="B933" s="80" t="s">
        <v>1196</v>
      </c>
      <c r="C933" s="80" t="s">
        <v>6511</v>
      </c>
    </row>
    <row r="934" spans="1:3" s="79" customFormat="1" ht="19.149999999999999" customHeight="1" x14ac:dyDescent="0.2">
      <c r="A934" s="81">
        <v>20009762</v>
      </c>
      <c r="B934" s="80" t="s">
        <v>1197</v>
      </c>
      <c r="C934" s="80" t="s">
        <v>6512</v>
      </c>
    </row>
    <row r="935" spans="1:3" s="79" customFormat="1" ht="19.149999999999999" customHeight="1" x14ac:dyDescent="0.2">
      <c r="A935" s="81">
        <v>20009763</v>
      </c>
      <c r="B935" s="80" t="s">
        <v>1198</v>
      </c>
      <c r="C935" s="80" t="s">
        <v>6513</v>
      </c>
    </row>
    <row r="936" spans="1:3" s="79" customFormat="1" ht="19.149999999999999" customHeight="1" x14ac:dyDescent="0.2">
      <c r="A936" s="81">
        <v>20009769</v>
      </c>
      <c r="B936" s="80" t="s">
        <v>1199</v>
      </c>
      <c r="C936" s="82" t="s">
        <v>6514</v>
      </c>
    </row>
    <row r="937" spans="1:3" s="79" customFormat="1" ht="28.7" customHeight="1" x14ac:dyDescent="0.2">
      <c r="A937" s="81">
        <v>20009775</v>
      </c>
      <c r="B937" s="80" t="s">
        <v>1200</v>
      </c>
      <c r="C937" s="82" t="s">
        <v>6515</v>
      </c>
    </row>
    <row r="938" spans="1:3" s="79" customFormat="1" ht="38.85" customHeight="1" x14ac:dyDescent="0.2">
      <c r="A938" s="81">
        <v>20009776</v>
      </c>
      <c r="B938" s="80" t="s">
        <v>1201</v>
      </c>
      <c r="C938" s="82" t="s">
        <v>6516</v>
      </c>
    </row>
    <row r="939" spans="1:3" s="79" customFormat="1" ht="19.149999999999999" customHeight="1" x14ac:dyDescent="0.2">
      <c r="A939" s="81">
        <v>20009777</v>
      </c>
      <c r="B939" s="80" t="s">
        <v>1202</v>
      </c>
      <c r="C939" s="82" t="s">
        <v>6517</v>
      </c>
    </row>
    <row r="940" spans="1:3" s="79" customFormat="1" ht="28.7" customHeight="1" x14ac:dyDescent="0.2">
      <c r="A940" s="81">
        <v>20009779</v>
      </c>
      <c r="B940" s="80" t="s">
        <v>1203</v>
      </c>
      <c r="C940" s="82" t="s">
        <v>6518</v>
      </c>
    </row>
    <row r="941" spans="1:3" s="79" customFormat="1" ht="38.85" customHeight="1" x14ac:dyDescent="0.2">
      <c r="A941" s="81">
        <v>20009815</v>
      </c>
      <c r="B941" s="80" t="s">
        <v>1204</v>
      </c>
      <c r="C941" s="82" t="s">
        <v>6519</v>
      </c>
    </row>
    <row r="942" spans="1:3" s="79" customFormat="1" ht="19.149999999999999" customHeight="1" x14ac:dyDescent="0.2">
      <c r="A942" s="81">
        <v>20009816</v>
      </c>
      <c r="B942" s="80" t="s">
        <v>1205</v>
      </c>
      <c r="C942" s="82" t="s">
        <v>6520</v>
      </c>
    </row>
    <row r="943" spans="1:3" s="79" customFormat="1" ht="19.149999999999999" customHeight="1" x14ac:dyDescent="0.2">
      <c r="A943" s="81">
        <v>20009831</v>
      </c>
      <c r="B943" s="80" t="s">
        <v>1206</v>
      </c>
      <c r="C943" s="82" t="s">
        <v>6521</v>
      </c>
    </row>
    <row r="944" spans="1:3" s="79" customFormat="1" ht="28.7" customHeight="1" x14ac:dyDescent="0.2">
      <c r="A944" s="81">
        <v>20009867</v>
      </c>
      <c r="B944" s="80" t="s">
        <v>1207</v>
      </c>
      <c r="C944" s="80"/>
    </row>
    <row r="945" spans="1:3" s="79" customFormat="1" ht="19.149999999999999" customHeight="1" x14ac:dyDescent="0.2">
      <c r="A945" s="81">
        <v>20009869</v>
      </c>
      <c r="B945" s="80" t="s">
        <v>1208</v>
      </c>
      <c r="C945" s="80" t="s">
        <v>6522</v>
      </c>
    </row>
    <row r="946" spans="1:3" s="79" customFormat="1" ht="19.149999999999999" customHeight="1" x14ac:dyDescent="0.2">
      <c r="A946" s="81">
        <v>20009870</v>
      </c>
      <c r="B946" s="80" t="s">
        <v>11665</v>
      </c>
      <c r="C946" s="80" t="s">
        <v>6523</v>
      </c>
    </row>
    <row r="947" spans="1:3" s="79" customFormat="1" ht="19.149999999999999" customHeight="1" x14ac:dyDescent="0.2">
      <c r="A947" s="81">
        <v>20009875</v>
      </c>
      <c r="B947" s="80" t="s">
        <v>1210</v>
      </c>
      <c r="C947" s="82" t="s">
        <v>6524</v>
      </c>
    </row>
    <row r="948" spans="1:3" s="79" customFormat="1" ht="38.85" customHeight="1" x14ac:dyDescent="0.2">
      <c r="A948" s="81">
        <v>20009876</v>
      </c>
      <c r="B948" s="80" t="s">
        <v>1211</v>
      </c>
      <c r="C948" s="82" t="s">
        <v>6525</v>
      </c>
    </row>
    <row r="949" spans="1:3" s="79" customFormat="1" ht="38.85" customHeight="1" x14ac:dyDescent="0.2">
      <c r="A949" s="81">
        <v>20009911</v>
      </c>
      <c r="B949" s="80" t="s">
        <v>1212</v>
      </c>
      <c r="C949" s="81" t="s">
        <v>6526</v>
      </c>
    </row>
    <row r="950" spans="1:3" s="79" customFormat="1" ht="99.2" customHeight="1" x14ac:dyDescent="0.2">
      <c r="A950" s="81">
        <v>20009912</v>
      </c>
      <c r="B950" s="80" t="s">
        <v>1213</v>
      </c>
      <c r="C950" s="81" t="s">
        <v>6527</v>
      </c>
    </row>
    <row r="951" spans="1:3" s="79" customFormat="1" ht="99.2" customHeight="1" x14ac:dyDescent="0.2">
      <c r="A951" s="81">
        <v>20009921</v>
      </c>
      <c r="B951" s="80" t="s">
        <v>1214</v>
      </c>
      <c r="C951" s="82" t="s">
        <v>6528</v>
      </c>
    </row>
    <row r="952" spans="1:3" s="79" customFormat="1" ht="49.15" customHeight="1" x14ac:dyDescent="0.2">
      <c r="A952" s="81">
        <v>20009924</v>
      </c>
      <c r="B952" s="80" t="s">
        <v>1215</v>
      </c>
      <c r="C952" s="82" t="s">
        <v>6529</v>
      </c>
    </row>
    <row r="953" spans="1:3" s="79" customFormat="1" ht="49.15" customHeight="1" x14ac:dyDescent="0.2">
      <c r="A953" s="81">
        <v>20009925</v>
      </c>
      <c r="B953" s="80" t="s">
        <v>1216</v>
      </c>
      <c r="C953" s="82" t="s">
        <v>6530</v>
      </c>
    </row>
    <row r="954" spans="1:3" s="79" customFormat="1" ht="49.15" customHeight="1" x14ac:dyDescent="0.2">
      <c r="A954" s="81">
        <v>20009927</v>
      </c>
      <c r="B954" s="80" t="s">
        <v>1217</v>
      </c>
      <c r="C954" s="82" t="s">
        <v>6531</v>
      </c>
    </row>
    <row r="955" spans="1:3" s="79" customFormat="1" ht="49.15" customHeight="1" x14ac:dyDescent="0.2">
      <c r="A955" s="81">
        <v>20009928</v>
      </c>
      <c r="B955" s="80" t="s">
        <v>1218</v>
      </c>
      <c r="C955" s="82" t="s">
        <v>6532</v>
      </c>
    </row>
    <row r="956" spans="1:3" s="79" customFormat="1" ht="38.85" customHeight="1" x14ac:dyDescent="0.2">
      <c r="A956" s="81">
        <v>20009932</v>
      </c>
      <c r="B956" s="80" t="s">
        <v>1219</v>
      </c>
      <c r="C956" s="82" t="s">
        <v>6533</v>
      </c>
    </row>
    <row r="957" spans="1:3" s="79" customFormat="1" ht="38.85" customHeight="1" x14ac:dyDescent="0.2">
      <c r="A957" s="81">
        <v>20009933</v>
      </c>
      <c r="B957" s="80" t="s">
        <v>1220</v>
      </c>
      <c r="C957" s="82" t="s">
        <v>6534</v>
      </c>
    </row>
    <row r="958" spans="1:3" s="79" customFormat="1" ht="38.85" customHeight="1" x14ac:dyDescent="0.2">
      <c r="A958" s="81">
        <v>20009937</v>
      </c>
      <c r="B958" s="80" t="s">
        <v>1221</v>
      </c>
      <c r="C958" s="82" t="s">
        <v>6535</v>
      </c>
    </row>
    <row r="959" spans="1:3" s="79" customFormat="1" ht="28.7" customHeight="1" x14ac:dyDescent="0.2">
      <c r="A959" s="81">
        <v>20009943</v>
      </c>
      <c r="B959" s="80" t="s">
        <v>1222</v>
      </c>
      <c r="C959" s="82" t="s">
        <v>6536</v>
      </c>
    </row>
    <row r="960" spans="1:3" s="79" customFormat="1" ht="49.15" customHeight="1" x14ac:dyDescent="0.2">
      <c r="A960" s="81">
        <v>20009944</v>
      </c>
      <c r="B960" s="80" t="s">
        <v>1223</v>
      </c>
      <c r="C960" s="82" t="s">
        <v>6537</v>
      </c>
    </row>
    <row r="961" spans="1:3" s="79" customFormat="1" ht="49.15" customHeight="1" x14ac:dyDescent="0.2">
      <c r="A961" s="81">
        <v>20009945</v>
      </c>
      <c r="B961" s="80" t="s">
        <v>1224</v>
      </c>
      <c r="C961" s="82" t="s">
        <v>6538</v>
      </c>
    </row>
    <row r="962" spans="1:3" s="79" customFormat="1" ht="78.95" customHeight="1" x14ac:dyDescent="0.2">
      <c r="A962" s="81">
        <v>20009964</v>
      </c>
      <c r="B962" s="80" t="s">
        <v>1225</v>
      </c>
      <c r="C962" s="82" t="s">
        <v>6539</v>
      </c>
    </row>
    <row r="963" spans="1:3" s="79" customFormat="1" ht="28.7" customHeight="1" x14ac:dyDescent="0.2">
      <c r="A963" s="81">
        <v>20009966</v>
      </c>
      <c r="B963" s="80" t="s">
        <v>1226</v>
      </c>
      <c r="C963" s="82" t="s">
        <v>6540</v>
      </c>
    </row>
    <row r="964" spans="1:3" s="79" customFormat="1" ht="118.9" customHeight="1" x14ac:dyDescent="0.2">
      <c r="A964" s="81">
        <v>20009967</v>
      </c>
      <c r="B964" s="80" t="s">
        <v>1227</v>
      </c>
      <c r="C964" s="80"/>
    </row>
    <row r="965" spans="1:3" s="79" customFormat="1" ht="19.149999999999999" customHeight="1" x14ac:dyDescent="0.2">
      <c r="A965" s="81">
        <v>20009970</v>
      </c>
      <c r="B965" s="80" t="s">
        <v>1228</v>
      </c>
      <c r="C965" s="82" t="s">
        <v>6541</v>
      </c>
    </row>
    <row r="966" spans="1:3" s="79" customFormat="1" ht="149.25" customHeight="1" x14ac:dyDescent="0.2">
      <c r="A966" s="81">
        <v>20009971</v>
      </c>
      <c r="B966" s="80" t="s">
        <v>1229</v>
      </c>
      <c r="C966" s="82" t="s">
        <v>6542</v>
      </c>
    </row>
    <row r="967" spans="1:3" s="79" customFormat="1" ht="89.1" customHeight="1" x14ac:dyDescent="0.2">
      <c r="A967" s="81">
        <v>20009978</v>
      </c>
      <c r="B967" s="80" t="s">
        <v>1230</v>
      </c>
      <c r="C967" s="82" t="s">
        <v>6543</v>
      </c>
    </row>
    <row r="968" spans="1:3" s="79" customFormat="1" ht="59.1" customHeight="1" x14ac:dyDescent="0.2">
      <c r="A968" s="81">
        <v>20009980</v>
      </c>
      <c r="B968" s="80" t="s">
        <v>1231</v>
      </c>
      <c r="C968" s="82" t="s">
        <v>6544</v>
      </c>
    </row>
    <row r="969" spans="1:3" s="79" customFormat="1" ht="28.7" customHeight="1" x14ac:dyDescent="0.2">
      <c r="A969" s="81">
        <v>20009981</v>
      </c>
      <c r="B969" s="80" t="s">
        <v>1232</v>
      </c>
      <c r="C969" s="82" t="s">
        <v>6545</v>
      </c>
    </row>
    <row r="970" spans="1:3" s="79" customFormat="1" ht="28.7" customHeight="1" x14ac:dyDescent="0.2">
      <c r="A970" s="81">
        <v>20009983</v>
      </c>
      <c r="B970" s="80" t="s">
        <v>1233</v>
      </c>
      <c r="C970" s="82" t="s">
        <v>6546</v>
      </c>
    </row>
    <row r="971" spans="1:3" s="79" customFormat="1" ht="38.85" customHeight="1" x14ac:dyDescent="0.2">
      <c r="A971" s="81">
        <v>20009984</v>
      </c>
      <c r="B971" s="80" t="s">
        <v>1234</v>
      </c>
      <c r="C971" s="82" t="s">
        <v>6547</v>
      </c>
    </row>
    <row r="972" spans="1:3" s="79" customFormat="1" ht="38.85" customHeight="1" x14ac:dyDescent="0.2">
      <c r="A972" s="81">
        <v>20009991</v>
      </c>
      <c r="B972" s="80" t="s">
        <v>1235</v>
      </c>
      <c r="C972" s="82" t="s">
        <v>6548</v>
      </c>
    </row>
    <row r="973" spans="1:3" s="79" customFormat="1" ht="38.85" customHeight="1" x14ac:dyDescent="0.2">
      <c r="A973" s="81">
        <v>20010018</v>
      </c>
      <c r="B973" s="80" t="s">
        <v>1236</v>
      </c>
      <c r="C973" s="82" t="s">
        <v>6549</v>
      </c>
    </row>
    <row r="974" spans="1:3" s="79" customFormat="1" ht="49.15" customHeight="1" x14ac:dyDescent="0.2">
      <c r="A974" s="81">
        <v>20010019</v>
      </c>
      <c r="B974" s="80" t="s">
        <v>1237</v>
      </c>
      <c r="C974" s="82" t="s">
        <v>6550</v>
      </c>
    </row>
    <row r="975" spans="1:3" s="79" customFormat="1" ht="78.95" customHeight="1" x14ac:dyDescent="0.2">
      <c r="A975" s="81">
        <v>20010064</v>
      </c>
      <c r="B975" s="80" t="s">
        <v>1238</v>
      </c>
      <c r="C975" s="81" t="s">
        <v>6551</v>
      </c>
    </row>
    <row r="976" spans="1:3" s="79" customFormat="1" ht="158.85" customHeight="1" x14ac:dyDescent="0.2">
      <c r="A976" s="81">
        <v>20010081</v>
      </c>
      <c r="B976" s="80" t="s">
        <v>1239</v>
      </c>
      <c r="C976" s="80" t="s">
        <v>6552</v>
      </c>
    </row>
    <row r="977" spans="1:3" s="79" customFormat="1" ht="19.149999999999999" customHeight="1" x14ac:dyDescent="0.2">
      <c r="A977" s="81">
        <v>20010087</v>
      </c>
      <c r="B977" s="80" t="s">
        <v>1240</v>
      </c>
      <c r="C977" s="82" t="s">
        <v>6553</v>
      </c>
    </row>
    <row r="978" spans="1:3" s="79" customFormat="1" ht="68.849999999999994" customHeight="1" x14ac:dyDescent="0.2">
      <c r="A978" s="81">
        <v>20010088</v>
      </c>
      <c r="B978" s="80" t="s">
        <v>1241</v>
      </c>
      <c r="C978" s="81" t="s">
        <v>6554</v>
      </c>
    </row>
    <row r="979" spans="1:3" s="79" customFormat="1" ht="139.15" customHeight="1" x14ac:dyDescent="0.2">
      <c r="A979" s="81">
        <v>20010104</v>
      </c>
      <c r="B979" s="80" t="s">
        <v>1242</v>
      </c>
      <c r="C979" s="81" t="s">
        <v>6555</v>
      </c>
    </row>
    <row r="980" spans="1:3" s="79" customFormat="1" ht="109.35" customHeight="1" x14ac:dyDescent="0.2">
      <c r="A980" s="81">
        <v>20010118</v>
      </c>
      <c r="B980" s="80" t="s">
        <v>1243</v>
      </c>
      <c r="C980" s="82" t="s">
        <v>6556</v>
      </c>
    </row>
    <row r="981" spans="1:3" s="79" customFormat="1" ht="49.15" customHeight="1" x14ac:dyDescent="0.2">
      <c r="A981" s="81">
        <v>20010217</v>
      </c>
      <c r="B981" s="80" t="s">
        <v>1244</v>
      </c>
      <c r="C981" s="82" t="s">
        <v>11249</v>
      </c>
    </row>
    <row r="982" spans="1:3" s="79" customFormat="1" ht="68.849999999999994" customHeight="1" x14ac:dyDescent="0.2">
      <c r="A982" s="81">
        <v>20010329</v>
      </c>
      <c r="B982" s="80" t="s">
        <v>1245</v>
      </c>
      <c r="C982" s="80"/>
    </row>
    <row r="983" spans="1:3" s="79" customFormat="1" ht="19.149999999999999" customHeight="1" x14ac:dyDescent="0.2">
      <c r="A983" s="81">
        <v>20010340</v>
      </c>
      <c r="B983" s="80" t="s">
        <v>1246</v>
      </c>
      <c r="C983" s="82" t="s">
        <v>6557</v>
      </c>
    </row>
    <row r="984" spans="1:3" s="79" customFormat="1" ht="28.7" customHeight="1" x14ac:dyDescent="0.2">
      <c r="A984" s="81">
        <v>20010374</v>
      </c>
      <c r="B984" s="80" t="s">
        <v>1247</v>
      </c>
      <c r="C984" s="82" t="s">
        <v>6558</v>
      </c>
    </row>
    <row r="985" spans="1:3" s="79" customFormat="1" ht="49.15" customHeight="1" x14ac:dyDescent="0.2">
      <c r="A985" s="81">
        <v>20010452</v>
      </c>
      <c r="B985" s="80" t="s">
        <v>1248</v>
      </c>
      <c r="C985" s="82" t="s">
        <v>6559</v>
      </c>
    </row>
    <row r="986" spans="1:3" s="79" customFormat="1" ht="49.15" customHeight="1" x14ac:dyDescent="0.2">
      <c r="A986" s="81">
        <v>20010456</v>
      </c>
      <c r="B986" s="80" t="s">
        <v>1249</v>
      </c>
      <c r="C986" s="82" t="s">
        <v>6560</v>
      </c>
    </row>
    <row r="987" spans="1:3" s="79" customFormat="1" ht="38.85" customHeight="1" x14ac:dyDescent="0.2">
      <c r="A987" s="81">
        <v>20010480</v>
      </c>
      <c r="B987" s="80" t="s">
        <v>1250</v>
      </c>
      <c r="C987" s="81" t="s">
        <v>6561</v>
      </c>
    </row>
    <row r="988" spans="1:3" s="79" customFormat="1" ht="109.35" customHeight="1" x14ac:dyDescent="0.2">
      <c r="A988" s="81">
        <v>20010493</v>
      </c>
      <c r="B988" s="80" t="s">
        <v>1251</v>
      </c>
      <c r="C988" s="82" t="s">
        <v>6562</v>
      </c>
    </row>
    <row r="989" spans="1:3" s="79" customFormat="1" ht="68.849999999999994" customHeight="1" x14ac:dyDescent="0.2">
      <c r="A989" s="81">
        <v>20010556</v>
      </c>
      <c r="B989" s="80" t="s">
        <v>1252</v>
      </c>
      <c r="C989" s="81" t="s">
        <v>6563</v>
      </c>
    </row>
    <row r="990" spans="1:3" s="79" customFormat="1" ht="89.1" customHeight="1" x14ac:dyDescent="0.2">
      <c r="A990" s="81">
        <v>20010686</v>
      </c>
      <c r="B990" s="80" t="s">
        <v>1253</v>
      </c>
      <c r="C990" s="82" t="s">
        <v>6564</v>
      </c>
    </row>
    <row r="991" spans="1:3" s="79" customFormat="1" ht="28.7" customHeight="1" x14ac:dyDescent="0.2">
      <c r="A991" s="81">
        <v>20010711</v>
      </c>
      <c r="B991" s="80" t="s">
        <v>1254</v>
      </c>
      <c r="C991" s="82" t="s">
        <v>6565</v>
      </c>
    </row>
    <row r="992" spans="1:3" s="79" customFormat="1" ht="38.85" customHeight="1" x14ac:dyDescent="0.2">
      <c r="A992" s="81">
        <v>20010792</v>
      </c>
      <c r="B992" s="80" t="s">
        <v>1255</v>
      </c>
      <c r="C992" s="82" t="s">
        <v>6274</v>
      </c>
    </row>
    <row r="993" spans="1:3" s="79" customFormat="1" ht="38.85" customHeight="1" x14ac:dyDescent="0.2">
      <c r="A993" s="81">
        <v>20010794</v>
      </c>
      <c r="B993" s="80" t="s">
        <v>1256</v>
      </c>
      <c r="C993" s="82" t="s">
        <v>6566</v>
      </c>
    </row>
    <row r="994" spans="1:3" s="79" customFormat="1" ht="28.7" customHeight="1" x14ac:dyDescent="0.2">
      <c r="A994" s="81">
        <v>20010828</v>
      </c>
      <c r="B994" s="80" t="s">
        <v>1257</v>
      </c>
      <c r="C994" s="82" t="s">
        <v>6567</v>
      </c>
    </row>
    <row r="995" spans="1:3" s="79" customFormat="1" ht="19.149999999999999" customHeight="1" x14ac:dyDescent="0.2">
      <c r="A995" s="81">
        <v>20010874</v>
      </c>
      <c r="B995" s="80" t="s">
        <v>1258</v>
      </c>
      <c r="C995" s="81" t="s">
        <v>6568</v>
      </c>
    </row>
    <row r="996" spans="1:3" s="79" customFormat="1" ht="59.1" customHeight="1" x14ac:dyDescent="0.2">
      <c r="A996" s="81">
        <v>20010883</v>
      </c>
      <c r="B996" s="80" t="s">
        <v>1259</v>
      </c>
      <c r="C996" s="82" t="s">
        <v>6569</v>
      </c>
    </row>
    <row r="997" spans="1:3" s="79" customFormat="1" ht="49.15" customHeight="1" x14ac:dyDescent="0.2">
      <c r="A997" s="81">
        <v>20010887</v>
      </c>
      <c r="B997" s="80" t="s">
        <v>1260</v>
      </c>
      <c r="C997" s="81" t="s">
        <v>6570</v>
      </c>
    </row>
    <row r="998" spans="1:3" s="79" customFormat="1" ht="59.1" customHeight="1" x14ac:dyDescent="0.2">
      <c r="A998" s="81">
        <v>20010986</v>
      </c>
      <c r="B998" s="80" t="s">
        <v>1261</v>
      </c>
      <c r="C998" s="80" t="s">
        <v>6571</v>
      </c>
    </row>
    <row r="999" spans="1:3" s="79" customFormat="1" ht="19.149999999999999" customHeight="1" x14ac:dyDescent="0.2">
      <c r="A999" s="81">
        <v>20010987</v>
      </c>
      <c r="B999" s="80" t="s">
        <v>1262</v>
      </c>
      <c r="C999" s="82" t="s">
        <v>6572</v>
      </c>
    </row>
    <row r="1000" spans="1:3" s="79" customFormat="1" ht="28.7" customHeight="1" x14ac:dyDescent="0.2">
      <c r="A1000" s="81">
        <v>20010988</v>
      </c>
      <c r="B1000" s="80" t="s">
        <v>1263</v>
      </c>
      <c r="C1000" s="82" t="s">
        <v>6573</v>
      </c>
    </row>
    <row r="1001" spans="1:3" s="79" customFormat="1" ht="28.7" customHeight="1" x14ac:dyDescent="0.2">
      <c r="A1001" s="81">
        <v>20010993</v>
      </c>
      <c r="B1001" s="80" t="s">
        <v>1264</v>
      </c>
      <c r="C1001" s="80" t="s">
        <v>6574</v>
      </c>
    </row>
    <row r="1002" spans="1:3" s="79" customFormat="1" ht="19.149999999999999" customHeight="1" x14ac:dyDescent="0.2">
      <c r="A1002" s="81">
        <v>20011002</v>
      </c>
      <c r="B1002" s="80" t="s">
        <v>1265</v>
      </c>
      <c r="C1002" s="82" t="s">
        <v>6575</v>
      </c>
    </row>
    <row r="1003" spans="1:3" s="79" customFormat="1" ht="49.15" customHeight="1" x14ac:dyDescent="0.2">
      <c r="A1003" s="81">
        <v>20011003</v>
      </c>
      <c r="B1003" s="80" t="s">
        <v>1266</v>
      </c>
      <c r="C1003" s="82" t="s">
        <v>6576</v>
      </c>
    </row>
    <row r="1004" spans="1:3" s="79" customFormat="1" ht="38.85" customHeight="1" x14ac:dyDescent="0.2">
      <c r="A1004" s="81">
        <v>20011004</v>
      </c>
      <c r="B1004" s="80" t="s">
        <v>1267</v>
      </c>
      <c r="C1004" s="82" t="s">
        <v>6577</v>
      </c>
    </row>
    <row r="1005" spans="1:3" s="79" customFormat="1" ht="59.1" customHeight="1" x14ac:dyDescent="0.2">
      <c r="A1005" s="81">
        <v>20011005</v>
      </c>
      <c r="B1005" s="80" t="s">
        <v>1268</v>
      </c>
      <c r="C1005" s="82" t="s">
        <v>6578</v>
      </c>
    </row>
    <row r="1006" spans="1:3" s="79" customFormat="1" ht="38.85" customHeight="1" x14ac:dyDescent="0.2">
      <c r="A1006" s="81">
        <v>20011006</v>
      </c>
      <c r="B1006" s="80" t="s">
        <v>1269</v>
      </c>
      <c r="C1006" s="82" t="s">
        <v>6579</v>
      </c>
    </row>
    <row r="1007" spans="1:3" s="79" customFormat="1" ht="49.15" customHeight="1" x14ac:dyDescent="0.2">
      <c r="A1007" s="81">
        <v>20011016</v>
      </c>
      <c r="B1007" s="80" t="s">
        <v>1271</v>
      </c>
      <c r="C1007" s="82" t="s">
        <v>6580</v>
      </c>
    </row>
    <row r="1008" spans="1:3" s="79" customFormat="1" ht="28.7" customHeight="1" x14ac:dyDescent="0.2">
      <c r="A1008" s="81">
        <v>20011033</v>
      </c>
      <c r="B1008" s="80" t="s">
        <v>1272</v>
      </c>
      <c r="C1008" s="80"/>
    </row>
    <row r="1009" spans="1:3" s="79" customFormat="1" ht="19.149999999999999" customHeight="1" x14ac:dyDescent="0.2">
      <c r="A1009" s="81">
        <v>20011051</v>
      </c>
      <c r="B1009" s="80" t="s">
        <v>1273</v>
      </c>
      <c r="C1009" s="82" t="s">
        <v>6581</v>
      </c>
    </row>
    <row r="1010" spans="1:3" s="79" customFormat="1" ht="19.149999999999999" customHeight="1" x14ac:dyDescent="0.2">
      <c r="A1010" s="81">
        <v>20011055</v>
      </c>
      <c r="B1010" s="80" t="s">
        <v>1274</v>
      </c>
      <c r="C1010" s="82" t="s">
        <v>6582</v>
      </c>
    </row>
    <row r="1011" spans="1:3" s="79" customFormat="1" ht="49.15" customHeight="1" x14ac:dyDescent="0.2">
      <c r="A1011" s="81">
        <v>20011061</v>
      </c>
      <c r="B1011" s="80" t="s">
        <v>1275</v>
      </c>
      <c r="C1011" s="80" t="s">
        <v>6583</v>
      </c>
    </row>
    <row r="1012" spans="1:3" s="79" customFormat="1" ht="19.149999999999999" customHeight="1" x14ac:dyDescent="0.2">
      <c r="A1012" s="81">
        <v>20011063</v>
      </c>
      <c r="B1012" s="80" t="s">
        <v>1276</v>
      </c>
      <c r="C1012" s="80" t="s">
        <v>6584</v>
      </c>
    </row>
    <row r="1013" spans="1:3" s="79" customFormat="1" ht="19.149999999999999" customHeight="1" x14ac:dyDescent="0.2">
      <c r="A1013" s="81">
        <v>20011101</v>
      </c>
      <c r="B1013" s="80" t="s">
        <v>1277</v>
      </c>
      <c r="C1013" s="82" t="s">
        <v>6585</v>
      </c>
    </row>
    <row r="1014" spans="1:3" s="79" customFormat="1" ht="19.149999999999999" customHeight="1" x14ac:dyDescent="0.2">
      <c r="A1014" s="81">
        <v>20011136</v>
      </c>
      <c r="B1014" s="80" t="s">
        <v>1278</v>
      </c>
      <c r="C1014" s="82" t="s">
        <v>6586</v>
      </c>
    </row>
    <row r="1015" spans="1:3" s="79" customFormat="1" ht="49.15" customHeight="1" x14ac:dyDescent="0.2">
      <c r="A1015" s="81">
        <v>20011137</v>
      </c>
      <c r="B1015" s="80" t="s">
        <v>1279</v>
      </c>
      <c r="C1015" s="82" t="s">
        <v>6587</v>
      </c>
    </row>
    <row r="1016" spans="1:3" s="79" customFormat="1" ht="49.15" customHeight="1" x14ac:dyDescent="0.2">
      <c r="A1016" s="81">
        <v>20011138</v>
      </c>
      <c r="B1016" s="80" t="s">
        <v>1280</v>
      </c>
      <c r="C1016" s="82" t="s">
        <v>6588</v>
      </c>
    </row>
    <row r="1017" spans="1:3" s="79" customFormat="1" ht="49.15" customHeight="1" x14ac:dyDescent="0.2">
      <c r="A1017" s="81">
        <v>20011139</v>
      </c>
      <c r="B1017" s="80" t="s">
        <v>1281</v>
      </c>
      <c r="C1017" s="82" t="s">
        <v>6589</v>
      </c>
    </row>
    <row r="1018" spans="1:3" s="79" customFormat="1" ht="59.1" customHeight="1" x14ac:dyDescent="0.2">
      <c r="A1018" s="81">
        <v>20011163</v>
      </c>
      <c r="B1018" s="80" t="s">
        <v>11250</v>
      </c>
      <c r="C1018" s="80" t="s">
        <v>6590</v>
      </c>
    </row>
    <row r="1019" spans="1:3" s="79" customFormat="1" ht="19.149999999999999" customHeight="1" x14ac:dyDescent="0.2">
      <c r="A1019" s="81">
        <v>20011177</v>
      </c>
      <c r="B1019" s="80" t="s">
        <v>1282</v>
      </c>
      <c r="C1019" s="80"/>
    </row>
    <row r="1020" spans="1:3" s="79" customFormat="1" ht="19.149999999999999" customHeight="1" x14ac:dyDescent="0.2">
      <c r="A1020" s="81">
        <v>20011185</v>
      </c>
      <c r="B1020" s="80" t="s">
        <v>1283</v>
      </c>
      <c r="C1020" s="81" t="s">
        <v>6591</v>
      </c>
    </row>
    <row r="1021" spans="1:3" s="79" customFormat="1" ht="89.1" customHeight="1" x14ac:dyDescent="0.2">
      <c r="A1021" s="81">
        <v>20011207</v>
      </c>
      <c r="B1021" s="80" t="s">
        <v>1284</v>
      </c>
      <c r="C1021" s="82" t="s">
        <v>6592</v>
      </c>
    </row>
    <row r="1022" spans="1:3" s="79" customFormat="1" ht="78.95" customHeight="1" x14ac:dyDescent="0.2">
      <c r="A1022" s="81">
        <v>20011213</v>
      </c>
      <c r="B1022" s="80" t="s">
        <v>1285</v>
      </c>
      <c r="C1022" s="82" t="s">
        <v>6593</v>
      </c>
    </row>
    <row r="1023" spans="1:3" s="79" customFormat="1" ht="78.95" customHeight="1" x14ac:dyDescent="0.2">
      <c r="A1023" s="81">
        <v>20011225</v>
      </c>
      <c r="B1023" s="80" t="s">
        <v>1286</v>
      </c>
      <c r="C1023" s="80" t="s">
        <v>6594</v>
      </c>
    </row>
    <row r="1024" spans="1:3" s="79" customFormat="1" ht="19.149999999999999" customHeight="1" x14ac:dyDescent="0.2">
      <c r="A1024" s="81">
        <v>20011238</v>
      </c>
      <c r="B1024" s="80" t="s">
        <v>1287</v>
      </c>
      <c r="C1024" s="82" t="s">
        <v>6595</v>
      </c>
    </row>
    <row r="1025" spans="1:3" s="79" customFormat="1" ht="28.7" customHeight="1" x14ac:dyDescent="0.2">
      <c r="A1025" s="81">
        <v>20011249</v>
      </c>
      <c r="B1025" s="80" t="s">
        <v>1288</v>
      </c>
      <c r="C1025" s="82" t="s">
        <v>6596</v>
      </c>
    </row>
    <row r="1026" spans="1:3" s="79" customFormat="1" ht="38.85" customHeight="1" x14ac:dyDescent="0.2">
      <c r="A1026" s="81">
        <v>20011316</v>
      </c>
      <c r="B1026" s="80" t="s">
        <v>1289</v>
      </c>
      <c r="C1026" s="82" t="s">
        <v>6597</v>
      </c>
    </row>
    <row r="1027" spans="1:3" s="79" customFormat="1" ht="49.15" customHeight="1" x14ac:dyDescent="0.2">
      <c r="A1027" s="81">
        <v>20011317</v>
      </c>
      <c r="B1027" s="80" t="s">
        <v>1290</v>
      </c>
      <c r="C1027" s="81" t="s">
        <v>6598</v>
      </c>
    </row>
    <row r="1028" spans="1:3" s="79" customFormat="1" ht="49.15" customHeight="1" x14ac:dyDescent="0.2">
      <c r="A1028" s="81">
        <v>20011318</v>
      </c>
      <c r="B1028" s="80" t="s">
        <v>1291</v>
      </c>
      <c r="C1028" s="81" t="s">
        <v>6599</v>
      </c>
    </row>
    <row r="1029" spans="1:3" s="79" customFormat="1" ht="49.15" customHeight="1" x14ac:dyDescent="0.2">
      <c r="A1029" s="81">
        <v>20011319</v>
      </c>
      <c r="B1029" s="80" t="s">
        <v>1292</v>
      </c>
      <c r="C1029" s="82" t="s">
        <v>6600</v>
      </c>
    </row>
    <row r="1030" spans="1:3" s="79" customFormat="1" ht="49.15" customHeight="1" x14ac:dyDescent="0.2">
      <c r="A1030" s="81">
        <v>20011327</v>
      </c>
      <c r="B1030" s="80" t="s">
        <v>1293</v>
      </c>
      <c r="C1030" s="82" t="s">
        <v>6601</v>
      </c>
    </row>
    <row r="1031" spans="1:3" s="79" customFormat="1" ht="28.7" customHeight="1" x14ac:dyDescent="0.2">
      <c r="A1031" s="81">
        <v>20011367</v>
      </c>
      <c r="B1031" s="80" t="s">
        <v>1294</v>
      </c>
      <c r="C1031" s="80" t="s">
        <v>11509</v>
      </c>
    </row>
    <row r="1032" spans="1:3" s="79" customFormat="1" ht="19.149999999999999" customHeight="1" x14ac:dyDescent="0.2">
      <c r="A1032" s="81">
        <v>20011393</v>
      </c>
      <c r="B1032" s="80" t="s">
        <v>1295</v>
      </c>
      <c r="C1032" s="82" t="s">
        <v>6602</v>
      </c>
    </row>
    <row r="1033" spans="1:3" s="79" customFormat="1" ht="38.85" customHeight="1" x14ac:dyDescent="0.2">
      <c r="A1033" s="81">
        <v>20011394</v>
      </c>
      <c r="B1033" s="80" t="s">
        <v>1296</v>
      </c>
      <c r="C1033" s="82" t="s">
        <v>6603</v>
      </c>
    </row>
    <row r="1034" spans="1:3" s="79" customFormat="1" ht="38.85" customHeight="1" x14ac:dyDescent="0.2">
      <c r="A1034" s="81">
        <v>20011395</v>
      </c>
      <c r="B1034" s="80" t="s">
        <v>1297</v>
      </c>
      <c r="C1034" s="82" t="s">
        <v>6604</v>
      </c>
    </row>
    <row r="1035" spans="1:3" s="79" customFormat="1" ht="38.85" customHeight="1" x14ac:dyDescent="0.2">
      <c r="A1035" s="81">
        <v>20011396</v>
      </c>
      <c r="B1035" s="80" t="s">
        <v>1298</v>
      </c>
      <c r="C1035" s="82" t="s">
        <v>6605</v>
      </c>
    </row>
    <row r="1036" spans="1:3" s="79" customFormat="1" ht="38.85" customHeight="1" x14ac:dyDescent="0.2">
      <c r="A1036" s="81">
        <v>20011400</v>
      </c>
      <c r="B1036" s="80" t="s">
        <v>1299</v>
      </c>
      <c r="C1036" s="82" t="s">
        <v>6606</v>
      </c>
    </row>
    <row r="1037" spans="1:3" s="79" customFormat="1" ht="49.15" customHeight="1" x14ac:dyDescent="0.2">
      <c r="A1037" s="81">
        <v>20011405</v>
      </c>
      <c r="B1037" s="80" t="s">
        <v>1300</v>
      </c>
      <c r="C1037" s="82" t="s">
        <v>6607</v>
      </c>
    </row>
    <row r="1038" spans="1:3" s="79" customFormat="1" ht="28.7" customHeight="1" x14ac:dyDescent="0.2">
      <c r="A1038" s="81">
        <v>20011406</v>
      </c>
      <c r="B1038" s="80" t="s">
        <v>1301</v>
      </c>
      <c r="C1038" s="82" t="s">
        <v>6608</v>
      </c>
    </row>
    <row r="1039" spans="1:3" s="79" customFormat="1" ht="28.7" customHeight="1" x14ac:dyDescent="0.2">
      <c r="A1039" s="81">
        <v>20011412</v>
      </c>
      <c r="B1039" s="80" t="s">
        <v>1302</v>
      </c>
      <c r="C1039" s="81" t="s">
        <v>6609</v>
      </c>
    </row>
    <row r="1040" spans="1:3" s="79" customFormat="1" ht="109.35" customHeight="1" x14ac:dyDescent="0.2">
      <c r="A1040" s="81">
        <v>20011421</v>
      </c>
      <c r="B1040" s="80" t="s">
        <v>1303</v>
      </c>
      <c r="C1040" s="82" t="s">
        <v>6610</v>
      </c>
    </row>
    <row r="1041" spans="1:3" s="79" customFormat="1" ht="28.7" customHeight="1" x14ac:dyDescent="0.2">
      <c r="A1041" s="81">
        <v>20011456</v>
      </c>
      <c r="B1041" s="80" t="s">
        <v>1304</v>
      </c>
      <c r="C1041" s="80"/>
    </row>
    <row r="1042" spans="1:3" s="79" customFormat="1" ht="19.149999999999999" customHeight="1" x14ac:dyDescent="0.2">
      <c r="A1042" s="81">
        <v>20011459</v>
      </c>
      <c r="B1042" s="80" t="s">
        <v>1305</v>
      </c>
      <c r="C1042" s="82" t="s">
        <v>6611</v>
      </c>
    </row>
    <row r="1043" spans="1:3" s="79" customFormat="1" ht="49.15" customHeight="1" x14ac:dyDescent="0.2">
      <c r="A1043" s="81">
        <v>20011461</v>
      </c>
      <c r="B1043" s="80" t="s">
        <v>1306</v>
      </c>
      <c r="C1043" s="82" t="s">
        <v>6612</v>
      </c>
    </row>
    <row r="1044" spans="1:3" s="79" customFormat="1" ht="49.15" customHeight="1" x14ac:dyDescent="0.2">
      <c r="A1044" s="81">
        <v>20011462</v>
      </c>
      <c r="B1044" s="80" t="s">
        <v>1307</v>
      </c>
      <c r="C1044" s="82" t="s">
        <v>6613</v>
      </c>
    </row>
    <row r="1045" spans="1:3" s="79" customFormat="1" ht="49.15" customHeight="1" x14ac:dyDescent="0.2">
      <c r="A1045" s="81">
        <v>20011463</v>
      </c>
      <c r="B1045" s="80" t="s">
        <v>1308</v>
      </c>
      <c r="C1045" s="82" t="s">
        <v>6614</v>
      </c>
    </row>
    <row r="1046" spans="1:3" s="79" customFormat="1" ht="49.15" customHeight="1" x14ac:dyDescent="0.2">
      <c r="A1046" s="81">
        <v>20011466</v>
      </c>
      <c r="B1046" s="80" t="s">
        <v>11418</v>
      </c>
      <c r="C1046" s="81" t="s">
        <v>6615</v>
      </c>
    </row>
    <row r="1047" spans="1:3" s="79" customFormat="1" ht="158.85" customHeight="1" x14ac:dyDescent="0.2">
      <c r="A1047" s="81">
        <v>20011581</v>
      </c>
      <c r="B1047" s="80" t="s">
        <v>1309</v>
      </c>
      <c r="C1047" s="82" t="s">
        <v>6616</v>
      </c>
    </row>
    <row r="1048" spans="1:3" s="79" customFormat="1" ht="59.1" customHeight="1" x14ac:dyDescent="0.2">
      <c r="A1048" s="81">
        <v>20011681</v>
      </c>
      <c r="B1048" s="80" t="s">
        <v>1310</v>
      </c>
      <c r="C1048" s="82" t="s">
        <v>6617</v>
      </c>
    </row>
    <row r="1049" spans="1:3" s="79" customFormat="1" ht="28.7" customHeight="1" x14ac:dyDescent="0.2">
      <c r="A1049" s="81">
        <v>20011703</v>
      </c>
      <c r="B1049" s="80" t="s">
        <v>1311</v>
      </c>
      <c r="C1049" s="82" t="s">
        <v>6618</v>
      </c>
    </row>
    <row r="1050" spans="1:3" s="79" customFormat="1" ht="38.85" customHeight="1" x14ac:dyDescent="0.2">
      <c r="A1050" s="81">
        <v>20011704</v>
      </c>
      <c r="B1050" s="80" t="s">
        <v>1312</v>
      </c>
      <c r="C1050" s="82" t="s">
        <v>6619</v>
      </c>
    </row>
    <row r="1051" spans="1:3" s="79" customFormat="1" ht="38.85" customHeight="1" x14ac:dyDescent="0.2">
      <c r="A1051" s="81">
        <v>20011705</v>
      </c>
      <c r="B1051" s="80" t="s">
        <v>1313</v>
      </c>
      <c r="C1051" s="82" t="s">
        <v>6620</v>
      </c>
    </row>
    <row r="1052" spans="1:3" s="79" customFormat="1" ht="49.15" customHeight="1" x14ac:dyDescent="0.2">
      <c r="A1052" s="81">
        <v>20011706</v>
      </c>
      <c r="B1052" s="80" t="s">
        <v>1314</v>
      </c>
      <c r="C1052" s="81" t="s">
        <v>6621</v>
      </c>
    </row>
    <row r="1053" spans="1:3" s="79" customFormat="1" ht="99.2" customHeight="1" x14ac:dyDescent="0.2">
      <c r="A1053" s="81">
        <v>20011712</v>
      </c>
      <c r="B1053" s="80" t="s">
        <v>1315</v>
      </c>
      <c r="C1053" s="82" t="s">
        <v>6622</v>
      </c>
    </row>
    <row r="1054" spans="1:3" s="79" customFormat="1" ht="38.85" customHeight="1" x14ac:dyDescent="0.2">
      <c r="A1054" s="81">
        <v>20011713</v>
      </c>
      <c r="B1054" s="80" t="s">
        <v>1316</v>
      </c>
      <c r="C1054" s="82" t="s">
        <v>6623</v>
      </c>
    </row>
    <row r="1055" spans="1:3" s="79" customFormat="1" ht="38.85" customHeight="1" x14ac:dyDescent="0.2">
      <c r="A1055" s="81">
        <v>20011717</v>
      </c>
      <c r="B1055" s="80" t="s">
        <v>1317</v>
      </c>
      <c r="C1055" s="82" t="s">
        <v>6624</v>
      </c>
    </row>
    <row r="1056" spans="1:3" s="79" customFormat="1" ht="28.7" customHeight="1" x14ac:dyDescent="0.2">
      <c r="A1056" s="81">
        <v>20011726</v>
      </c>
      <c r="B1056" s="80" t="s">
        <v>1318</v>
      </c>
      <c r="C1056" s="81" t="s">
        <v>6625</v>
      </c>
    </row>
    <row r="1057" spans="1:3" s="79" customFormat="1" ht="109.35" customHeight="1" x14ac:dyDescent="0.2">
      <c r="A1057" s="81">
        <v>20011748</v>
      </c>
      <c r="B1057" s="80" t="s">
        <v>1319</v>
      </c>
      <c r="C1057" s="80" t="s">
        <v>6626</v>
      </c>
    </row>
    <row r="1058" spans="1:3" s="79" customFormat="1" ht="19.149999999999999" customHeight="1" x14ac:dyDescent="0.2">
      <c r="A1058" s="81">
        <v>20011785</v>
      </c>
      <c r="B1058" s="80" t="s">
        <v>1320</v>
      </c>
      <c r="C1058" s="82" t="s">
        <v>6627</v>
      </c>
    </row>
    <row r="1059" spans="1:3" s="79" customFormat="1" ht="38.85" customHeight="1" x14ac:dyDescent="0.2">
      <c r="A1059" s="81">
        <v>20011792</v>
      </c>
      <c r="B1059" s="80" t="s">
        <v>1321</v>
      </c>
      <c r="C1059" s="82" t="s">
        <v>6628</v>
      </c>
    </row>
    <row r="1060" spans="1:3" s="79" customFormat="1" ht="78.95" customHeight="1" x14ac:dyDescent="0.2">
      <c r="A1060" s="81">
        <v>20011797</v>
      </c>
      <c r="B1060" s="80" t="s">
        <v>1322</v>
      </c>
      <c r="C1060" s="80"/>
    </row>
    <row r="1061" spans="1:3" s="79" customFormat="1" ht="19.149999999999999" customHeight="1" x14ac:dyDescent="0.2">
      <c r="A1061" s="81">
        <v>20011808</v>
      </c>
      <c r="B1061" s="80" t="s">
        <v>1323</v>
      </c>
      <c r="C1061" s="82" t="s">
        <v>6629</v>
      </c>
    </row>
    <row r="1062" spans="1:3" s="79" customFormat="1" ht="49.15" customHeight="1" x14ac:dyDescent="0.2">
      <c r="A1062" s="81">
        <v>20011809</v>
      </c>
      <c r="B1062" s="80" t="s">
        <v>1324</v>
      </c>
      <c r="C1062" s="82" t="s">
        <v>6630</v>
      </c>
    </row>
    <row r="1063" spans="1:3" s="79" customFormat="1" ht="49.15" customHeight="1" x14ac:dyDescent="0.2">
      <c r="A1063" s="81">
        <v>20011810</v>
      </c>
      <c r="B1063" s="80" t="s">
        <v>1325</v>
      </c>
      <c r="C1063" s="82" t="s">
        <v>6631</v>
      </c>
    </row>
    <row r="1064" spans="1:3" s="79" customFormat="1" ht="49.15" customHeight="1" x14ac:dyDescent="0.2">
      <c r="A1064" s="81">
        <v>20011824</v>
      </c>
      <c r="B1064" s="80" t="s">
        <v>1326</v>
      </c>
      <c r="C1064" s="82" t="s">
        <v>6632</v>
      </c>
    </row>
    <row r="1065" spans="1:3" s="79" customFormat="1" ht="38.85" customHeight="1" x14ac:dyDescent="0.2">
      <c r="A1065" s="81">
        <v>20011825</v>
      </c>
      <c r="B1065" s="80" t="s">
        <v>1327</v>
      </c>
      <c r="C1065" s="82" t="s">
        <v>6633</v>
      </c>
    </row>
    <row r="1066" spans="1:3" s="79" customFormat="1" ht="38.85" customHeight="1" x14ac:dyDescent="0.2">
      <c r="A1066" s="81">
        <v>20014777</v>
      </c>
      <c r="B1066" s="80" t="s">
        <v>1328</v>
      </c>
      <c r="C1066" s="82" t="s">
        <v>6634</v>
      </c>
    </row>
    <row r="1067" spans="1:3" s="79" customFormat="1" ht="49.15" customHeight="1" x14ac:dyDescent="0.2">
      <c r="A1067" s="81">
        <v>20014778</v>
      </c>
      <c r="B1067" s="80" t="s">
        <v>1329</v>
      </c>
      <c r="C1067" s="80" t="s">
        <v>6635</v>
      </c>
    </row>
    <row r="1068" spans="1:3" s="79" customFormat="1" ht="19.149999999999999" customHeight="1" x14ac:dyDescent="0.2">
      <c r="A1068" s="81">
        <v>20014780</v>
      </c>
      <c r="B1068" s="80" t="s">
        <v>1330</v>
      </c>
      <c r="C1068" s="82" t="s">
        <v>6636</v>
      </c>
    </row>
    <row r="1069" spans="1:3" s="79" customFormat="1" ht="59.1" customHeight="1" x14ac:dyDescent="0.2">
      <c r="A1069" s="81">
        <v>20014826</v>
      </c>
      <c r="B1069" s="80" t="s">
        <v>1331</v>
      </c>
      <c r="C1069" s="82" t="s">
        <v>6637</v>
      </c>
    </row>
    <row r="1070" spans="1:3" s="79" customFormat="1" ht="19.149999999999999" customHeight="1" x14ac:dyDescent="0.2">
      <c r="A1070" s="81">
        <v>20014827</v>
      </c>
      <c r="B1070" s="80" t="s">
        <v>11419</v>
      </c>
      <c r="C1070" s="82" t="s">
        <v>11420</v>
      </c>
    </row>
    <row r="1071" spans="1:3" s="79" customFormat="1" ht="19.149999999999999" customHeight="1" x14ac:dyDescent="0.2">
      <c r="A1071" s="81">
        <v>20014834</v>
      </c>
      <c r="B1071" s="80" t="s">
        <v>1332</v>
      </c>
      <c r="C1071" s="82" t="s">
        <v>6638</v>
      </c>
    </row>
    <row r="1072" spans="1:3" s="79" customFormat="1" ht="68.849999999999994" customHeight="1" x14ac:dyDescent="0.2">
      <c r="A1072" s="81">
        <v>20014839</v>
      </c>
      <c r="B1072" s="80" t="s">
        <v>1333</v>
      </c>
      <c r="C1072" s="82" t="s">
        <v>6639</v>
      </c>
    </row>
    <row r="1073" spans="1:3" s="79" customFormat="1" ht="99.2" customHeight="1" x14ac:dyDescent="0.2">
      <c r="A1073" s="81">
        <v>20014848</v>
      </c>
      <c r="B1073" s="80" t="s">
        <v>1334</v>
      </c>
      <c r="C1073" s="82" t="s">
        <v>6640</v>
      </c>
    </row>
    <row r="1074" spans="1:3" s="79" customFormat="1" ht="49.15" customHeight="1" x14ac:dyDescent="0.2">
      <c r="A1074" s="81">
        <v>20014855</v>
      </c>
      <c r="B1074" s="80" t="s">
        <v>1335</v>
      </c>
      <c r="C1074" s="82" t="s">
        <v>6641</v>
      </c>
    </row>
    <row r="1075" spans="1:3" s="79" customFormat="1" ht="49.15" customHeight="1" x14ac:dyDescent="0.2">
      <c r="A1075" s="81">
        <v>20014857</v>
      </c>
      <c r="B1075" s="80" t="s">
        <v>1336</v>
      </c>
      <c r="C1075" s="81" t="s">
        <v>6642</v>
      </c>
    </row>
    <row r="1076" spans="1:3" s="79" customFormat="1" ht="78.95" customHeight="1" x14ac:dyDescent="0.2">
      <c r="A1076" s="81">
        <v>20014881</v>
      </c>
      <c r="B1076" s="80" t="s">
        <v>1337</v>
      </c>
      <c r="C1076" s="82" t="s">
        <v>6643</v>
      </c>
    </row>
    <row r="1077" spans="1:3" s="79" customFormat="1" ht="78.95" customHeight="1" x14ac:dyDescent="0.2">
      <c r="A1077" s="81">
        <v>20014882</v>
      </c>
      <c r="B1077" s="80" t="s">
        <v>1338</v>
      </c>
      <c r="C1077" s="82" t="s">
        <v>6644</v>
      </c>
    </row>
    <row r="1078" spans="1:3" s="79" customFormat="1" ht="19.149999999999999" customHeight="1" x14ac:dyDescent="0.2">
      <c r="A1078" s="81">
        <v>20014886</v>
      </c>
      <c r="B1078" s="80" t="s">
        <v>1339</v>
      </c>
      <c r="C1078" s="82" t="s">
        <v>6645</v>
      </c>
    </row>
    <row r="1079" spans="1:3" s="79" customFormat="1" ht="49.15" customHeight="1" x14ac:dyDescent="0.2">
      <c r="A1079" s="81">
        <v>20014897</v>
      </c>
      <c r="B1079" s="80" t="s">
        <v>1340</v>
      </c>
      <c r="C1079" s="81" t="s">
        <v>6646</v>
      </c>
    </row>
    <row r="1080" spans="1:3" s="79" customFormat="1" ht="68.849999999999994" customHeight="1" x14ac:dyDescent="0.2">
      <c r="A1080" s="81">
        <v>20014944</v>
      </c>
      <c r="B1080" s="80" t="s">
        <v>1341</v>
      </c>
      <c r="C1080" s="82" t="s">
        <v>6647</v>
      </c>
    </row>
    <row r="1081" spans="1:3" s="79" customFormat="1" ht="89.1" customHeight="1" x14ac:dyDescent="0.2">
      <c r="A1081" s="81">
        <v>20014945</v>
      </c>
      <c r="B1081" s="80" t="s">
        <v>1342</v>
      </c>
      <c r="C1081" s="82" t="s">
        <v>6648</v>
      </c>
    </row>
    <row r="1082" spans="1:3" s="79" customFormat="1" ht="68.849999999999994" customHeight="1" x14ac:dyDescent="0.2">
      <c r="A1082" s="81">
        <v>20014958</v>
      </c>
      <c r="B1082" s="80" t="s">
        <v>1343</v>
      </c>
      <c r="C1082" s="82" t="s">
        <v>6649</v>
      </c>
    </row>
    <row r="1083" spans="1:3" s="79" customFormat="1" ht="59.1" customHeight="1" x14ac:dyDescent="0.2">
      <c r="A1083" s="81">
        <v>20014993</v>
      </c>
      <c r="B1083" s="80" t="s">
        <v>1344</v>
      </c>
      <c r="C1083" s="81" t="s">
        <v>6650</v>
      </c>
    </row>
    <row r="1084" spans="1:3" s="79" customFormat="1" ht="89.1" customHeight="1" x14ac:dyDescent="0.2">
      <c r="A1084" s="81">
        <v>20015119</v>
      </c>
      <c r="B1084" s="80" t="s">
        <v>1345</v>
      </c>
      <c r="C1084" s="81" t="s">
        <v>6651</v>
      </c>
    </row>
    <row r="1085" spans="1:3" s="79" customFormat="1" ht="259.14999999999998" customHeight="1" x14ac:dyDescent="0.2">
      <c r="A1085" s="81">
        <v>20015122</v>
      </c>
      <c r="B1085" s="80" t="s">
        <v>1346</v>
      </c>
      <c r="C1085" s="81" t="s">
        <v>6652</v>
      </c>
    </row>
    <row r="1086" spans="1:3" s="79" customFormat="1" ht="149.25" customHeight="1" x14ac:dyDescent="0.2">
      <c r="A1086" s="81">
        <v>20015127</v>
      </c>
      <c r="B1086" s="80" t="s">
        <v>1347</v>
      </c>
      <c r="C1086" s="82" t="s">
        <v>6653</v>
      </c>
    </row>
    <row r="1087" spans="1:3" s="79" customFormat="1" ht="28.7" customHeight="1" x14ac:dyDescent="0.2">
      <c r="A1087" s="81">
        <v>20015134</v>
      </c>
      <c r="B1087" s="80" t="s">
        <v>1348</v>
      </c>
      <c r="C1087" s="81" t="s">
        <v>6654</v>
      </c>
    </row>
    <row r="1088" spans="1:3" s="79" customFormat="1" ht="109.35" customHeight="1" x14ac:dyDescent="0.2">
      <c r="A1088" s="81">
        <v>20015137</v>
      </c>
      <c r="B1088" s="80" t="s">
        <v>1349</v>
      </c>
      <c r="C1088" s="82" t="s">
        <v>6655</v>
      </c>
    </row>
    <row r="1089" spans="1:3" s="79" customFormat="1" ht="59.1" customHeight="1" x14ac:dyDescent="0.2">
      <c r="A1089" s="81">
        <v>20015138</v>
      </c>
      <c r="B1089" s="80" t="s">
        <v>1350</v>
      </c>
      <c r="C1089" s="82" t="s">
        <v>6656</v>
      </c>
    </row>
    <row r="1090" spans="1:3" s="79" customFormat="1" ht="59.1" customHeight="1" x14ac:dyDescent="0.2">
      <c r="A1090" s="81">
        <v>20015140</v>
      </c>
      <c r="B1090" s="80" t="s">
        <v>1351</v>
      </c>
      <c r="C1090" s="82" t="s">
        <v>6657</v>
      </c>
    </row>
    <row r="1091" spans="1:3" s="79" customFormat="1" ht="59.1" customHeight="1" x14ac:dyDescent="0.2">
      <c r="A1091" s="81">
        <v>20015141</v>
      </c>
      <c r="B1091" s="80" t="s">
        <v>1352</v>
      </c>
      <c r="C1091" s="82" t="s">
        <v>6658</v>
      </c>
    </row>
    <row r="1092" spans="1:3" s="79" customFormat="1" ht="49.15" customHeight="1" x14ac:dyDescent="0.2">
      <c r="A1092" s="81">
        <v>20015145</v>
      </c>
      <c r="B1092" s="80" t="s">
        <v>1353</v>
      </c>
      <c r="C1092" s="82" t="s">
        <v>6659</v>
      </c>
    </row>
    <row r="1093" spans="1:3" s="79" customFormat="1" ht="28.7" customHeight="1" x14ac:dyDescent="0.2">
      <c r="A1093" s="81">
        <v>20015147</v>
      </c>
      <c r="B1093" s="80" t="s">
        <v>1354</v>
      </c>
      <c r="C1093" s="82" t="s">
        <v>6660</v>
      </c>
    </row>
    <row r="1094" spans="1:3" s="79" customFormat="1" ht="49.15" customHeight="1" x14ac:dyDescent="0.2">
      <c r="A1094" s="81">
        <v>20015164</v>
      </c>
      <c r="B1094" s="80" t="s">
        <v>1355</v>
      </c>
      <c r="C1094" s="82" t="s">
        <v>6661</v>
      </c>
    </row>
    <row r="1095" spans="1:3" s="79" customFormat="1" ht="78.95" customHeight="1" x14ac:dyDescent="0.2">
      <c r="A1095" s="81">
        <v>20015169</v>
      </c>
      <c r="B1095" s="80" t="s">
        <v>1356</v>
      </c>
      <c r="C1095" s="81" t="s">
        <v>6662</v>
      </c>
    </row>
    <row r="1096" spans="1:3" s="79" customFormat="1" ht="68.849999999999994" customHeight="1" x14ac:dyDescent="0.2">
      <c r="A1096" s="81">
        <v>20015171</v>
      </c>
      <c r="B1096" s="80" t="s">
        <v>1357</v>
      </c>
      <c r="C1096" s="81" t="s">
        <v>6663</v>
      </c>
    </row>
    <row r="1097" spans="1:3" s="79" customFormat="1" ht="78.95" customHeight="1" x14ac:dyDescent="0.2">
      <c r="A1097" s="81">
        <v>20015174</v>
      </c>
      <c r="B1097" s="80" t="s">
        <v>1358</v>
      </c>
      <c r="C1097" s="82" t="s">
        <v>6664</v>
      </c>
    </row>
    <row r="1098" spans="1:3" s="79" customFormat="1" ht="118.9" customHeight="1" x14ac:dyDescent="0.2">
      <c r="A1098" s="81">
        <v>20015176</v>
      </c>
      <c r="B1098" s="80" t="s">
        <v>1359</v>
      </c>
      <c r="C1098" s="82" t="s">
        <v>6665</v>
      </c>
    </row>
    <row r="1099" spans="1:3" s="79" customFormat="1" ht="68.849999999999994" customHeight="1" x14ac:dyDescent="0.2">
      <c r="A1099" s="81">
        <v>20015177</v>
      </c>
      <c r="B1099" s="80" t="s">
        <v>1360</v>
      </c>
      <c r="C1099" s="82" t="s">
        <v>6666</v>
      </c>
    </row>
    <row r="1100" spans="1:3" s="79" customFormat="1" ht="99.2" customHeight="1" x14ac:dyDescent="0.2">
      <c r="A1100" s="81">
        <v>20015179</v>
      </c>
      <c r="B1100" s="80" t="s">
        <v>1361</v>
      </c>
      <c r="C1100" s="82" t="s">
        <v>6667</v>
      </c>
    </row>
    <row r="1101" spans="1:3" s="79" customFormat="1" ht="38.85" customHeight="1" x14ac:dyDescent="0.2">
      <c r="A1101" s="81">
        <v>20015298</v>
      </c>
      <c r="B1101" s="80" t="s">
        <v>1362</v>
      </c>
      <c r="C1101" s="81" t="s">
        <v>6668</v>
      </c>
    </row>
    <row r="1102" spans="1:3" s="79" customFormat="1" ht="169.15" customHeight="1" x14ac:dyDescent="0.2">
      <c r="A1102" s="81">
        <v>20015317</v>
      </c>
      <c r="B1102" s="80" t="s">
        <v>1363</v>
      </c>
      <c r="C1102" s="82" t="s">
        <v>6669</v>
      </c>
    </row>
    <row r="1103" spans="1:3" s="79" customFormat="1" ht="49.15" customHeight="1" x14ac:dyDescent="0.2">
      <c r="A1103" s="81">
        <v>20015318</v>
      </c>
      <c r="B1103" s="80" t="s">
        <v>1364</v>
      </c>
      <c r="C1103" s="82" t="s">
        <v>6670</v>
      </c>
    </row>
    <row r="1104" spans="1:3" s="79" customFormat="1" ht="49.15" customHeight="1" x14ac:dyDescent="0.2">
      <c r="A1104" s="81">
        <v>20015322</v>
      </c>
      <c r="B1104" s="80" t="s">
        <v>1365</v>
      </c>
      <c r="C1104" s="82" t="s">
        <v>6671</v>
      </c>
    </row>
    <row r="1105" spans="1:3" s="79" customFormat="1" ht="38.85" customHeight="1" x14ac:dyDescent="0.2">
      <c r="A1105" s="81">
        <v>20015323</v>
      </c>
      <c r="B1105" s="80" t="s">
        <v>1366</v>
      </c>
      <c r="C1105" s="82" t="s">
        <v>6672</v>
      </c>
    </row>
    <row r="1106" spans="1:3" s="79" customFormat="1" ht="38.85" customHeight="1" x14ac:dyDescent="0.2">
      <c r="A1106" s="81">
        <v>20015324</v>
      </c>
      <c r="B1106" s="80" t="s">
        <v>1367</v>
      </c>
      <c r="C1106" s="82" t="s">
        <v>6673</v>
      </c>
    </row>
    <row r="1107" spans="1:3" s="79" customFormat="1" ht="28.7" customHeight="1" x14ac:dyDescent="0.2">
      <c r="A1107" s="81">
        <v>20015325</v>
      </c>
      <c r="B1107" s="80" t="s">
        <v>1368</v>
      </c>
      <c r="C1107" s="82" t="s">
        <v>6674</v>
      </c>
    </row>
    <row r="1108" spans="1:3" s="79" customFormat="1" ht="59.1" customHeight="1" x14ac:dyDescent="0.2">
      <c r="A1108" s="81">
        <v>20015326</v>
      </c>
      <c r="B1108" s="80" t="s">
        <v>1369</v>
      </c>
      <c r="C1108" s="82" t="s">
        <v>6675</v>
      </c>
    </row>
    <row r="1109" spans="1:3" s="79" customFormat="1" ht="78.95" customHeight="1" x14ac:dyDescent="0.2">
      <c r="A1109" s="81">
        <v>20015327</v>
      </c>
      <c r="B1109" s="80" t="s">
        <v>1370</v>
      </c>
      <c r="C1109" s="82" t="s">
        <v>6676</v>
      </c>
    </row>
    <row r="1110" spans="1:3" s="79" customFormat="1" ht="89.1" customHeight="1" x14ac:dyDescent="0.2">
      <c r="A1110" s="81">
        <v>20015328</v>
      </c>
      <c r="B1110" s="80" t="s">
        <v>1371</v>
      </c>
      <c r="C1110" s="82" t="s">
        <v>6677</v>
      </c>
    </row>
    <row r="1111" spans="1:3" s="79" customFormat="1" ht="49.15" customHeight="1" x14ac:dyDescent="0.2">
      <c r="A1111" s="81">
        <v>20015333</v>
      </c>
      <c r="B1111" s="80" t="s">
        <v>1372</v>
      </c>
      <c r="C1111" s="82" t="s">
        <v>6678</v>
      </c>
    </row>
    <row r="1112" spans="1:3" s="79" customFormat="1" ht="68.849999999999994" customHeight="1" x14ac:dyDescent="0.2">
      <c r="A1112" s="81">
        <v>20015343</v>
      </c>
      <c r="B1112" s="80" t="s">
        <v>1373</v>
      </c>
      <c r="C1112" s="81" t="s">
        <v>6679</v>
      </c>
    </row>
    <row r="1113" spans="1:3" s="79" customFormat="1" ht="139.15" customHeight="1" x14ac:dyDescent="0.2">
      <c r="A1113" s="81">
        <v>20015350</v>
      </c>
      <c r="B1113" s="80" t="s">
        <v>1374</v>
      </c>
      <c r="C1113" s="82" t="s">
        <v>6680</v>
      </c>
    </row>
    <row r="1114" spans="1:3" s="79" customFormat="1" ht="49.15" customHeight="1" x14ac:dyDescent="0.2">
      <c r="A1114" s="81">
        <v>20015447</v>
      </c>
      <c r="B1114" s="80" t="s">
        <v>1376</v>
      </c>
      <c r="C1114" s="80" t="s">
        <v>6681</v>
      </c>
    </row>
    <row r="1115" spans="1:3" s="79" customFormat="1" ht="19.149999999999999" customHeight="1" x14ac:dyDescent="0.2">
      <c r="A1115" s="81">
        <v>20015448</v>
      </c>
      <c r="B1115" s="80" t="s">
        <v>1377</v>
      </c>
      <c r="C1115" s="80" t="s">
        <v>6682</v>
      </c>
    </row>
    <row r="1116" spans="1:3" s="79" customFormat="1" ht="19.149999999999999" customHeight="1" x14ac:dyDescent="0.2">
      <c r="A1116" s="81">
        <v>20015449</v>
      </c>
      <c r="B1116" s="80" t="s">
        <v>1378</v>
      </c>
      <c r="C1116" s="80" t="s">
        <v>6683</v>
      </c>
    </row>
    <row r="1117" spans="1:3" s="79" customFormat="1" ht="19.149999999999999" customHeight="1" x14ac:dyDescent="0.2">
      <c r="A1117" s="81">
        <v>20015450</v>
      </c>
      <c r="B1117" s="80" t="s">
        <v>1379</v>
      </c>
      <c r="C1117" s="82" t="s">
        <v>6684</v>
      </c>
    </row>
    <row r="1118" spans="1:3" s="79" customFormat="1" ht="19.149999999999999" customHeight="1" x14ac:dyDescent="0.2">
      <c r="A1118" s="81">
        <v>20015464</v>
      </c>
      <c r="B1118" s="80" t="s">
        <v>1380</v>
      </c>
      <c r="C1118" s="82" t="s">
        <v>6685</v>
      </c>
    </row>
    <row r="1119" spans="1:3" s="79" customFormat="1" ht="38.85" customHeight="1" x14ac:dyDescent="0.2">
      <c r="A1119" s="81">
        <v>20015465</v>
      </c>
      <c r="B1119" s="80" t="s">
        <v>1381</v>
      </c>
      <c r="C1119" s="82" t="s">
        <v>6686</v>
      </c>
    </row>
    <row r="1120" spans="1:3" s="79" customFormat="1" ht="28.7" customHeight="1" x14ac:dyDescent="0.2">
      <c r="A1120" s="81">
        <v>20015466</v>
      </c>
      <c r="B1120" s="80" t="s">
        <v>1382</v>
      </c>
      <c r="C1120" s="82" t="s">
        <v>6687</v>
      </c>
    </row>
    <row r="1121" spans="1:3" s="79" customFormat="1" ht="28.7" customHeight="1" x14ac:dyDescent="0.2">
      <c r="A1121" s="81">
        <v>20015467</v>
      </c>
      <c r="B1121" s="80" t="s">
        <v>1383</v>
      </c>
      <c r="C1121" s="82" t="s">
        <v>6688</v>
      </c>
    </row>
    <row r="1122" spans="1:3" s="79" customFormat="1" ht="28.7" customHeight="1" x14ac:dyDescent="0.2">
      <c r="A1122" s="81">
        <v>20015468</v>
      </c>
      <c r="B1122" s="80" t="s">
        <v>1384</v>
      </c>
      <c r="C1122" s="82" t="s">
        <v>6689</v>
      </c>
    </row>
    <row r="1123" spans="1:3" s="79" customFormat="1" ht="28.7" customHeight="1" x14ac:dyDescent="0.2">
      <c r="A1123" s="81">
        <v>20015469</v>
      </c>
      <c r="B1123" s="80" t="s">
        <v>1385</v>
      </c>
      <c r="C1123" s="82" t="s">
        <v>6690</v>
      </c>
    </row>
    <row r="1124" spans="1:3" s="79" customFormat="1" ht="28.7" customHeight="1" x14ac:dyDescent="0.2">
      <c r="A1124" s="81">
        <v>20015491</v>
      </c>
      <c r="B1124" s="80" t="s">
        <v>1386</v>
      </c>
      <c r="C1124" s="82" t="s">
        <v>6691</v>
      </c>
    </row>
    <row r="1125" spans="1:3" s="79" customFormat="1" ht="28.7" customHeight="1" x14ac:dyDescent="0.2">
      <c r="A1125" s="81">
        <v>20015492</v>
      </c>
      <c r="B1125" s="80" t="s">
        <v>1387</v>
      </c>
      <c r="C1125" s="81" t="s">
        <v>6692</v>
      </c>
    </row>
    <row r="1126" spans="1:3" s="79" customFormat="1" ht="89.1" customHeight="1" x14ac:dyDescent="0.2">
      <c r="A1126" s="81">
        <v>20015500</v>
      </c>
      <c r="B1126" s="80" t="s">
        <v>1388</v>
      </c>
      <c r="C1126" s="81" t="s">
        <v>6693</v>
      </c>
    </row>
    <row r="1127" spans="1:3" s="79" customFormat="1" ht="49.15" customHeight="1" x14ac:dyDescent="0.2">
      <c r="A1127" s="81">
        <v>20015502</v>
      </c>
      <c r="B1127" s="80" t="s">
        <v>1389</v>
      </c>
      <c r="C1127" s="82" t="s">
        <v>6694</v>
      </c>
    </row>
    <row r="1128" spans="1:3" s="79" customFormat="1" ht="59.1" customHeight="1" x14ac:dyDescent="0.2">
      <c r="A1128" s="81">
        <v>20015503</v>
      </c>
      <c r="B1128" s="80" t="s">
        <v>1390</v>
      </c>
      <c r="C1128" s="82" t="s">
        <v>6695</v>
      </c>
    </row>
    <row r="1129" spans="1:3" s="79" customFormat="1" ht="59.1" customHeight="1" x14ac:dyDescent="0.2">
      <c r="A1129" s="81">
        <v>20015504</v>
      </c>
      <c r="B1129" s="80" t="s">
        <v>1391</v>
      </c>
      <c r="C1129" s="82" t="s">
        <v>6696</v>
      </c>
    </row>
    <row r="1130" spans="1:3" s="79" customFormat="1" ht="59.1" customHeight="1" x14ac:dyDescent="0.2">
      <c r="A1130" s="81">
        <v>20015506</v>
      </c>
      <c r="B1130" s="80" t="s">
        <v>1392</v>
      </c>
      <c r="C1130" s="81" t="s">
        <v>6697</v>
      </c>
    </row>
    <row r="1131" spans="1:3" s="79" customFormat="1" ht="89.1" customHeight="1" x14ac:dyDescent="0.2">
      <c r="A1131" s="81">
        <v>20015509</v>
      </c>
      <c r="B1131" s="80" t="s">
        <v>1393</v>
      </c>
      <c r="C1131" s="82" t="s">
        <v>6698</v>
      </c>
    </row>
    <row r="1132" spans="1:3" s="79" customFormat="1" ht="59.1" customHeight="1" x14ac:dyDescent="0.2">
      <c r="A1132" s="81">
        <v>20015512</v>
      </c>
      <c r="B1132" s="80" t="s">
        <v>1394</v>
      </c>
      <c r="C1132" s="82" t="s">
        <v>6699</v>
      </c>
    </row>
    <row r="1133" spans="1:3" s="79" customFormat="1" ht="19.149999999999999" customHeight="1" x14ac:dyDescent="0.2">
      <c r="A1133" s="81">
        <v>20015520</v>
      </c>
      <c r="B1133" s="80" t="s">
        <v>1395</v>
      </c>
      <c r="C1133" s="82" t="s">
        <v>6700</v>
      </c>
    </row>
    <row r="1134" spans="1:3" s="79" customFormat="1" ht="89.1" customHeight="1" x14ac:dyDescent="0.2">
      <c r="A1134" s="81">
        <v>20015522</v>
      </c>
      <c r="B1134" s="80" t="s">
        <v>1396</v>
      </c>
      <c r="C1134" s="82" t="s">
        <v>6701</v>
      </c>
    </row>
    <row r="1135" spans="1:3" s="79" customFormat="1" ht="49.15" customHeight="1" x14ac:dyDescent="0.2">
      <c r="A1135" s="81">
        <v>20015531</v>
      </c>
      <c r="B1135" s="80" t="s">
        <v>1397</v>
      </c>
      <c r="C1135" s="82" t="s">
        <v>6702</v>
      </c>
    </row>
    <row r="1136" spans="1:3" s="79" customFormat="1" ht="68.849999999999994" customHeight="1" x14ac:dyDescent="0.2">
      <c r="A1136" s="81">
        <v>20015532</v>
      </c>
      <c r="B1136" s="80" t="s">
        <v>1398</v>
      </c>
      <c r="C1136" s="82" t="s">
        <v>6703</v>
      </c>
    </row>
    <row r="1137" spans="1:3" s="79" customFormat="1" ht="68.849999999999994" customHeight="1" x14ac:dyDescent="0.2">
      <c r="A1137" s="81">
        <v>20015535</v>
      </c>
      <c r="B1137" s="80" t="s">
        <v>1399</v>
      </c>
      <c r="C1137" s="82" t="s">
        <v>6704</v>
      </c>
    </row>
    <row r="1138" spans="1:3" s="79" customFormat="1" ht="28.7" customHeight="1" x14ac:dyDescent="0.2">
      <c r="A1138" s="81">
        <v>20015536</v>
      </c>
      <c r="B1138" s="80" t="s">
        <v>1400</v>
      </c>
      <c r="C1138" s="82" t="s">
        <v>6705</v>
      </c>
    </row>
    <row r="1139" spans="1:3" s="79" customFormat="1" ht="78.95" customHeight="1" x14ac:dyDescent="0.2">
      <c r="A1139" s="81">
        <v>20015538</v>
      </c>
      <c r="B1139" s="80" t="s">
        <v>1401</v>
      </c>
      <c r="C1139" s="82" t="s">
        <v>6706</v>
      </c>
    </row>
    <row r="1140" spans="1:3" s="79" customFormat="1" ht="28.7" customHeight="1" x14ac:dyDescent="0.2">
      <c r="A1140" s="81">
        <v>20015539</v>
      </c>
      <c r="B1140" s="80" t="s">
        <v>1402</v>
      </c>
      <c r="C1140" s="82" t="s">
        <v>6707</v>
      </c>
    </row>
    <row r="1141" spans="1:3" s="79" customFormat="1" ht="49.15" customHeight="1" x14ac:dyDescent="0.2">
      <c r="A1141" s="81">
        <v>20015540</v>
      </c>
      <c r="B1141" s="80" t="s">
        <v>1403</v>
      </c>
      <c r="C1141" s="80" t="s">
        <v>6708</v>
      </c>
    </row>
    <row r="1142" spans="1:3" s="79" customFormat="1" ht="19.149999999999999" customHeight="1" x14ac:dyDescent="0.2">
      <c r="A1142" s="81">
        <v>20015546</v>
      </c>
      <c r="B1142" s="80" t="s">
        <v>1404</v>
      </c>
      <c r="C1142" s="82" t="s">
        <v>6709</v>
      </c>
    </row>
    <row r="1143" spans="1:3" s="79" customFormat="1" ht="28.7" customHeight="1" x14ac:dyDescent="0.2">
      <c r="A1143" s="81">
        <v>20015547</v>
      </c>
      <c r="B1143" s="80" t="s">
        <v>1405</v>
      </c>
      <c r="C1143" s="82" t="s">
        <v>6710</v>
      </c>
    </row>
    <row r="1144" spans="1:3" s="79" customFormat="1" ht="59.1" customHeight="1" x14ac:dyDescent="0.2">
      <c r="A1144" s="81">
        <v>20015586</v>
      </c>
      <c r="B1144" s="80" t="s">
        <v>1406</v>
      </c>
      <c r="C1144" s="82" t="s">
        <v>6711</v>
      </c>
    </row>
    <row r="1145" spans="1:3" s="79" customFormat="1" ht="38.85" customHeight="1" x14ac:dyDescent="0.2">
      <c r="A1145" s="81">
        <v>20015587</v>
      </c>
      <c r="B1145" s="80" t="s">
        <v>1407</v>
      </c>
      <c r="C1145" s="80" t="s">
        <v>6712</v>
      </c>
    </row>
    <row r="1146" spans="1:3" s="79" customFormat="1" ht="19.149999999999999" customHeight="1" x14ac:dyDescent="0.2">
      <c r="A1146" s="81">
        <v>20015591</v>
      </c>
      <c r="B1146" s="80" t="s">
        <v>1408</v>
      </c>
      <c r="C1146" s="82" t="s">
        <v>6713</v>
      </c>
    </row>
    <row r="1147" spans="1:3" s="79" customFormat="1" ht="59.1" customHeight="1" x14ac:dyDescent="0.2">
      <c r="A1147" s="81">
        <v>20015592</v>
      </c>
      <c r="B1147" s="80" t="s">
        <v>1409</v>
      </c>
      <c r="C1147" s="82" t="s">
        <v>6714</v>
      </c>
    </row>
    <row r="1148" spans="1:3" s="79" customFormat="1" ht="49.15" customHeight="1" x14ac:dyDescent="0.2">
      <c r="A1148" s="81">
        <v>20015624</v>
      </c>
      <c r="B1148" s="80" t="s">
        <v>1410</v>
      </c>
      <c r="C1148" s="82" t="s">
        <v>6715</v>
      </c>
    </row>
    <row r="1149" spans="1:3" s="79" customFormat="1" ht="28.7" customHeight="1" x14ac:dyDescent="0.2">
      <c r="A1149" s="81">
        <v>20015626</v>
      </c>
      <c r="B1149" s="80" t="s">
        <v>1411</v>
      </c>
      <c r="C1149" s="82" t="s">
        <v>6716</v>
      </c>
    </row>
    <row r="1150" spans="1:3" s="79" customFormat="1" ht="28.7" customHeight="1" x14ac:dyDescent="0.2">
      <c r="A1150" s="81">
        <v>20015649</v>
      </c>
      <c r="B1150" s="80" t="s">
        <v>1412</v>
      </c>
      <c r="C1150" s="82" t="s">
        <v>6717</v>
      </c>
    </row>
    <row r="1151" spans="1:3" s="79" customFormat="1" ht="49.15" customHeight="1" x14ac:dyDescent="0.2">
      <c r="A1151" s="81">
        <v>20015653</v>
      </c>
      <c r="B1151" s="80" t="s">
        <v>1413</v>
      </c>
      <c r="C1151" s="82" t="s">
        <v>6718</v>
      </c>
    </row>
    <row r="1152" spans="1:3" s="79" customFormat="1" ht="59.1" customHeight="1" x14ac:dyDescent="0.2">
      <c r="A1152" s="81">
        <v>20015678</v>
      </c>
      <c r="B1152" s="80" t="s">
        <v>1414</v>
      </c>
      <c r="C1152" s="81" t="s">
        <v>6719</v>
      </c>
    </row>
    <row r="1153" spans="1:3" s="79" customFormat="1" ht="129" customHeight="1" x14ac:dyDescent="0.2">
      <c r="A1153" s="81">
        <v>20015679</v>
      </c>
      <c r="B1153" s="80" t="s">
        <v>1415</v>
      </c>
      <c r="C1153" s="82" t="s">
        <v>6720</v>
      </c>
    </row>
    <row r="1154" spans="1:3" s="79" customFormat="1" ht="38.85" customHeight="1" x14ac:dyDescent="0.2">
      <c r="A1154" s="81">
        <v>20015680</v>
      </c>
      <c r="B1154" s="80" t="s">
        <v>1416</v>
      </c>
      <c r="C1154" s="81" t="s">
        <v>6721</v>
      </c>
    </row>
    <row r="1155" spans="1:3" s="79" customFormat="1" ht="139.15" customHeight="1" x14ac:dyDescent="0.2">
      <c r="A1155" s="81">
        <v>20015683</v>
      </c>
      <c r="B1155" s="80" t="s">
        <v>1417</v>
      </c>
      <c r="C1155" s="81" t="s">
        <v>6722</v>
      </c>
    </row>
    <row r="1156" spans="1:3" s="79" customFormat="1" ht="68.849999999999994" customHeight="1" x14ac:dyDescent="0.2">
      <c r="A1156" s="81">
        <v>20015692</v>
      </c>
      <c r="B1156" s="80" t="s">
        <v>1418</v>
      </c>
      <c r="C1156" s="81" t="s">
        <v>6723</v>
      </c>
    </row>
    <row r="1157" spans="1:3" s="79" customFormat="1" ht="109.35" customHeight="1" x14ac:dyDescent="0.2">
      <c r="A1157" s="81">
        <v>20015693</v>
      </c>
      <c r="B1157" s="80" t="s">
        <v>1419</v>
      </c>
      <c r="C1157" s="81" t="s">
        <v>6724</v>
      </c>
    </row>
    <row r="1158" spans="1:3" s="79" customFormat="1" ht="109.35" customHeight="1" x14ac:dyDescent="0.2">
      <c r="A1158" s="81">
        <v>20015694</v>
      </c>
      <c r="B1158" s="80" t="s">
        <v>1420</v>
      </c>
      <c r="C1158" s="81" t="s">
        <v>6725</v>
      </c>
    </row>
    <row r="1159" spans="1:3" s="79" customFormat="1" ht="109.35" customHeight="1" x14ac:dyDescent="0.2">
      <c r="A1159" s="81">
        <v>20015696</v>
      </c>
      <c r="B1159" s="80" t="s">
        <v>1421</v>
      </c>
      <c r="C1159" s="82" t="s">
        <v>6726</v>
      </c>
    </row>
    <row r="1160" spans="1:3" s="79" customFormat="1" ht="28.7" customHeight="1" x14ac:dyDescent="0.2">
      <c r="A1160" s="81">
        <v>20016005</v>
      </c>
      <c r="B1160" s="80" t="s">
        <v>1422</v>
      </c>
      <c r="C1160" s="80" t="s">
        <v>6727</v>
      </c>
    </row>
    <row r="1161" spans="1:3" s="79" customFormat="1" ht="19.149999999999999" customHeight="1" x14ac:dyDescent="0.2">
      <c r="A1161" s="81">
        <v>20016015</v>
      </c>
      <c r="B1161" s="80" t="s">
        <v>1423</v>
      </c>
      <c r="C1161" s="82" t="s">
        <v>6728</v>
      </c>
    </row>
    <row r="1162" spans="1:3" s="79" customFormat="1" ht="28.7" customHeight="1" x14ac:dyDescent="0.2">
      <c r="A1162" s="81">
        <v>20016017</v>
      </c>
      <c r="B1162" s="80" t="s">
        <v>1424</v>
      </c>
      <c r="C1162" s="81" t="s">
        <v>6729</v>
      </c>
    </row>
    <row r="1163" spans="1:3" s="79" customFormat="1" ht="118.9" customHeight="1" x14ac:dyDescent="0.2">
      <c r="A1163" s="81">
        <v>20016020</v>
      </c>
      <c r="B1163" s="80" t="s">
        <v>1425</v>
      </c>
      <c r="C1163" s="81" t="s">
        <v>6730</v>
      </c>
    </row>
    <row r="1164" spans="1:3" s="79" customFormat="1" ht="109.35" customHeight="1" x14ac:dyDescent="0.2">
      <c r="A1164" s="81">
        <v>20016021</v>
      </c>
      <c r="B1164" s="80" t="s">
        <v>1426</v>
      </c>
      <c r="C1164" s="81" t="s">
        <v>6731</v>
      </c>
    </row>
    <row r="1165" spans="1:3" s="79" customFormat="1" ht="129" customHeight="1" x14ac:dyDescent="0.2">
      <c r="A1165" s="81">
        <v>20016022</v>
      </c>
      <c r="B1165" s="80" t="s">
        <v>1427</v>
      </c>
      <c r="C1165" s="82" t="s">
        <v>6732</v>
      </c>
    </row>
    <row r="1166" spans="1:3" s="79" customFormat="1" ht="19.149999999999999" customHeight="1" x14ac:dyDescent="0.2">
      <c r="A1166" s="81">
        <v>20016029</v>
      </c>
      <c r="B1166" s="80" t="s">
        <v>1428</v>
      </c>
      <c r="C1166" s="82" t="s">
        <v>6733</v>
      </c>
    </row>
    <row r="1167" spans="1:3" s="79" customFormat="1" ht="49.15" customHeight="1" x14ac:dyDescent="0.2">
      <c r="A1167" s="81">
        <v>20016030</v>
      </c>
      <c r="B1167" s="80" t="s">
        <v>1429</v>
      </c>
      <c r="C1167" s="82" t="s">
        <v>6734</v>
      </c>
    </row>
    <row r="1168" spans="1:3" s="79" customFormat="1" ht="68.849999999999994" customHeight="1" x14ac:dyDescent="0.2">
      <c r="A1168" s="81">
        <v>20016032</v>
      </c>
      <c r="B1168" s="80" t="s">
        <v>1430</v>
      </c>
      <c r="C1168" s="82" t="s">
        <v>6735</v>
      </c>
    </row>
    <row r="1169" spans="1:3" s="79" customFormat="1" ht="28.7" customHeight="1" x14ac:dyDescent="0.2">
      <c r="A1169" s="81">
        <v>20016038</v>
      </c>
      <c r="B1169" s="80" t="s">
        <v>1431</v>
      </c>
      <c r="C1169" s="82" t="s">
        <v>6736</v>
      </c>
    </row>
    <row r="1170" spans="1:3" s="79" customFormat="1" ht="28.7" customHeight="1" x14ac:dyDescent="0.2">
      <c r="A1170" s="81">
        <v>20016045</v>
      </c>
      <c r="B1170" s="80" t="s">
        <v>1432</v>
      </c>
      <c r="C1170" s="82" t="s">
        <v>6737</v>
      </c>
    </row>
    <row r="1171" spans="1:3" s="79" customFormat="1" ht="38.85" customHeight="1" x14ac:dyDescent="0.2">
      <c r="A1171" s="81">
        <v>20016051</v>
      </c>
      <c r="B1171" s="80" t="s">
        <v>1433</v>
      </c>
      <c r="C1171" s="82" t="s">
        <v>6738</v>
      </c>
    </row>
    <row r="1172" spans="1:3" s="79" customFormat="1" ht="28.7" customHeight="1" x14ac:dyDescent="0.2">
      <c r="A1172" s="81">
        <v>20016063</v>
      </c>
      <c r="B1172" s="80" t="s">
        <v>1434</v>
      </c>
      <c r="C1172" s="82" t="s">
        <v>6739</v>
      </c>
    </row>
    <row r="1173" spans="1:3" s="79" customFormat="1" ht="19.149999999999999" customHeight="1" x14ac:dyDescent="0.2">
      <c r="A1173" s="81">
        <v>20016066</v>
      </c>
      <c r="B1173" s="80" t="s">
        <v>1435</v>
      </c>
      <c r="C1173" s="82" t="s">
        <v>6740</v>
      </c>
    </row>
    <row r="1174" spans="1:3" s="79" customFormat="1" ht="59.1" customHeight="1" x14ac:dyDescent="0.2">
      <c r="A1174" s="81">
        <v>20016067</v>
      </c>
      <c r="B1174" s="80" t="s">
        <v>1436</v>
      </c>
      <c r="C1174" s="80" t="s">
        <v>6741</v>
      </c>
    </row>
    <row r="1175" spans="1:3" s="79" customFormat="1" ht="19.149999999999999" customHeight="1" x14ac:dyDescent="0.2">
      <c r="A1175" s="81">
        <v>20016102</v>
      </c>
      <c r="B1175" s="80" t="s">
        <v>1437</v>
      </c>
      <c r="C1175" s="82" t="s">
        <v>6742</v>
      </c>
    </row>
    <row r="1176" spans="1:3" s="79" customFormat="1" ht="49.15" customHeight="1" x14ac:dyDescent="0.2">
      <c r="A1176" s="81">
        <v>20016110</v>
      </c>
      <c r="B1176" s="80" t="s">
        <v>1438</v>
      </c>
      <c r="C1176" s="81" t="s">
        <v>6743</v>
      </c>
    </row>
    <row r="1177" spans="1:3" s="79" customFormat="1" ht="219.2" customHeight="1" x14ac:dyDescent="0.2">
      <c r="A1177" s="81">
        <v>20016134</v>
      </c>
      <c r="B1177" s="80" t="s">
        <v>1439</v>
      </c>
      <c r="C1177" s="81" t="s">
        <v>6744</v>
      </c>
    </row>
    <row r="1178" spans="1:3" s="79" customFormat="1" ht="158.85" customHeight="1" x14ac:dyDescent="0.2">
      <c r="A1178" s="81">
        <v>20016135</v>
      </c>
      <c r="B1178" s="80" t="s">
        <v>1440</v>
      </c>
      <c r="C1178" s="81" t="s">
        <v>6745</v>
      </c>
    </row>
    <row r="1179" spans="1:3" s="79" customFormat="1" ht="139.15" customHeight="1" x14ac:dyDescent="0.2">
      <c r="A1179" s="81">
        <v>20016137</v>
      </c>
      <c r="B1179" s="80" t="s">
        <v>1441</v>
      </c>
      <c r="C1179" s="81" t="s">
        <v>6746</v>
      </c>
    </row>
    <row r="1180" spans="1:3" s="79" customFormat="1" ht="139.15" customHeight="1" x14ac:dyDescent="0.2">
      <c r="A1180" s="81">
        <v>20016154</v>
      </c>
      <c r="B1180" s="80" t="s">
        <v>1442</v>
      </c>
      <c r="C1180" s="82" t="s">
        <v>6747</v>
      </c>
    </row>
    <row r="1181" spans="1:3" s="79" customFormat="1" ht="59.1" customHeight="1" x14ac:dyDescent="0.2">
      <c r="A1181" s="81">
        <v>20016172</v>
      </c>
      <c r="B1181" s="80" t="s">
        <v>1443</v>
      </c>
      <c r="C1181" s="82" t="s">
        <v>6748</v>
      </c>
    </row>
    <row r="1182" spans="1:3" s="79" customFormat="1" ht="89.1" customHeight="1" x14ac:dyDescent="0.2">
      <c r="A1182" s="81">
        <v>20016281</v>
      </c>
      <c r="B1182" s="80" t="s">
        <v>1444</v>
      </c>
      <c r="C1182" s="82" t="s">
        <v>6749</v>
      </c>
    </row>
    <row r="1183" spans="1:3" s="79" customFormat="1" ht="28.7" customHeight="1" x14ac:dyDescent="0.2">
      <c r="A1183" s="81">
        <v>20016289</v>
      </c>
      <c r="B1183" s="80" t="s">
        <v>1445</v>
      </c>
      <c r="C1183" s="82" t="s">
        <v>6750</v>
      </c>
    </row>
    <row r="1184" spans="1:3" s="79" customFormat="1" ht="38.85" customHeight="1" x14ac:dyDescent="0.2">
      <c r="A1184" s="81">
        <v>20016291</v>
      </c>
      <c r="B1184" s="80" t="s">
        <v>1446</v>
      </c>
      <c r="C1184" s="82" t="s">
        <v>6751</v>
      </c>
    </row>
    <row r="1185" spans="1:3" s="79" customFormat="1" ht="38.85" customHeight="1" x14ac:dyDescent="0.2">
      <c r="A1185" s="81">
        <v>20016319</v>
      </c>
      <c r="B1185" s="80" t="s">
        <v>1447</v>
      </c>
      <c r="C1185" s="82" t="s">
        <v>6752</v>
      </c>
    </row>
    <row r="1186" spans="1:3" s="79" customFormat="1" ht="28.7" customHeight="1" x14ac:dyDescent="0.2">
      <c r="A1186" s="81">
        <v>20016321</v>
      </c>
      <c r="B1186" s="80" t="s">
        <v>1448</v>
      </c>
      <c r="C1186" s="82" t="s">
        <v>6753</v>
      </c>
    </row>
    <row r="1187" spans="1:3" s="79" customFormat="1" ht="28.7" customHeight="1" x14ac:dyDescent="0.2">
      <c r="A1187" s="81">
        <v>20016328</v>
      </c>
      <c r="B1187" s="80" t="s">
        <v>1449</v>
      </c>
      <c r="C1187" s="82" t="s">
        <v>6754</v>
      </c>
    </row>
    <row r="1188" spans="1:3" s="79" customFormat="1" ht="19.149999999999999" customHeight="1" x14ac:dyDescent="0.2">
      <c r="A1188" s="81">
        <v>20016333</v>
      </c>
      <c r="B1188" s="80" t="s">
        <v>1450</v>
      </c>
      <c r="C1188" s="82" t="s">
        <v>6755</v>
      </c>
    </row>
    <row r="1189" spans="1:3" s="79" customFormat="1" ht="59.1" customHeight="1" x14ac:dyDescent="0.2">
      <c r="A1189" s="81">
        <v>20016339</v>
      </c>
      <c r="B1189" s="80" t="s">
        <v>1451</v>
      </c>
      <c r="C1189" s="82" t="s">
        <v>6756</v>
      </c>
    </row>
    <row r="1190" spans="1:3" s="79" customFormat="1" ht="78.95" customHeight="1" x14ac:dyDescent="0.2">
      <c r="A1190" s="81">
        <v>20016340</v>
      </c>
      <c r="B1190" s="80" t="s">
        <v>1452</v>
      </c>
      <c r="C1190" s="82" t="s">
        <v>6757</v>
      </c>
    </row>
    <row r="1191" spans="1:3" s="79" customFormat="1" ht="78.95" customHeight="1" x14ac:dyDescent="0.2">
      <c r="A1191" s="81">
        <v>20016341</v>
      </c>
      <c r="B1191" s="80" t="s">
        <v>1453</v>
      </c>
      <c r="C1191" s="82" t="s">
        <v>6758</v>
      </c>
    </row>
    <row r="1192" spans="1:3" s="79" customFormat="1" ht="78.95" customHeight="1" x14ac:dyDescent="0.2">
      <c r="A1192" s="81">
        <v>20016342</v>
      </c>
      <c r="B1192" s="80" t="s">
        <v>1454</v>
      </c>
      <c r="C1192" s="82" t="s">
        <v>6759</v>
      </c>
    </row>
    <row r="1193" spans="1:3" s="79" customFormat="1" ht="78.95" customHeight="1" x14ac:dyDescent="0.2">
      <c r="A1193" s="81">
        <v>20016343</v>
      </c>
      <c r="B1193" s="80" t="s">
        <v>1455</v>
      </c>
      <c r="C1193" s="82" t="s">
        <v>6760</v>
      </c>
    </row>
    <row r="1194" spans="1:3" s="79" customFormat="1" ht="78.95" customHeight="1" x14ac:dyDescent="0.2">
      <c r="A1194" s="81">
        <v>20016344</v>
      </c>
      <c r="B1194" s="80" t="s">
        <v>1456</v>
      </c>
      <c r="C1194" s="82" t="s">
        <v>6761</v>
      </c>
    </row>
    <row r="1195" spans="1:3" s="79" customFormat="1" ht="59.1" customHeight="1" x14ac:dyDescent="0.2">
      <c r="A1195" s="81">
        <v>20016345</v>
      </c>
      <c r="B1195" s="80" t="s">
        <v>1457</v>
      </c>
      <c r="C1195" s="82" t="s">
        <v>6762</v>
      </c>
    </row>
    <row r="1196" spans="1:3" s="79" customFormat="1" ht="78.95" customHeight="1" x14ac:dyDescent="0.2">
      <c r="A1196" s="81">
        <v>20016346</v>
      </c>
      <c r="B1196" s="80" t="s">
        <v>1458</v>
      </c>
      <c r="C1196" s="82" t="s">
        <v>6763</v>
      </c>
    </row>
    <row r="1197" spans="1:3" s="79" customFormat="1" ht="59.1" customHeight="1" x14ac:dyDescent="0.2">
      <c r="A1197" s="81">
        <v>20016393</v>
      </c>
      <c r="B1197" s="80" t="s">
        <v>1459</v>
      </c>
      <c r="C1197" s="81" t="s">
        <v>6764</v>
      </c>
    </row>
    <row r="1198" spans="1:3" s="79" customFormat="1" ht="89.1" customHeight="1" x14ac:dyDescent="0.2">
      <c r="A1198" s="81">
        <v>20016408</v>
      </c>
      <c r="B1198" s="80" t="s">
        <v>1460</v>
      </c>
      <c r="C1198" s="80" t="s">
        <v>6765</v>
      </c>
    </row>
    <row r="1199" spans="1:3" s="79" customFormat="1" ht="19.149999999999999" customHeight="1" x14ac:dyDescent="0.2">
      <c r="A1199" s="81">
        <v>20016440</v>
      </c>
      <c r="B1199" s="80" t="s">
        <v>1461</v>
      </c>
      <c r="C1199" s="82" t="s">
        <v>6766</v>
      </c>
    </row>
    <row r="1200" spans="1:3" s="79" customFormat="1" ht="68.849999999999994" customHeight="1" x14ac:dyDescent="0.2">
      <c r="A1200" s="81">
        <v>20016441</v>
      </c>
      <c r="B1200" s="80" t="s">
        <v>1462</v>
      </c>
      <c r="C1200" s="82" t="s">
        <v>6767</v>
      </c>
    </row>
    <row r="1201" spans="1:3" s="79" customFormat="1" ht="68.849999999999994" customHeight="1" x14ac:dyDescent="0.2">
      <c r="A1201" s="81">
        <v>20016442</v>
      </c>
      <c r="B1201" s="80" t="s">
        <v>1463</v>
      </c>
      <c r="C1201" s="82" t="s">
        <v>6768</v>
      </c>
    </row>
    <row r="1202" spans="1:3" s="79" customFormat="1" ht="68.849999999999994" customHeight="1" x14ac:dyDescent="0.2">
      <c r="A1202" s="81">
        <v>20016443</v>
      </c>
      <c r="B1202" s="80" t="s">
        <v>1464</v>
      </c>
      <c r="C1202" s="82" t="s">
        <v>6769</v>
      </c>
    </row>
    <row r="1203" spans="1:3" s="79" customFormat="1" ht="68.849999999999994" customHeight="1" x14ac:dyDescent="0.2">
      <c r="A1203" s="81">
        <v>20016444</v>
      </c>
      <c r="B1203" s="80" t="s">
        <v>1465</v>
      </c>
      <c r="C1203" s="82" t="s">
        <v>6770</v>
      </c>
    </row>
    <row r="1204" spans="1:3" s="79" customFormat="1" ht="68.849999999999994" customHeight="1" x14ac:dyDescent="0.2">
      <c r="A1204" s="81">
        <v>20016445</v>
      </c>
      <c r="B1204" s="80" t="s">
        <v>1466</v>
      </c>
      <c r="C1204" s="82" t="s">
        <v>6771</v>
      </c>
    </row>
    <row r="1205" spans="1:3" s="79" customFormat="1" ht="68.849999999999994" customHeight="1" x14ac:dyDescent="0.2">
      <c r="A1205" s="81">
        <v>20016532</v>
      </c>
      <c r="B1205" s="80" t="s">
        <v>1467</v>
      </c>
      <c r="C1205" s="82" t="s">
        <v>6772</v>
      </c>
    </row>
    <row r="1206" spans="1:3" s="79" customFormat="1" ht="38.85" customHeight="1" x14ac:dyDescent="0.2">
      <c r="A1206" s="81">
        <v>20016639</v>
      </c>
      <c r="B1206" s="80" t="s">
        <v>1468</v>
      </c>
      <c r="C1206" s="80" t="s">
        <v>6773</v>
      </c>
    </row>
    <row r="1207" spans="1:3" s="79" customFormat="1" ht="19.149999999999999" customHeight="1" x14ac:dyDescent="0.2">
      <c r="A1207" s="81">
        <v>20016675</v>
      </c>
      <c r="B1207" s="80" t="s">
        <v>1469</v>
      </c>
      <c r="C1207" s="82" t="s">
        <v>6774</v>
      </c>
    </row>
    <row r="1208" spans="1:3" s="79" customFormat="1" ht="38.85" customHeight="1" x14ac:dyDescent="0.2">
      <c r="A1208" s="81">
        <v>20016677</v>
      </c>
      <c r="B1208" s="80" t="s">
        <v>1470</v>
      </c>
      <c r="C1208" s="82" t="s">
        <v>6775</v>
      </c>
    </row>
    <row r="1209" spans="1:3" s="79" customFormat="1" ht="38.85" customHeight="1" x14ac:dyDescent="0.2">
      <c r="A1209" s="81">
        <v>20016683</v>
      </c>
      <c r="B1209" s="80" t="s">
        <v>1471</v>
      </c>
      <c r="C1209" s="82" t="s">
        <v>6776</v>
      </c>
    </row>
    <row r="1210" spans="1:3" s="79" customFormat="1" ht="38.85" customHeight="1" x14ac:dyDescent="0.2">
      <c r="A1210" s="81">
        <v>20016684</v>
      </c>
      <c r="B1210" s="80" t="s">
        <v>1472</v>
      </c>
      <c r="C1210" s="82" t="s">
        <v>6777</v>
      </c>
    </row>
    <row r="1211" spans="1:3" s="79" customFormat="1" ht="38.85" customHeight="1" x14ac:dyDescent="0.2">
      <c r="A1211" s="81">
        <v>20016690</v>
      </c>
      <c r="B1211" s="80" t="s">
        <v>1473</v>
      </c>
      <c r="C1211" s="82" t="s">
        <v>6778</v>
      </c>
    </row>
    <row r="1212" spans="1:3" s="79" customFormat="1" ht="28.7" customHeight="1" x14ac:dyDescent="0.2">
      <c r="A1212" s="81">
        <v>20016696</v>
      </c>
      <c r="B1212" s="80" t="s">
        <v>1474</v>
      </c>
      <c r="C1212" s="82" t="s">
        <v>6779</v>
      </c>
    </row>
    <row r="1213" spans="1:3" s="79" customFormat="1" ht="59.1" customHeight="1" x14ac:dyDescent="0.2">
      <c r="A1213" s="81">
        <v>20016698</v>
      </c>
      <c r="B1213" s="80" t="s">
        <v>1475</v>
      </c>
      <c r="C1213" s="81" t="s">
        <v>6780</v>
      </c>
    </row>
    <row r="1214" spans="1:3" s="79" customFormat="1" ht="68.849999999999994" customHeight="1" x14ac:dyDescent="0.2">
      <c r="A1214" s="81">
        <v>20016700</v>
      </c>
      <c r="B1214" s="80" t="s">
        <v>1476</v>
      </c>
      <c r="C1214" s="81" t="s">
        <v>6781</v>
      </c>
    </row>
    <row r="1215" spans="1:3" s="79" customFormat="1" ht="68.849999999999994" customHeight="1" x14ac:dyDescent="0.2">
      <c r="A1215" s="81">
        <v>20016702</v>
      </c>
      <c r="B1215" s="80" t="s">
        <v>1477</v>
      </c>
      <c r="C1215" s="81" t="s">
        <v>6782</v>
      </c>
    </row>
    <row r="1216" spans="1:3" s="79" customFormat="1" ht="68.849999999999994" customHeight="1" x14ac:dyDescent="0.2">
      <c r="A1216" s="81">
        <v>20016706</v>
      </c>
      <c r="B1216" s="80" t="s">
        <v>1478</v>
      </c>
      <c r="C1216" s="81" t="s">
        <v>6783</v>
      </c>
    </row>
    <row r="1217" spans="1:3" s="79" customFormat="1" ht="78.95" customHeight="1" x14ac:dyDescent="0.2">
      <c r="A1217" s="81">
        <v>20016707</v>
      </c>
      <c r="B1217" s="80" t="s">
        <v>1479</v>
      </c>
      <c r="C1217" s="81" t="s">
        <v>6784</v>
      </c>
    </row>
    <row r="1218" spans="1:3" s="79" customFormat="1" ht="68.849999999999994" customHeight="1" x14ac:dyDescent="0.2">
      <c r="A1218" s="81">
        <v>20016709</v>
      </c>
      <c r="B1218" s="80" t="s">
        <v>1480</v>
      </c>
      <c r="C1218" s="82" t="s">
        <v>6785</v>
      </c>
    </row>
    <row r="1219" spans="1:3" s="79" customFormat="1" ht="28.7" customHeight="1" x14ac:dyDescent="0.2">
      <c r="A1219" s="81">
        <v>20016721</v>
      </c>
      <c r="B1219" s="80" t="s">
        <v>1481</v>
      </c>
      <c r="C1219" s="82" t="s">
        <v>6786</v>
      </c>
    </row>
    <row r="1220" spans="1:3" s="79" customFormat="1" ht="89.1" customHeight="1" x14ac:dyDescent="0.2">
      <c r="A1220" s="81">
        <v>20016722</v>
      </c>
      <c r="B1220" s="80" t="s">
        <v>1482</v>
      </c>
      <c r="C1220" s="82" t="s">
        <v>6787</v>
      </c>
    </row>
    <row r="1221" spans="1:3" s="79" customFormat="1" ht="89.1" customHeight="1" x14ac:dyDescent="0.2">
      <c r="A1221" s="81">
        <v>20016734</v>
      </c>
      <c r="B1221" s="80" t="s">
        <v>1483</v>
      </c>
      <c r="C1221" s="82" t="s">
        <v>6788</v>
      </c>
    </row>
    <row r="1222" spans="1:3" s="79" customFormat="1" ht="28.7" customHeight="1" x14ac:dyDescent="0.2">
      <c r="A1222" s="81">
        <v>20016742</v>
      </c>
      <c r="B1222" s="80" t="s">
        <v>1484</v>
      </c>
      <c r="C1222" s="82" t="s">
        <v>6789</v>
      </c>
    </row>
    <row r="1223" spans="1:3" s="79" customFormat="1" ht="59.1" customHeight="1" x14ac:dyDescent="0.2">
      <c r="A1223" s="81">
        <v>20016859</v>
      </c>
      <c r="B1223" s="80" t="s">
        <v>1485</v>
      </c>
      <c r="C1223" s="82" t="s">
        <v>6790</v>
      </c>
    </row>
    <row r="1224" spans="1:3" s="79" customFormat="1" ht="28.7" customHeight="1" x14ac:dyDescent="0.2">
      <c r="A1224" s="81">
        <v>20016868</v>
      </c>
      <c r="B1224" s="80" t="s">
        <v>1486</v>
      </c>
      <c r="C1224" s="82" t="s">
        <v>6791</v>
      </c>
    </row>
    <row r="1225" spans="1:3" s="79" customFormat="1" ht="59.1" customHeight="1" x14ac:dyDescent="0.2">
      <c r="A1225" s="81">
        <v>20016876</v>
      </c>
      <c r="B1225" s="80" t="s">
        <v>1487</v>
      </c>
      <c r="C1225" s="82" t="s">
        <v>6792</v>
      </c>
    </row>
    <row r="1226" spans="1:3" s="79" customFormat="1" ht="59.1" customHeight="1" x14ac:dyDescent="0.2">
      <c r="A1226" s="81">
        <v>20017053</v>
      </c>
      <c r="B1226" s="80" t="s">
        <v>1488</v>
      </c>
      <c r="C1226" s="82" t="s">
        <v>6793</v>
      </c>
    </row>
    <row r="1227" spans="1:3" s="79" customFormat="1" ht="19.149999999999999" customHeight="1" x14ac:dyDescent="0.2">
      <c r="A1227" s="81">
        <v>20017059</v>
      </c>
      <c r="B1227" s="80" t="s">
        <v>1489</v>
      </c>
      <c r="C1227" s="80" t="s">
        <v>6794</v>
      </c>
    </row>
    <row r="1228" spans="1:3" s="79" customFormat="1" ht="19.149999999999999" customHeight="1" x14ac:dyDescent="0.2">
      <c r="A1228" s="81">
        <v>20017060</v>
      </c>
      <c r="B1228" s="80" t="s">
        <v>1490</v>
      </c>
      <c r="C1228" s="81" t="s">
        <v>6795</v>
      </c>
    </row>
    <row r="1229" spans="1:3" s="79" customFormat="1" ht="189.4" customHeight="1" x14ac:dyDescent="0.2">
      <c r="A1229" s="81">
        <v>20017106</v>
      </c>
      <c r="B1229" s="80" t="s">
        <v>1491</v>
      </c>
      <c r="C1229" s="81" t="s">
        <v>6796</v>
      </c>
    </row>
    <row r="1230" spans="1:3" s="79" customFormat="1" ht="59.1" customHeight="1" x14ac:dyDescent="0.2">
      <c r="A1230" s="81">
        <v>20017123</v>
      </c>
      <c r="B1230" s="80" t="s">
        <v>1492</v>
      </c>
      <c r="C1230" s="80" t="s">
        <v>6797</v>
      </c>
    </row>
    <row r="1231" spans="1:3" s="79" customFormat="1" ht="19.149999999999999" customHeight="1" x14ac:dyDescent="0.2">
      <c r="A1231" s="81">
        <v>20017474</v>
      </c>
      <c r="B1231" s="80" t="s">
        <v>1493</v>
      </c>
      <c r="C1231" s="82" t="s">
        <v>6798</v>
      </c>
    </row>
    <row r="1232" spans="1:3" s="79" customFormat="1" ht="78.95" customHeight="1" x14ac:dyDescent="0.2">
      <c r="A1232" s="81">
        <v>20017515</v>
      </c>
      <c r="B1232" s="80" t="s">
        <v>1494</v>
      </c>
      <c r="C1232" s="80" t="s">
        <v>6799</v>
      </c>
    </row>
    <row r="1233" spans="1:3" s="79" customFormat="1" ht="19.149999999999999" customHeight="1" x14ac:dyDescent="0.2">
      <c r="A1233" s="81">
        <v>20017533</v>
      </c>
      <c r="B1233" s="80" t="s">
        <v>1495</v>
      </c>
      <c r="C1233" s="82" t="s">
        <v>6800</v>
      </c>
    </row>
    <row r="1234" spans="1:3" s="79" customFormat="1" ht="78.95" customHeight="1" x14ac:dyDescent="0.2">
      <c r="A1234" s="81">
        <v>20017534</v>
      </c>
      <c r="B1234" s="80" t="s">
        <v>1496</v>
      </c>
      <c r="C1234" s="82" t="s">
        <v>6801</v>
      </c>
    </row>
    <row r="1235" spans="1:3" s="79" customFormat="1" ht="78.95" customHeight="1" x14ac:dyDescent="0.2">
      <c r="A1235" s="81">
        <v>20017559</v>
      </c>
      <c r="B1235" s="80" t="s">
        <v>1497</v>
      </c>
      <c r="C1235" s="80" t="s">
        <v>6802</v>
      </c>
    </row>
    <row r="1236" spans="1:3" s="79" customFormat="1" ht="19.149999999999999" customHeight="1" x14ac:dyDescent="0.2">
      <c r="A1236" s="81">
        <v>20017560</v>
      </c>
      <c r="B1236" s="80" t="s">
        <v>1498</v>
      </c>
      <c r="C1236" s="82" t="s">
        <v>6272</v>
      </c>
    </row>
    <row r="1237" spans="1:3" s="79" customFormat="1" ht="38.85" customHeight="1" x14ac:dyDescent="0.2">
      <c r="A1237" s="81">
        <v>20017561</v>
      </c>
      <c r="B1237" s="80" t="s">
        <v>1499</v>
      </c>
      <c r="C1237" s="82" t="s">
        <v>6803</v>
      </c>
    </row>
    <row r="1238" spans="1:3" s="79" customFormat="1" ht="49.15" customHeight="1" x14ac:dyDescent="0.2">
      <c r="A1238" s="81">
        <v>20017630</v>
      </c>
      <c r="B1238" s="80" t="s">
        <v>1500</v>
      </c>
      <c r="C1238" s="82" t="s">
        <v>6804</v>
      </c>
    </row>
    <row r="1239" spans="1:3" s="79" customFormat="1" ht="19.149999999999999" customHeight="1" x14ac:dyDescent="0.2">
      <c r="A1239" s="81">
        <v>20017757</v>
      </c>
      <c r="B1239" s="80" t="s">
        <v>1502</v>
      </c>
      <c r="C1239" s="82" t="s">
        <v>6805</v>
      </c>
    </row>
    <row r="1240" spans="1:3" s="79" customFormat="1" ht="28.7" customHeight="1" x14ac:dyDescent="0.2">
      <c r="A1240" s="81">
        <v>20017758</v>
      </c>
      <c r="B1240" s="80" t="s">
        <v>1503</v>
      </c>
      <c r="C1240" s="82" t="s">
        <v>6806</v>
      </c>
    </row>
    <row r="1241" spans="1:3" s="79" customFormat="1" ht="28.7" customHeight="1" x14ac:dyDescent="0.2">
      <c r="A1241" s="81">
        <v>20017761</v>
      </c>
      <c r="B1241" s="80" t="s">
        <v>1504</v>
      </c>
      <c r="C1241" s="82" t="s">
        <v>6807</v>
      </c>
    </row>
    <row r="1242" spans="1:3" s="79" customFormat="1" ht="28.7" customHeight="1" x14ac:dyDescent="0.2">
      <c r="A1242" s="81">
        <v>20017763</v>
      </c>
      <c r="B1242" s="80" t="s">
        <v>1505</v>
      </c>
      <c r="C1242" s="82" t="s">
        <v>6808</v>
      </c>
    </row>
    <row r="1243" spans="1:3" s="79" customFormat="1" ht="28.7" customHeight="1" x14ac:dyDescent="0.2">
      <c r="A1243" s="81">
        <v>20017764</v>
      </c>
      <c r="B1243" s="80" t="s">
        <v>1506</v>
      </c>
      <c r="C1243" s="82" t="s">
        <v>6809</v>
      </c>
    </row>
    <row r="1244" spans="1:3" s="79" customFormat="1" ht="28.7" customHeight="1" x14ac:dyDescent="0.2">
      <c r="A1244" s="81">
        <v>20017766</v>
      </c>
      <c r="B1244" s="80" t="s">
        <v>1507</v>
      </c>
      <c r="C1244" s="82" t="s">
        <v>6810</v>
      </c>
    </row>
    <row r="1245" spans="1:3" s="79" customFormat="1" ht="28.7" customHeight="1" x14ac:dyDescent="0.2">
      <c r="A1245" s="81">
        <v>20017767</v>
      </c>
      <c r="B1245" s="80" t="s">
        <v>1508</v>
      </c>
      <c r="C1245" s="82" t="s">
        <v>6811</v>
      </c>
    </row>
    <row r="1246" spans="1:3" s="79" customFormat="1" ht="28.7" customHeight="1" x14ac:dyDescent="0.2">
      <c r="A1246" s="81">
        <v>20017768</v>
      </c>
      <c r="B1246" s="80" t="s">
        <v>1509</v>
      </c>
      <c r="C1246" s="82" t="s">
        <v>6812</v>
      </c>
    </row>
    <row r="1247" spans="1:3" s="79" customFormat="1" ht="28.7" customHeight="1" x14ac:dyDescent="0.2">
      <c r="A1247" s="81">
        <v>20017783</v>
      </c>
      <c r="B1247" s="80" t="s">
        <v>1510</v>
      </c>
      <c r="C1247" s="82" t="s">
        <v>5755</v>
      </c>
    </row>
    <row r="1248" spans="1:3" s="79" customFormat="1" ht="28.7" customHeight="1" x14ac:dyDescent="0.2">
      <c r="A1248" s="81">
        <v>20017789</v>
      </c>
      <c r="B1248" s="80" t="s">
        <v>1511</v>
      </c>
      <c r="C1248" s="82" t="s">
        <v>6813</v>
      </c>
    </row>
    <row r="1249" spans="1:3" s="79" customFormat="1" ht="28.7" customHeight="1" x14ac:dyDescent="0.2">
      <c r="A1249" s="81">
        <v>20017790</v>
      </c>
      <c r="B1249" s="80" t="s">
        <v>1512</v>
      </c>
      <c r="C1249" s="82" t="s">
        <v>6814</v>
      </c>
    </row>
    <row r="1250" spans="1:3" s="79" customFormat="1" ht="28.7" customHeight="1" x14ac:dyDescent="0.2">
      <c r="A1250" s="81">
        <v>20017791</v>
      </c>
      <c r="B1250" s="80" t="s">
        <v>1513</v>
      </c>
      <c r="C1250" s="82" t="s">
        <v>6815</v>
      </c>
    </row>
    <row r="1251" spans="1:3" s="79" customFormat="1" ht="28.7" customHeight="1" x14ac:dyDescent="0.2">
      <c r="A1251" s="81">
        <v>20017803</v>
      </c>
      <c r="B1251" s="80" t="s">
        <v>1514</v>
      </c>
      <c r="C1251" s="80" t="s">
        <v>6816</v>
      </c>
    </row>
    <row r="1252" spans="1:3" s="79" customFormat="1" ht="19.149999999999999" customHeight="1" x14ac:dyDescent="0.2">
      <c r="A1252" s="81">
        <v>20017804</v>
      </c>
      <c r="B1252" s="80" t="s">
        <v>1515</v>
      </c>
      <c r="C1252" s="80" t="s">
        <v>6817</v>
      </c>
    </row>
    <row r="1253" spans="1:3" s="79" customFormat="1" ht="19.149999999999999" customHeight="1" x14ac:dyDescent="0.2">
      <c r="A1253" s="81">
        <v>20017869</v>
      </c>
      <c r="B1253" s="80" t="s">
        <v>1516</v>
      </c>
      <c r="C1253" s="80" t="s">
        <v>6818</v>
      </c>
    </row>
    <row r="1254" spans="1:3" s="79" customFormat="1" ht="19.149999999999999" customHeight="1" x14ac:dyDescent="0.2">
      <c r="A1254" s="81">
        <v>20017880</v>
      </c>
      <c r="B1254" s="80" t="s">
        <v>1517</v>
      </c>
      <c r="C1254" s="80" t="s">
        <v>6819</v>
      </c>
    </row>
    <row r="1255" spans="1:3" s="79" customFormat="1" ht="19.149999999999999" customHeight="1" x14ac:dyDescent="0.2">
      <c r="A1255" s="81">
        <v>20017985</v>
      </c>
      <c r="B1255" s="80" t="s">
        <v>1520</v>
      </c>
      <c r="C1255" s="82" t="s">
        <v>6820</v>
      </c>
    </row>
    <row r="1256" spans="1:3" s="79" customFormat="1" ht="28.7" customHeight="1" x14ac:dyDescent="0.2">
      <c r="A1256" s="81">
        <v>20018004</v>
      </c>
      <c r="B1256" s="80" t="s">
        <v>1521</v>
      </c>
      <c r="C1256" s="80" t="s">
        <v>6821</v>
      </c>
    </row>
    <row r="1257" spans="1:3" s="79" customFormat="1" ht="19.149999999999999" customHeight="1" x14ac:dyDescent="0.2">
      <c r="A1257" s="81">
        <v>20018008</v>
      </c>
      <c r="B1257" s="80" t="s">
        <v>11598</v>
      </c>
      <c r="C1257" s="80" t="s">
        <v>6822</v>
      </c>
    </row>
    <row r="1258" spans="1:3" s="79" customFormat="1" ht="19.149999999999999" customHeight="1" x14ac:dyDescent="0.2">
      <c r="A1258" s="81">
        <v>20018009</v>
      </c>
      <c r="B1258" s="80" t="s">
        <v>1522</v>
      </c>
      <c r="C1258" s="82" t="s">
        <v>6823</v>
      </c>
    </row>
    <row r="1259" spans="1:3" s="79" customFormat="1" ht="109.35" customHeight="1" x14ac:dyDescent="0.2">
      <c r="A1259" s="81">
        <v>20018027</v>
      </c>
      <c r="B1259" s="80" t="s">
        <v>1523</v>
      </c>
      <c r="C1259" s="82" t="s">
        <v>6824</v>
      </c>
    </row>
    <row r="1260" spans="1:3" s="79" customFormat="1" ht="28.7" customHeight="1" x14ac:dyDescent="0.2">
      <c r="A1260" s="81">
        <v>20018028</v>
      </c>
      <c r="B1260" s="80" t="s">
        <v>1524</v>
      </c>
      <c r="C1260" s="82" t="s">
        <v>6825</v>
      </c>
    </row>
    <row r="1261" spans="1:3" s="79" customFormat="1" ht="28.7" customHeight="1" x14ac:dyDescent="0.2">
      <c r="A1261" s="81">
        <v>20018032</v>
      </c>
      <c r="B1261" s="80" t="s">
        <v>1525</v>
      </c>
      <c r="C1261" s="82" t="s">
        <v>6826</v>
      </c>
    </row>
    <row r="1262" spans="1:3" s="79" customFormat="1" ht="28.7" customHeight="1" x14ac:dyDescent="0.2">
      <c r="A1262" s="81">
        <v>20018074</v>
      </c>
      <c r="B1262" s="80" t="s">
        <v>1526</v>
      </c>
      <c r="C1262" s="80" t="s">
        <v>6827</v>
      </c>
    </row>
    <row r="1263" spans="1:3" s="79" customFormat="1" ht="19.149999999999999" customHeight="1" x14ac:dyDescent="0.2">
      <c r="A1263" s="81">
        <v>20018075</v>
      </c>
      <c r="B1263" s="80" t="s">
        <v>1527</v>
      </c>
      <c r="C1263" s="80" t="s">
        <v>6828</v>
      </c>
    </row>
    <row r="1264" spans="1:3" s="79" customFormat="1" ht="19.149999999999999" customHeight="1" x14ac:dyDescent="0.2">
      <c r="A1264" s="81">
        <v>20018076</v>
      </c>
      <c r="B1264" s="80" t="s">
        <v>1528</v>
      </c>
      <c r="C1264" s="80" t="s">
        <v>6829</v>
      </c>
    </row>
    <row r="1265" spans="1:3" s="79" customFormat="1" ht="19.149999999999999" customHeight="1" x14ac:dyDescent="0.2">
      <c r="A1265" s="81">
        <v>20018077</v>
      </c>
      <c r="B1265" s="80" t="s">
        <v>1529</v>
      </c>
      <c r="C1265" s="80" t="s">
        <v>6830</v>
      </c>
    </row>
    <row r="1266" spans="1:3" s="79" customFormat="1" ht="19.149999999999999" customHeight="1" x14ac:dyDescent="0.2">
      <c r="A1266" s="81">
        <v>20018078</v>
      </c>
      <c r="B1266" s="80" t="s">
        <v>1530</v>
      </c>
      <c r="C1266" s="80" t="s">
        <v>6831</v>
      </c>
    </row>
    <row r="1267" spans="1:3" s="79" customFormat="1" ht="19.149999999999999" customHeight="1" x14ac:dyDescent="0.2">
      <c r="A1267" s="81">
        <v>20018080</v>
      </c>
      <c r="B1267" s="80" t="s">
        <v>1531</v>
      </c>
      <c r="C1267" s="80" t="s">
        <v>6832</v>
      </c>
    </row>
    <row r="1268" spans="1:3" s="79" customFormat="1" ht="19.149999999999999" customHeight="1" x14ac:dyDescent="0.2">
      <c r="A1268" s="81">
        <v>20018081</v>
      </c>
      <c r="B1268" s="80" t="s">
        <v>1532</v>
      </c>
      <c r="C1268" s="80" t="s">
        <v>6833</v>
      </c>
    </row>
    <row r="1269" spans="1:3" s="79" customFormat="1" ht="19.149999999999999" customHeight="1" x14ac:dyDescent="0.2">
      <c r="A1269" s="81">
        <v>20018082</v>
      </c>
      <c r="B1269" s="80" t="s">
        <v>1533</v>
      </c>
      <c r="C1269" s="80" t="s">
        <v>6834</v>
      </c>
    </row>
    <row r="1270" spans="1:3" s="79" customFormat="1" ht="19.149999999999999" customHeight="1" x14ac:dyDescent="0.2">
      <c r="A1270" s="81">
        <v>20018083</v>
      </c>
      <c r="B1270" s="80" t="s">
        <v>1534</v>
      </c>
      <c r="C1270" s="80" t="s">
        <v>6835</v>
      </c>
    </row>
    <row r="1271" spans="1:3" s="79" customFormat="1" ht="19.149999999999999" customHeight="1" x14ac:dyDescent="0.2">
      <c r="A1271" s="81">
        <v>20018084</v>
      </c>
      <c r="B1271" s="80" t="s">
        <v>1535</v>
      </c>
      <c r="C1271" s="80" t="s">
        <v>6836</v>
      </c>
    </row>
    <row r="1272" spans="1:3" s="79" customFormat="1" ht="19.149999999999999" customHeight="1" x14ac:dyDescent="0.2">
      <c r="A1272" s="81">
        <v>20018085</v>
      </c>
      <c r="B1272" s="80" t="s">
        <v>1536</v>
      </c>
      <c r="C1272" s="80" t="s">
        <v>6837</v>
      </c>
    </row>
    <row r="1273" spans="1:3" s="79" customFormat="1" ht="19.149999999999999" customHeight="1" x14ac:dyDescent="0.2">
      <c r="A1273" s="81">
        <v>20018086</v>
      </c>
      <c r="B1273" s="80" t="s">
        <v>1537</v>
      </c>
      <c r="C1273" s="80" t="s">
        <v>6838</v>
      </c>
    </row>
    <row r="1274" spans="1:3" s="79" customFormat="1" ht="19.149999999999999" customHeight="1" x14ac:dyDescent="0.2">
      <c r="A1274" s="81">
        <v>20018087</v>
      </c>
      <c r="B1274" s="80" t="s">
        <v>1538</v>
      </c>
      <c r="C1274" s="80" t="s">
        <v>6839</v>
      </c>
    </row>
    <row r="1275" spans="1:3" s="79" customFormat="1" ht="19.149999999999999" customHeight="1" x14ac:dyDescent="0.2">
      <c r="A1275" s="81">
        <v>20018101</v>
      </c>
      <c r="B1275" s="80" t="s">
        <v>10918</v>
      </c>
      <c r="C1275" s="80" t="s">
        <v>11208</v>
      </c>
    </row>
    <row r="1276" spans="1:3" s="79" customFormat="1" ht="19.149999999999999" customHeight="1" x14ac:dyDescent="0.2">
      <c r="A1276" s="81">
        <v>20018102</v>
      </c>
      <c r="B1276" s="80" t="s">
        <v>1540</v>
      </c>
      <c r="C1276" s="80" t="s">
        <v>6840</v>
      </c>
    </row>
    <row r="1277" spans="1:3" s="79" customFormat="1" ht="19.149999999999999" customHeight="1" x14ac:dyDescent="0.2">
      <c r="A1277" s="81">
        <v>20018103</v>
      </c>
      <c r="B1277" s="80" t="s">
        <v>1541</v>
      </c>
      <c r="C1277" s="80" t="s">
        <v>6841</v>
      </c>
    </row>
    <row r="1278" spans="1:3" s="79" customFormat="1" ht="19.149999999999999" customHeight="1" x14ac:dyDescent="0.2">
      <c r="A1278" s="81">
        <v>20018104</v>
      </c>
      <c r="B1278" s="80" t="s">
        <v>10919</v>
      </c>
      <c r="C1278" s="80" t="s">
        <v>6842</v>
      </c>
    </row>
    <row r="1279" spans="1:3" s="79" customFormat="1" ht="19.149999999999999" customHeight="1" x14ac:dyDescent="0.2">
      <c r="A1279" s="81">
        <v>20018105</v>
      </c>
      <c r="B1279" s="80" t="s">
        <v>1542</v>
      </c>
      <c r="C1279" s="80" t="s">
        <v>6843</v>
      </c>
    </row>
    <row r="1280" spans="1:3" s="79" customFormat="1" ht="19.149999999999999" customHeight="1" x14ac:dyDescent="0.2">
      <c r="A1280" s="81">
        <v>20018106</v>
      </c>
      <c r="B1280" s="80" t="s">
        <v>1543</v>
      </c>
      <c r="C1280" s="80" t="s">
        <v>6844</v>
      </c>
    </row>
    <row r="1281" spans="1:3" s="79" customFormat="1" ht="19.149999999999999" customHeight="1" x14ac:dyDescent="0.2">
      <c r="A1281" s="81">
        <v>20018113</v>
      </c>
      <c r="B1281" s="80" t="s">
        <v>1545</v>
      </c>
      <c r="C1281" s="80" t="s">
        <v>6845</v>
      </c>
    </row>
    <row r="1282" spans="1:3" s="79" customFormat="1" ht="19.149999999999999" customHeight="1" x14ac:dyDescent="0.2">
      <c r="A1282" s="81">
        <v>20018119</v>
      </c>
      <c r="B1282" s="80" t="s">
        <v>1546</v>
      </c>
      <c r="C1282" s="80" t="s">
        <v>6846</v>
      </c>
    </row>
    <row r="1283" spans="1:3" s="79" customFormat="1" ht="19.149999999999999" customHeight="1" x14ac:dyDescent="0.2">
      <c r="A1283" s="81">
        <v>20018144</v>
      </c>
      <c r="B1283" s="80" t="s">
        <v>1547</v>
      </c>
      <c r="C1283" s="82" t="s">
        <v>6847</v>
      </c>
    </row>
    <row r="1284" spans="1:3" s="79" customFormat="1" ht="59.1" customHeight="1" x14ac:dyDescent="0.2">
      <c r="A1284" s="81">
        <v>20018148</v>
      </c>
      <c r="B1284" s="80" t="s">
        <v>1548</v>
      </c>
      <c r="C1284" s="82" t="s">
        <v>10920</v>
      </c>
    </row>
    <row r="1285" spans="1:3" s="79" customFormat="1" ht="38.85" customHeight="1" x14ac:dyDescent="0.2">
      <c r="A1285" s="81">
        <v>20018152</v>
      </c>
      <c r="B1285" s="80" t="s">
        <v>1549</v>
      </c>
      <c r="C1285" s="82" t="s">
        <v>6848</v>
      </c>
    </row>
    <row r="1286" spans="1:3" s="79" customFormat="1" ht="28.7" customHeight="1" x14ac:dyDescent="0.2">
      <c r="A1286" s="81">
        <v>20018153</v>
      </c>
      <c r="B1286" s="80" t="s">
        <v>1550</v>
      </c>
      <c r="C1286" s="82" t="s">
        <v>6849</v>
      </c>
    </row>
    <row r="1287" spans="1:3" s="79" customFormat="1" ht="28.7" customHeight="1" x14ac:dyDescent="0.2">
      <c r="A1287" s="81">
        <v>20018154</v>
      </c>
      <c r="B1287" s="80" t="s">
        <v>1551</v>
      </c>
      <c r="C1287" s="82" t="s">
        <v>6850</v>
      </c>
    </row>
    <row r="1288" spans="1:3" s="79" customFormat="1" ht="28.7" customHeight="1" x14ac:dyDescent="0.2">
      <c r="A1288" s="81">
        <v>20018161</v>
      </c>
      <c r="B1288" s="80" t="s">
        <v>1552</v>
      </c>
      <c r="C1288" s="82" t="s">
        <v>6851</v>
      </c>
    </row>
    <row r="1289" spans="1:3" s="79" customFormat="1" ht="19.149999999999999" customHeight="1" x14ac:dyDescent="0.2">
      <c r="A1289" s="81">
        <v>20018162</v>
      </c>
      <c r="B1289" s="80" t="s">
        <v>1553</v>
      </c>
      <c r="C1289" s="80" t="s">
        <v>6852</v>
      </c>
    </row>
    <row r="1290" spans="1:3" s="79" customFormat="1" ht="19.149999999999999" customHeight="1" x14ac:dyDescent="0.2">
      <c r="A1290" s="81">
        <v>20018164</v>
      </c>
      <c r="B1290" s="80" t="s">
        <v>1554</v>
      </c>
      <c r="C1290" s="82" t="s">
        <v>6853</v>
      </c>
    </row>
    <row r="1291" spans="1:3" s="79" customFormat="1" ht="68.849999999999994" customHeight="1" x14ac:dyDescent="0.2">
      <c r="A1291" s="81">
        <v>20018166</v>
      </c>
      <c r="B1291" s="80" t="s">
        <v>1555</v>
      </c>
      <c r="C1291" s="82" t="s">
        <v>6854</v>
      </c>
    </row>
    <row r="1292" spans="1:3" s="79" customFormat="1" ht="28.7" customHeight="1" x14ac:dyDescent="0.2">
      <c r="A1292" s="81">
        <v>20018196</v>
      </c>
      <c r="B1292" s="80" t="s">
        <v>11599</v>
      </c>
      <c r="C1292" s="82" t="s">
        <v>6855</v>
      </c>
    </row>
    <row r="1293" spans="1:3" s="79" customFormat="1" ht="38.85" customHeight="1" x14ac:dyDescent="0.2">
      <c r="A1293" s="81">
        <v>20018197</v>
      </c>
      <c r="B1293" s="80" t="s">
        <v>11600</v>
      </c>
      <c r="C1293" s="82" t="s">
        <v>6856</v>
      </c>
    </row>
    <row r="1294" spans="1:3" s="79" customFormat="1" ht="38.85" customHeight="1" x14ac:dyDescent="0.2">
      <c r="A1294" s="81">
        <v>20018537</v>
      </c>
      <c r="B1294" s="80" t="s">
        <v>1556</v>
      </c>
      <c r="C1294" s="82" t="s">
        <v>6857</v>
      </c>
    </row>
    <row r="1295" spans="1:3" s="79" customFormat="1" ht="38.85" customHeight="1" x14ac:dyDescent="0.2">
      <c r="A1295" s="81">
        <v>20018555</v>
      </c>
      <c r="B1295" s="80" t="s">
        <v>1557</v>
      </c>
      <c r="C1295" s="80"/>
    </row>
    <row r="1296" spans="1:3" s="79" customFormat="1" ht="19.149999999999999" customHeight="1" x14ac:dyDescent="0.2">
      <c r="A1296" s="81">
        <v>20018653</v>
      </c>
      <c r="B1296" s="80" t="s">
        <v>1558</v>
      </c>
      <c r="C1296" s="80" t="s">
        <v>6858</v>
      </c>
    </row>
    <row r="1297" spans="1:3" s="79" customFormat="1" ht="19.149999999999999" customHeight="1" x14ac:dyDescent="0.2">
      <c r="A1297" s="81">
        <v>20018656</v>
      </c>
      <c r="B1297" s="80" t="s">
        <v>1559</v>
      </c>
      <c r="C1297" s="80" t="s">
        <v>6859</v>
      </c>
    </row>
    <row r="1298" spans="1:3" s="79" customFormat="1" ht="19.149999999999999" customHeight="1" x14ac:dyDescent="0.2">
      <c r="A1298" s="81">
        <v>20018853</v>
      </c>
      <c r="B1298" s="80" t="s">
        <v>1560</v>
      </c>
      <c r="C1298" s="82" t="s">
        <v>6860</v>
      </c>
    </row>
    <row r="1299" spans="1:3" s="79" customFormat="1" ht="49.15" customHeight="1" x14ac:dyDescent="0.2">
      <c r="A1299" s="81">
        <v>20018946</v>
      </c>
      <c r="B1299" s="80" t="s">
        <v>1561</v>
      </c>
      <c r="C1299" s="82" t="s">
        <v>6861</v>
      </c>
    </row>
    <row r="1300" spans="1:3" s="79" customFormat="1" ht="78.95" customHeight="1" x14ac:dyDescent="0.2">
      <c r="A1300" s="81">
        <v>20018975</v>
      </c>
      <c r="B1300" s="80" t="s">
        <v>11326</v>
      </c>
      <c r="C1300" s="82" t="s">
        <v>6862</v>
      </c>
    </row>
    <row r="1301" spans="1:3" s="79" customFormat="1" ht="78.95" customHeight="1" x14ac:dyDescent="0.2">
      <c r="A1301" s="81">
        <v>20018976</v>
      </c>
      <c r="B1301" s="80" t="s">
        <v>1562</v>
      </c>
      <c r="C1301" s="82" t="s">
        <v>11327</v>
      </c>
    </row>
    <row r="1302" spans="1:3" s="79" customFormat="1" ht="38.85" customHeight="1" x14ac:dyDescent="0.2">
      <c r="A1302" s="81">
        <v>20018977</v>
      </c>
      <c r="B1302" s="80" t="s">
        <v>1563</v>
      </c>
      <c r="C1302" s="82" t="s">
        <v>11328</v>
      </c>
    </row>
    <row r="1303" spans="1:3" s="79" customFormat="1" ht="38.85" customHeight="1" x14ac:dyDescent="0.2">
      <c r="A1303" s="81">
        <v>20018980</v>
      </c>
      <c r="B1303" s="80" t="s">
        <v>1564</v>
      </c>
      <c r="C1303" s="82" t="s">
        <v>6863</v>
      </c>
    </row>
    <row r="1304" spans="1:3" s="79" customFormat="1" ht="68.849999999999994" customHeight="1" x14ac:dyDescent="0.2">
      <c r="A1304" s="81">
        <v>20018984</v>
      </c>
      <c r="B1304" s="80" t="s">
        <v>11329</v>
      </c>
      <c r="C1304" s="80" t="s">
        <v>10950</v>
      </c>
    </row>
    <row r="1305" spans="1:3" s="79" customFormat="1" ht="19.149999999999999" customHeight="1" x14ac:dyDescent="0.2">
      <c r="A1305" s="81">
        <v>20018985</v>
      </c>
      <c r="B1305" s="80" t="s">
        <v>1565</v>
      </c>
      <c r="C1305" s="82" t="s">
        <v>6864</v>
      </c>
    </row>
    <row r="1306" spans="1:3" s="79" customFormat="1" ht="28.7" customHeight="1" x14ac:dyDescent="0.2">
      <c r="A1306" s="81">
        <v>20018986</v>
      </c>
      <c r="B1306" s="80" t="s">
        <v>1566</v>
      </c>
      <c r="C1306" s="82" t="s">
        <v>6865</v>
      </c>
    </row>
    <row r="1307" spans="1:3" s="79" customFormat="1" ht="28.7" customHeight="1" x14ac:dyDescent="0.2">
      <c r="A1307" s="81">
        <v>20018989</v>
      </c>
      <c r="B1307" s="80" t="s">
        <v>1567</v>
      </c>
      <c r="C1307" s="80" t="s">
        <v>6866</v>
      </c>
    </row>
    <row r="1308" spans="1:3" s="79" customFormat="1" ht="19.149999999999999" customHeight="1" x14ac:dyDescent="0.2">
      <c r="A1308" s="81">
        <v>20019026</v>
      </c>
      <c r="B1308" s="80" t="s">
        <v>1568</v>
      </c>
      <c r="C1308" s="80" t="s">
        <v>6867</v>
      </c>
    </row>
    <row r="1309" spans="1:3" s="79" customFormat="1" ht="19.149999999999999" customHeight="1" x14ac:dyDescent="0.2">
      <c r="A1309" s="81">
        <v>20019084</v>
      </c>
      <c r="B1309" s="80" t="s">
        <v>1569</v>
      </c>
      <c r="C1309" s="80" t="s">
        <v>6868</v>
      </c>
    </row>
    <row r="1310" spans="1:3" s="79" customFormat="1" ht="19.149999999999999" customHeight="1" x14ac:dyDescent="0.2">
      <c r="A1310" s="81">
        <v>20019085</v>
      </c>
      <c r="B1310" s="80" t="s">
        <v>1570</v>
      </c>
      <c r="C1310" s="80" t="s">
        <v>6869</v>
      </c>
    </row>
    <row r="1311" spans="1:3" s="79" customFormat="1" ht="19.149999999999999" customHeight="1" x14ac:dyDescent="0.2">
      <c r="A1311" s="81">
        <v>20019143</v>
      </c>
      <c r="B1311" s="80" t="s">
        <v>1571</v>
      </c>
      <c r="C1311" s="80" t="s">
        <v>6870</v>
      </c>
    </row>
    <row r="1312" spans="1:3" s="79" customFormat="1" ht="19.149999999999999" customHeight="1" x14ac:dyDescent="0.2">
      <c r="A1312" s="81">
        <v>20019144</v>
      </c>
      <c r="B1312" s="80" t="s">
        <v>1572</v>
      </c>
      <c r="C1312" s="82" t="s">
        <v>6871</v>
      </c>
    </row>
    <row r="1313" spans="1:3" s="79" customFormat="1" ht="38.85" customHeight="1" x14ac:dyDescent="0.2">
      <c r="A1313" s="81">
        <v>20019145</v>
      </c>
      <c r="B1313" s="80" t="s">
        <v>1573</v>
      </c>
      <c r="C1313" s="82" t="s">
        <v>6872</v>
      </c>
    </row>
    <row r="1314" spans="1:3" s="79" customFormat="1" ht="38.85" customHeight="1" x14ac:dyDescent="0.2">
      <c r="A1314" s="81">
        <v>20019146</v>
      </c>
      <c r="B1314" s="80" t="s">
        <v>1574</v>
      </c>
      <c r="C1314" s="82" t="s">
        <v>6873</v>
      </c>
    </row>
    <row r="1315" spans="1:3" s="79" customFormat="1" ht="38.85" customHeight="1" x14ac:dyDescent="0.2">
      <c r="A1315" s="81">
        <v>20019149</v>
      </c>
      <c r="B1315" s="80" t="s">
        <v>1575</v>
      </c>
      <c r="C1315" s="80" t="s">
        <v>6874</v>
      </c>
    </row>
    <row r="1316" spans="1:3" s="79" customFormat="1" ht="19.149999999999999" customHeight="1" x14ac:dyDescent="0.2">
      <c r="A1316" s="81">
        <v>20019150</v>
      </c>
      <c r="B1316" s="80" t="s">
        <v>1576</v>
      </c>
      <c r="C1316" s="82" t="s">
        <v>6875</v>
      </c>
    </row>
    <row r="1317" spans="1:3" s="79" customFormat="1" ht="19.149999999999999" customHeight="1" x14ac:dyDescent="0.2">
      <c r="A1317" s="81">
        <v>20019151</v>
      </c>
      <c r="B1317" s="80" t="s">
        <v>1577</v>
      </c>
      <c r="C1317" s="80" t="s">
        <v>6876</v>
      </c>
    </row>
    <row r="1318" spans="1:3" s="79" customFormat="1" ht="19.149999999999999" customHeight="1" x14ac:dyDescent="0.2">
      <c r="A1318" s="81">
        <v>20019167</v>
      </c>
      <c r="B1318" s="80" t="s">
        <v>1578</v>
      </c>
      <c r="C1318" s="80" t="s">
        <v>6877</v>
      </c>
    </row>
    <row r="1319" spans="1:3" s="79" customFormat="1" ht="19.149999999999999" customHeight="1" x14ac:dyDescent="0.2">
      <c r="A1319" s="81">
        <v>20019168</v>
      </c>
      <c r="B1319" s="80" t="s">
        <v>1579</v>
      </c>
      <c r="C1319" s="80" t="s">
        <v>6878</v>
      </c>
    </row>
    <row r="1320" spans="1:3" s="79" customFormat="1" ht="19.149999999999999" customHeight="1" x14ac:dyDescent="0.2">
      <c r="A1320" s="81">
        <v>20019169</v>
      </c>
      <c r="B1320" s="80" t="s">
        <v>1580</v>
      </c>
      <c r="C1320" s="80" t="s">
        <v>6879</v>
      </c>
    </row>
    <row r="1321" spans="1:3" s="79" customFormat="1" ht="19.149999999999999" customHeight="1" x14ac:dyDescent="0.2">
      <c r="A1321" s="81">
        <v>20019177</v>
      </c>
      <c r="B1321" s="80" t="s">
        <v>1581</v>
      </c>
      <c r="C1321" s="82" t="s">
        <v>6880</v>
      </c>
    </row>
    <row r="1322" spans="1:3" s="79" customFormat="1" ht="28.7" customHeight="1" x14ac:dyDescent="0.2">
      <c r="A1322" s="81">
        <v>20019179</v>
      </c>
      <c r="B1322" s="80" t="s">
        <v>1582</v>
      </c>
      <c r="C1322" s="82" t="s">
        <v>6881</v>
      </c>
    </row>
    <row r="1323" spans="1:3" s="79" customFormat="1" ht="49.15" customHeight="1" x14ac:dyDescent="0.2">
      <c r="A1323" s="81">
        <v>20019478</v>
      </c>
      <c r="B1323" s="80" t="s">
        <v>1583</v>
      </c>
      <c r="C1323" s="80" t="s">
        <v>6882</v>
      </c>
    </row>
    <row r="1324" spans="1:3" s="79" customFormat="1" ht="19.149999999999999" customHeight="1" x14ac:dyDescent="0.2">
      <c r="A1324" s="81">
        <v>20019481</v>
      </c>
      <c r="B1324" s="80" t="s">
        <v>1584</v>
      </c>
      <c r="C1324" s="80" t="s">
        <v>6883</v>
      </c>
    </row>
    <row r="1325" spans="1:3" s="79" customFormat="1" ht="19.149999999999999" customHeight="1" x14ac:dyDescent="0.2">
      <c r="A1325" s="81">
        <v>20019482</v>
      </c>
      <c r="B1325" s="80" t="s">
        <v>1585</v>
      </c>
      <c r="C1325" s="80" t="s">
        <v>6884</v>
      </c>
    </row>
    <row r="1326" spans="1:3" s="79" customFormat="1" ht="19.149999999999999" customHeight="1" x14ac:dyDescent="0.2">
      <c r="A1326" s="81">
        <v>20019483</v>
      </c>
      <c r="B1326" s="80" t="s">
        <v>1586</v>
      </c>
      <c r="C1326" s="80" t="s">
        <v>6885</v>
      </c>
    </row>
    <row r="1327" spans="1:3" s="79" customFormat="1" ht="19.149999999999999" customHeight="1" x14ac:dyDescent="0.2">
      <c r="A1327" s="81">
        <v>20019484</v>
      </c>
      <c r="B1327" s="80" t="s">
        <v>1587</v>
      </c>
      <c r="C1327" s="80" t="s">
        <v>6886</v>
      </c>
    </row>
    <row r="1328" spans="1:3" s="79" customFormat="1" ht="19.149999999999999" customHeight="1" x14ac:dyDescent="0.2">
      <c r="A1328" s="81">
        <v>20019485</v>
      </c>
      <c r="B1328" s="80" t="s">
        <v>1588</v>
      </c>
      <c r="C1328" s="80" t="s">
        <v>6887</v>
      </c>
    </row>
    <row r="1329" spans="1:3" s="79" customFormat="1" ht="19.149999999999999" customHeight="1" x14ac:dyDescent="0.2">
      <c r="A1329" s="81">
        <v>20019486</v>
      </c>
      <c r="B1329" s="80" t="s">
        <v>1589</v>
      </c>
      <c r="C1329" s="80" t="s">
        <v>6888</v>
      </c>
    </row>
    <row r="1330" spans="1:3" s="79" customFormat="1" ht="19.149999999999999" customHeight="1" x14ac:dyDescent="0.2">
      <c r="A1330" s="81">
        <v>20019487</v>
      </c>
      <c r="B1330" s="80" t="s">
        <v>1590</v>
      </c>
      <c r="C1330" s="80" t="s">
        <v>6889</v>
      </c>
    </row>
    <row r="1331" spans="1:3" s="79" customFormat="1" ht="19.149999999999999" customHeight="1" x14ac:dyDescent="0.2">
      <c r="A1331" s="81">
        <v>20019488</v>
      </c>
      <c r="B1331" s="80" t="s">
        <v>1591</v>
      </c>
      <c r="C1331" s="80" t="s">
        <v>6890</v>
      </c>
    </row>
    <row r="1332" spans="1:3" s="79" customFormat="1" ht="19.149999999999999" customHeight="1" x14ac:dyDescent="0.2">
      <c r="A1332" s="81">
        <v>20019489</v>
      </c>
      <c r="B1332" s="80" t="s">
        <v>1592</v>
      </c>
      <c r="C1332" s="80" t="s">
        <v>6891</v>
      </c>
    </row>
    <row r="1333" spans="1:3" s="79" customFormat="1" ht="19.149999999999999" customHeight="1" x14ac:dyDescent="0.2">
      <c r="A1333" s="81">
        <v>20019490</v>
      </c>
      <c r="B1333" s="80" t="s">
        <v>1593</v>
      </c>
      <c r="C1333" s="80" t="s">
        <v>6892</v>
      </c>
    </row>
    <row r="1334" spans="1:3" s="79" customFormat="1" ht="19.149999999999999" customHeight="1" x14ac:dyDescent="0.2">
      <c r="A1334" s="81">
        <v>20019491</v>
      </c>
      <c r="B1334" s="80" t="s">
        <v>1594</v>
      </c>
      <c r="C1334" s="80" t="s">
        <v>6893</v>
      </c>
    </row>
    <row r="1335" spans="1:3" s="79" customFormat="1" ht="19.149999999999999" customHeight="1" x14ac:dyDescent="0.2">
      <c r="A1335" s="81">
        <v>20019495</v>
      </c>
      <c r="B1335" s="80" t="s">
        <v>1595</v>
      </c>
      <c r="C1335" s="80" t="s">
        <v>6894</v>
      </c>
    </row>
    <row r="1336" spans="1:3" s="79" customFormat="1" ht="19.149999999999999" customHeight="1" x14ac:dyDescent="0.2">
      <c r="A1336" s="81">
        <v>20019504</v>
      </c>
      <c r="B1336" s="80" t="s">
        <v>1596</v>
      </c>
      <c r="C1336" s="82" t="s">
        <v>6895</v>
      </c>
    </row>
    <row r="1337" spans="1:3" s="79" customFormat="1" ht="49.15" customHeight="1" x14ac:dyDescent="0.2">
      <c r="A1337" s="81">
        <v>20019505</v>
      </c>
      <c r="B1337" s="80" t="s">
        <v>1597</v>
      </c>
      <c r="C1337" s="82" t="s">
        <v>6896</v>
      </c>
    </row>
    <row r="1338" spans="1:3" s="79" customFormat="1" ht="59.1" customHeight="1" x14ac:dyDescent="0.2">
      <c r="A1338" s="81">
        <v>20019507</v>
      </c>
      <c r="B1338" s="80" t="s">
        <v>1598</v>
      </c>
      <c r="C1338" s="82" t="s">
        <v>6897</v>
      </c>
    </row>
    <row r="1339" spans="1:3" s="79" customFormat="1" ht="49.15" customHeight="1" x14ac:dyDescent="0.2">
      <c r="A1339" s="81">
        <v>20019509</v>
      </c>
      <c r="B1339" s="80" t="s">
        <v>1599</v>
      </c>
      <c r="C1339" s="82" t="s">
        <v>6898</v>
      </c>
    </row>
    <row r="1340" spans="1:3" s="79" customFormat="1" ht="49.15" customHeight="1" x14ac:dyDescent="0.2">
      <c r="A1340" s="81">
        <v>20019510</v>
      </c>
      <c r="B1340" s="80" t="s">
        <v>1600</v>
      </c>
      <c r="C1340" s="82" t="s">
        <v>6899</v>
      </c>
    </row>
    <row r="1341" spans="1:3" s="79" customFormat="1" ht="59.1" customHeight="1" x14ac:dyDescent="0.2">
      <c r="A1341" s="81">
        <v>20019511</v>
      </c>
      <c r="B1341" s="80" t="s">
        <v>1601</v>
      </c>
      <c r="C1341" s="82" t="s">
        <v>6900</v>
      </c>
    </row>
    <row r="1342" spans="1:3" s="79" customFormat="1" ht="49.15" customHeight="1" x14ac:dyDescent="0.2">
      <c r="A1342" s="81">
        <v>20019513</v>
      </c>
      <c r="B1342" s="80" t="s">
        <v>1602</v>
      </c>
      <c r="C1342" s="82" t="s">
        <v>6901</v>
      </c>
    </row>
    <row r="1343" spans="1:3" s="79" customFormat="1" ht="59.1" customHeight="1" x14ac:dyDescent="0.2">
      <c r="A1343" s="81">
        <v>20019515</v>
      </c>
      <c r="B1343" s="80" t="s">
        <v>1603</v>
      </c>
      <c r="C1343" s="82" t="s">
        <v>6902</v>
      </c>
    </row>
    <row r="1344" spans="1:3" s="79" customFormat="1" ht="59.1" customHeight="1" x14ac:dyDescent="0.2">
      <c r="A1344" s="81">
        <v>20019516</v>
      </c>
      <c r="B1344" s="80" t="s">
        <v>1604</v>
      </c>
      <c r="C1344" s="82" t="s">
        <v>6903</v>
      </c>
    </row>
    <row r="1345" spans="1:3" s="79" customFormat="1" ht="49.15" customHeight="1" x14ac:dyDescent="0.2">
      <c r="A1345" s="81">
        <v>20019517</v>
      </c>
      <c r="B1345" s="80" t="s">
        <v>1605</v>
      </c>
      <c r="C1345" s="82" t="s">
        <v>6904</v>
      </c>
    </row>
    <row r="1346" spans="1:3" s="79" customFormat="1" ht="49.15" customHeight="1" x14ac:dyDescent="0.2">
      <c r="A1346" s="81">
        <v>20019518</v>
      </c>
      <c r="B1346" s="80" t="s">
        <v>1606</v>
      </c>
      <c r="C1346" s="82" t="s">
        <v>6905</v>
      </c>
    </row>
    <row r="1347" spans="1:3" s="79" customFormat="1" ht="68.849999999999994" customHeight="1" x14ac:dyDescent="0.2">
      <c r="A1347" s="81">
        <v>20019519</v>
      </c>
      <c r="B1347" s="80" t="s">
        <v>1607</v>
      </c>
      <c r="C1347" s="82" t="s">
        <v>6906</v>
      </c>
    </row>
    <row r="1348" spans="1:3" s="79" customFormat="1" ht="59.1" customHeight="1" x14ac:dyDescent="0.2">
      <c r="A1348" s="81">
        <v>20019520</v>
      </c>
      <c r="B1348" s="80" t="s">
        <v>1608</v>
      </c>
      <c r="C1348" s="80" t="s">
        <v>6907</v>
      </c>
    </row>
    <row r="1349" spans="1:3" s="79" customFormat="1" ht="19.149999999999999" customHeight="1" x14ac:dyDescent="0.2">
      <c r="A1349" s="81">
        <v>20019522</v>
      </c>
      <c r="B1349" s="80" t="s">
        <v>1609</v>
      </c>
      <c r="C1349" s="82" t="s">
        <v>6908</v>
      </c>
    </row>
    <row r="1350" spans="1:3" s="79" customFormat="1" ht="78.95" customHeight="1" x14ac:dyDescent="0.2">
      <c r="A1350" s="81">
        <v>20019528</v>
      </c>
      <c r="B1350" s="80" t="s">
        <v>1610</v>
      </c>
      <c r="C1350" s="80" t="s">
        <v>6909</v>
      </c>
    </row>
    <row r="1351" spans="1:3" s="79" customFormat="1" ht="19.149999999999999" customHeight="1" x14ac:dyDescent="0.2">
      <c r="A1351" s="81">
        <v>20019546</v>
      </c>
      <c r="B1351" s="80" t="s">
        <v>1611</v>
      </c>
      <c r="C1351" s="81" t="s">
        <v>6910</v>
      </c>
    </row>
    <row r="1352" spans="1:3" s="79" customFormat="1" ht="158.85" customHeight="1" x14ac:dyDescent="0.2">
      <c r="A1352" s="81">
        <v>20019547</v>
      </c>
      <c r="B1352" s="80" t="s">
        <v>1612</v>
      </c>
      <c r="C1352" s="81" t="s">
        <v>6911</v>
      </c>
    </row>
    <row r="1353" spans="1:3" s="79" customFormat="1" ht="158.85" customHeight="1" x14ac:dyDescent="0.2">
      <c r="A1353" s="81">
        <v>20019548</v>
      </c>
      <c r="B1353" s="80" t="s">
        <v>1613</v>
      </c>
      <c r="C1353" s="80" t="s">
        <v>6912</v>
      </c>
    </row>
    <row r="1354" spans="1:3" s="79" customFormat="1" ht="19.149999999999999" customHeight="1" x14ac:dyDescent="0.2">
      <c r="A1354" s="81">
        <v>20019549</v>
      </c>
      <c r="B1354" s="80" t="s">
        <v>1614</v>
      </c>
      <c r="C1354" s="80" t="s">
        <v>6913</v>
      </c>
    </row>
    <row r="1355" spans="1:3" s="79" customFormat="1" ht="19.149999999999999" customHeight="1" x14ac:dyDescent="0.2">
      <c r="A1355" s="81">
        <v>20019550</v>
      </c>
      <c r="B1355" s="80" t="s">
        <v>1615</v>
      </c>
      <c r="C1355" s="80" t="s">
        <v>6914</v>
      </c>
    </row>
    <row r="1356" spans="1:3" s="79" customFormat="1" ht="19.149999999999999" customHeight="1" x14ac:dyDescent="0.2">
      <c r="A1356" s="81">
        <v>20019552</v>
      </c>
      <c r="B1356" s="80" t="s">
        <v>1616</v>
      </c>
      <c r="C1356" s="82" t="s">
        <v>6915</v>
      </c>
    </row>
    <row r="1357" spans="1:3" s="79" customFormat="1" ht="28.7" customHeight="1" x14ac:dyDescent="0.2">
      <c r="A1357" s="81">
        <v>20019553</v>
      </c>
      <c r="B1357" s="80" t="s">
        <v>1617</v>
      </c>
      <c r="C1357" s="82" t="s">
        <v>6916</v>
      </c>
    </row>
    <row r="1358" spans="1:3" s="79" customFormat="1" ht="78.95" customHeight="1" x14ac:dyDescent="0.2">
      <c r="A1358" s="81">
        <v>20019554</v>
      </c>
      <c r="B1358" s="80" t="s">
        <v>1618</v>
      </c>
      <c r="C1358" s="82" t="s">
        <v>11421</v>
      </c>
    </row>
    <row r="1359" spans="1:3" s="79" customFormat="1" ht="59.1" customHeight="1" x14ac:dyDescent="0.2">
      <c r="A1359" s="81">
        <v>20019555</v>
      </c>
      <c r="B1359" s="80" t="s">
        <v>1619</v>
      </c>
      <c r="C1359" s="82" t="s">
        <v>11422</v>
      </c>
    </row>
    <row r="1360" spans="1:3" s="79" customFormat="1" ht="59.1" customHeight="1" x14ac:dyDescent="0.2">
      <c r="A1360" s="81">
        <v>20019556</v>
      </c>
      <c r="B1360" s="80" t="s">
        <v>1620</v>
      </c>
      <c r="C1360" s="82" t="s">
        <v>11423</v>
      </c>
    </row>
    <row r="1361" spans="1:3" s="79" customFormat="1" ht="59.1" customHeight="1" x14ac:dyDescent="0.2">
      <c r="A1361" s="81">
        <v>20019558</v>
      </c>
      <c r="B1361" s="80" t="s">
        <v>1621</v>
      </c>
      <c r="C1361" s="81" t="s">
        <v>6917</v>
      </c>
    </row>
    <row r="1362" spans="1:3" s="79" customFormat="1" ht="139.15" customHeight="1" x14ac:dyDescent="0.2">
      <c r="A1362" s="81">
        <v>20019614</v>
      </c>
      <c r="B1362" s="80" t="s">
        <v>1622</v>
      </c>
      <c r="C1362" s="80" t="s">
        <v>6918</v>
      </c>
    </row>
    <row r="1363" spans="1:3" s="79" customFormat="1" ht="19.149999999999999" customHeight="1" x14ac:dyDescent="0.2">
      <c r="A1363" s="81">
        <v>20019625</v>
      </c>
      <c r="B1363" s="80" t="s">
        <v>1623</v>
      </c>
      <c r="C1363" s="80" t="s">
        <v>6919</v>
      </c>
    </row>
    <row r="1364" spans="1:3" s="79" customFormat="1" ht="19.149999999999999" customHeight="1" x14ac:dyDescent="0.2">
      <c r="A1364" s="81">
        <v>20019626</v>
      </c>
      <c r="B1364" s="80" t="s">
        <v>1624</v>
      </c>
      <c r="C1364" s="80" t="s">
        <v>6920</v>
      </c>
    </row>
    <row r="1365" spans="1:3" s="79" customFormat="1" ht="19.149999999999999" customHeight="1" x14ac:dyDescent="0.2">
      <c r="A1365" s="81">
        <v>20019628</v>
      </c>
      <c r="B1365" s="80" t="s">
        <v>1625</v>
      </c>
      <c r="C1365" s="80" t="s">
        <v>6921</v>
      </c>
    </row>
    <row r="1366" spans="1:3" s="79" customFormat="1" ht="19.149999999999999" customHeight="1" x14ac:dyDescent="0.2">
      <c r="A1366" s="81">
        <v>20019629</v>
      </c>
      <c r="B1366" s="80" t="s">
        <v>1626</v>
      </c>
      <c r="C1366" s="80" t="s">
        <v>6922</v>
      </c>
    </row>
    <row r="1367" spans="1:3" s="79" customFormat="1" ht="19.149999999999999" customHeight="1" x14ac:dyDescent="0.2">
      <c r="A1367" s="81">
        <v>20019630</v>
      </c>
      <c r="B1367" s="80" t="s">
        <v>1627</v>
      </c>
      <c r="C1367" s="80" t="s">
        <v>6923</v>
      </c>
    </row>
    <row r="1368" spans="1:3" s="79" customFormat="1" ht="19.149999999999999" customHeight="1" x14ac:dyDescent="0.2">
      <c r="A1368" s="81">
        <v>20019631</v>
      </c>
      <c r="B1368" s="80" t="s">
        <v>1628</v>
      </c>
      <c r="C1368" s="80" t="s">
        <v>6924</v>
      </c>
    </row>
    <row r="1369" spans="1:3" s="79" customFormat="1" ht="19.149999999999999" customHeight="1" x14ac:dyDescent="0.2">
      <c r="A1369" s="81">
        <v>20019633</v>
      </c>
      <c r="B1369" s="80" t="s">
        <v>1629</v>
      </c>
      <c r="C1369" s="82" t="s">
        <v>6925</v>
      </c>
    </row>
    <row r="1370" spans="1:3" s="79" customFormat="1" ht="38.85" customHeight="1" x14ac:dyDescent="0.2">
      <c r="A1370" s="81">
        <v>20019638</v>
      </c>
      <c r="B1370" s="80" t="s">
        <v>1630</v>
      </c>
      <c r="C1370" s="80" t="s">
        <v>6926</v>
      </c>
    </row>
    <row r="1371" spans="1:3" s="79" customFormat="1" ht="19.149999999999999" customHeight="1" x14ac:dyDescent="0.2">
      <c r="A1371" s="81">
        <v>20019643</v>
      </c>
      <c r="B1371" s="80" t="s">
        <v>1631</v>
      </c>
      <c r="C1371" s="80" t="s">
        <v>6927</v>
      </c>
    </row>
    <row r="1372" spans="1:3" s="79" customFormat="1" ht="19.149999999999999" customHeight="1" x14ac:dyDescent="0.2">
      <c r="A1372" s="81">
        <v>20019644</v>
      </c>
      <c r="B1372" s="80" t="s">
        <v>1632</v>
      </c>
      <c r="C1372" s="80" t="s">
        <v>219</v>
      </c>
    </row>
    <row r="1373" spans="1:3" s="79" customFormat="1" ht="19.149999999999999" customHeight="1" x14ac:dyDescent="0.2">
      <c r="A1373" s="81">
        <v>20019711</v>
      </c>
      <c r="B1373" s="80" t="s">
        <v>1633</v>
      </c>
      <c r="C1373" s="82" t="s">
        <v>6928</v>
      </c>
    </row>
    <row r="1374" spans="1:3" s="79" customFormat="1" ht="118.9" customHeight="1" x14ac:dyDescent="0.2">
      <c r="A1374" s="81">
        <v>20019712</v>
      </c>
      <c r="B1374" s="80" t="s">
        <v>1634</v>
      </c>
      <c r="C1374" s="82" t="s">
        <v>6929</v>
      </c>
    </row>
    <row r="1375" spans="1:3" s="79" customFormat="1" ht="109.35" customHeight="1" x14ac:dyDescent="0.2">
      <c r="A1375" s="81">
        <v>20019792</v>
      </c>
      <c r="B1375" s="80" t="s">
        <v>1635</v>
      </c>
      <c r="C1375" s="80" t="s">
        <v>6930</v>
      </c>
    </row>
    <row r="1376" spans="1:3" s="79" customFormat="1" ht="19.149999999999999" customHeight="1" x14ac:dyDescent="0.2">
      <c r="A1376" s="81">
        <v>20019883</v>
      </c>
      <c r="B1376" s="80" t="s">
        <v>1636</v>
      </c>
      <c r="C1376" s="80" t="s">
        <v>6931</v>
      </c>
    </row>
    <row r="1377" spans="1:3" s="79" customFormat="1" ht="19.149999999999999" customHeight="1" x14ac:dyDescent="0.2">
      <c r="A1377" s="81">
        <v>20019885</v>
      </c>
      <c r="B1377" s="80" t="s">
        <v>1637</v>
      </c>
      <c r="C1377" s="80" t="s">
        <v>6932</v>
      </c>
    </row>
    <row r="1378" spans="1:3" s="79" customFormat="1" ht="19.149999999999999" customHeight="1" x14ac:dyDescent="0.2">
      <c r="A1378" s="81">
        <v>20019886</v>
      </c>
      <c r="B1378" s="80" t="s">
        <v>1638</v>
      </c>
      <c r="C1378" s="80" t="s">
        <v>6933</v>
      </c>
    </row>
    <row r="1379" spans="1:3" s="79" customFormat="1" ht="19.149999999999999" customHeight="1" x14ac:dyDescent="0.2">
      <c r="A1379" s="81">
        <v>20019887</v>
      </c>
      <c r="B1379" s="80" t="s">
        <v>1639</v>
      </c>
      <c r="C1379" s="80" t="s">
        <v>6934</v>
      </c>
    </row>
    <row r="1380" spans="1:3" s="79" customFormat="1" ht="19.149999999999999" customHeight="1" x14ac:dyDescent="0.2">
      <c r="A1380" s="81">
        <v>20019888</v>
      </c>
      <c r="B1380" s="80" t="s">
        <v>1640</v>
      </c>
      <c r="C1380" s="80" t="s">
        <v>6935</v>
      </c>
    </row>
    <row r="1381" spans="1:3" s="79" customFormat="1" ht="19.149999999999999" customHeight="1" x14ac:dyDescent="0.2">
      <c r="A1381" s="81">
        <v>20019889</v>
      </c>
      <c r="B1381" s="80" t="s">
        <v>1641</v>
      </c>
      <c r="C1381" s="80" t="s">
        <v>6936</v>
      </c>
    </row>
    <row r="1382" spans="1:3" s="79" customFormat="1" ht="19.149999999999999" customHeight="1" x14ac:dyDescent="0.2">
      <c r="A1382" s="81">
        <v>20019890</v>
      </c>
      <c r="B1382" s="80" t="s">
        <v>1642</v>
      </c>
      <c r="C1382" s="80" t="s">
        <v>6937</v>
      </c>
    </row>
    <row r="1383" spans="1:3" s="79" customFormat="1" ht="19.149999999999999" customHeight="1" x14ac:dyDescent="0.2">
      <c r="A1383" s="81">
        <v>20019893</v>
      </c>
      <c r="B1383" s="80" t="s">
        <v>1643</v>
      </c>
      <c r="C1383" s="80" t="s">
        <v>6938</v>
      </c>
    </row>
    <row r="1384" spans="1:3" s="79" customFormat="1" ht="19.149999999999999" customHeight="1" x14ac:dyDescent="0.2">
      <c r="A1384" s="81">
        <v>20019895</v>
      </c>
      <c r="B1384" s="80" t="s">
        <v>1644</v>
      </c>
      <c r="C1384" s="80" t="s">
        <v>6939</v>
      </c>
    </row>
    <row r="1385" spans="1:3" s="79" customFormat="1" ht="19.149999999999999" customHeight="1" x14ac:dyDescent="0.2">
      <c r="A1385" s="81">
        <v>20019897</v>
      </c>
      <c r="B1385" s="80" t="s">
        <v>1645</v>
      </c>
      <c r="C1385" s="80" t="s">
        <v>6940</v>
      </c>
    </row>
    <row r="1386" spans="1:3" s="79" customFormat="1" ht="19.149999999999999" customHeight="1" x14ac:dyDescent="0.2">
      <c r="A1386" s="81">
        <v>20019898</v>
      </c>
      <c r="B1386" s="80" t="s">
        <v>1646</v>
      </c>
      <c r="C1386" s="80" t="s">
        <v>6941</v>
      </c>
    </row>
    <row r="1387" spans="1:3" s="79" customFormat="1" ht="19.149999999999999" customHeight="1" x14ac:dyDescent="0.2">
      <c r="A1387" s="81">
        <v>20019899</v>
      </c>
      <c r="B1387" s="80" t="s">
        <v>1647</v>
      </c>
      <c r="C1387" s="80" t="s">
        <v>6942</v>
      </c>
    </row>
    <row r="1388" spans="1:3" s="79" customFormat="1" ht="19.149999999999999" customHeight="1" x14ac:dyDescent="0.2">
      <c r="A1388" s="81">
        <v>20019900</v>
      </c>
      <c r="B1388" s="80" t="s">
        <v>1648</v>
      </c>
      <c r="C1388" s="80" t="s">
        <v>6943</v>
      </c>
    </row>
    <row r="1389" spans="1:3" s="79" customFormat="1" ht="19.149999999999999" customHeight="1" x14ac:dyDescent="0.2">
      <c r="A1389" s="81">
        <v>20019901</v>
      </c>
      <c r="B1389" s="80" t="s">
        <v>1649</v>
      </c>
      <c r="C1389" s="80" t="s">
        <v>6944</v>
      </c>
    </row>
    <row r="1390" spans="1:3" s="79" customFormat="1" ht="19.149999999999999" customHeight="1" x14ac:dyDescent="0.2">
      <c r="A1390" s="81">
        <v>20019902</v>
      </c>
      <c r="B1390" s="80" t="s">
        <v>1650</v>
      </c>
      <c r="C1390" s="80" t="s">
        <v>6945</v>
      </c>
    </row>
    <row r="1391" spans="1:3" s="79" customFormat="1" ht="19.149999999999999" customHeight="1" x14ac:dyDescent="0.2">
      <c r="A1391" s="81">
        <v>20019903</v>
      </c>
      <c r="B1391" s="80" t="s">
        <v>1651</v>
      </c>
      <c r="C1391" s="80" t="s">
        <v>6946</v>
      </c>
    </row>
    <row r="1392" spans="1:3" s="79" customFormat="1" ht="19.149999999999999" customHeight="1" x14ac:dyDescent="0.2">
      <c r="A1392" s="81">
        <v>20019906</v>
      </c>
      <c r="B1392" s="80" t="s">
        <v>1652</v>
      </c>
      <c r="C1392" s="80" t="s">
        <v>6947</v>
      </c>
    </row>
    <row r="1393" spans="1:3" s="79" customFormat="1" ht="19.149999999999999" customHeight="1" x14ac:dyDescent="0.2">
      <c r="A1393" s="81">
        <v>20019907</v>
      </c>
      <c r="B1393" s="80" t="s">
        <v>1653</v>
      </c>
      <c r="C1393" s="80" t="s">
        <v>6948</v>
      </c>
    </row>
    <row r="1394" spans="1:3" s="79" customFormat="1" ht="19.149999999999999" customHeight="1" x14ac:dyDescent="0.2">
      <c r="A1394" s="81">
        <v>20019909</v>
      </c>
      <c r="B1394" s="80" t="s">
        <v>1654</v>
      </c>
      <c r="C1394" s="80" t="s">
        <v>6949</v>
      </c>
    </row>
    <row r="1395" spans="1:3" s="79" customFormat="1" ht="19.149999999999999" customHeight="1" x14ac:dyDescent="0.2">
      <c r="A1395" s="81">
        <v>20019946</v>
      </c>
      <c r="B1395" s="80" t="s">
        <v>1655</v>
      </c>
      <c r="C1395" s="82" t="s">
        <v>6950</v>
      </c>
    </row>
    <row r="1396" spans="1:3" s="79" customFormat="1" ht="68.849999999999994" customHeight="1" x14ac:dyDescent="0.2">
      <c r="A1396" s="81">
        <v>20020033</v>
      </c>
      <c r="B1396" s="80" t="s">
        <v>11022</v>
      </c>
      <c r="C1396" s="82" t="s">
        <v>6951</v>
      </c>
    </row>
    <row r="1397" spans="1:3" s="79" customFormat="1" ht="49.15" customHeight="1" x14ac:dyDescent="0.2">
      <c r="A1397" s="81">
        <v>20020034</v>
      </c>
      <c r="B1397" s="80" t="s">
        <v>10951</v>
      </c>
      <c r="C1397" s="82" t="s">
        <v>6952</v>
      </c>
    </row>
    <row r="1398" spans="1:3" s="79" customFormat="1" ht="28.7" customHeight="1" x14ac:dyDescent="0.2">
      <c r="A1398" s="81">
        <v>20020035</v>
      </c>
      <c r="B1398" s="80" t="s">
        <v>1656</v>
      </c>
      <c r="C1398" s="80" t="s">
        <v>6953</v>
      </c>
    </row>
    <row r="1399" spans="1:3" s="79" customFormat="1" ht="19.149999999999999" customHeight="1" x14ac:dyDescent="0.2">
      <c r="A1399" s="81">
        <v>20020036</v>
      </c>
      <c r="B1399" s="80" t="s">
        <v>11510</v>
      </c>
      <c r="C1399" s="80" t="s">
        <v>6954</v>
      </c>
    </row>
    <row r="1400" spans="1:3" s="79" customFormat="1" ht="19.149999999999999" customHeight="1" x14ac:dyDescent="0.2">
      <c r="A1400" s="81">
        <v>20020037</v>
      </c>
      <c r="B1400" s="80" t="s">
        <v>11023</v>
      </c>
      <c r="C1400" s="82" t="s">
        <v>6955</v>
      </c>
    </row>
    <row r="1401" spans="1:3" s="79" customFormat="1" ht="89.1" customHeight="1" x14ac:dyDescent="0.2">
      <c r="A1401" s="81">
        <v>20020038</v>
      </c>
      <c r="B1401" s="80" t="s">
        <v>1657</v>
      </c>
      <c r="C1401" s="82" t="s">
        <v>6956</v>
      </c>
    </row>
    <row r="1402" spans="1:3" s="79" customFormat="1" ht="89.1" customHeight="1" x14ac:dyDescent="0.2">
      <c r="A1402" s="81">
        <v>20020042</v>
      </c>
      <c r="B1402" s="80" t="s">
        <v>1658</v>
      </c>
      <c r="C1402" s="82" t="s">
        <v>6957</v>
      </c>
    </row>
    <row r="1403" spans="1:3" s="79" customFormat="1" ht="109.35" customHeight="1" x14ac:dyDescent="0.2">
      <c r="A1403" s="81">
        <v>20020048</v>
      </c>
      <c r="B1403" s="80" t="s">
        <v>1659</v>
      </c>
      <c r="C1403" s="82" t="s">
        <v>6958</v>
      </c>
    </row>
    <row r="1404" spans="1:3" s="79" customFormat="1" ht="118.9" customHeight="1" x14ac:dyDescent="0.2">
      <c r="A1404" s="81">
        <v>20020065</v>
      </c>
      <c r="B1404" s="80" t="s">
        <v>1661</v>
      </c>
      <c r="C1404" s="80" t="s">
        <v>6959</v>
      </c>
    </row>
    <row r="1405" spans="1:3" s="79" customFormat="1" ht="19.149999999999999" customHeight="1" x14ac:dyDescent="0.2">
      <c r="A1405" s="81">
        <v>20020069</v>
      </c>
      <c r="B1405" s="80" t="s">
        <v>1662</v>
      </c>
      <c r="C1405" s="80" t="s">
        <v>6960</v>
      </c>
    </row>
    <row r="1406" spans="1:3" s="79" customFormat="1" ht="19.149999999999999" customHeight="1" x14ac:dyDescent="0.2">
      <c r="A1406" s="81">
        <v>20020070</v>
      </c>
      <c r="B1406" s="80" t="s">
        <v>1663</v>
      </c>
      <c r="C1406" s="82" t="s">
        <v>6961</v>
      </c>
    </row>
    <row r="1407" spans="1:3" s="79" customFormat="1" ht="129" customHeight="1" x14ac:dyDescent="0.2">
      <c r="A1407" s="81">
        <v>20020074</v>
      </c>
      <c r="B1407" s="80" t="s">
        <v>1664</v>
      </c>
      <c r="C1407" s="82" t="s">
        <v>6962</v>
      </c>
    </row>
    <row r="1408" spans="1:3" s="79" customFormat="1" ht="109.35" customHeight="1" x14ac:dyDescent="0.2">
      <c r="A1408" s="81">
        <v>20020153</v>
      </c>
      <c r="B1408" s="80" t="s">
        <v>1667</v>
      </c>
      <c r="C1408" s="81" t="s">
        <v>6963</v>
      </c>
    </row>
    <row r="1409" spans="1:3" s="79" customFormat="1" ht="149.25" customHeight="1" x14ac:dyDescent="0.2">
      <c r="A1409" s="81">
        <v>20020154</v>
      </c>
      <c r="B1409" s="80" t="s">
        <v>1668</v>
      </c>
      <c r="C1409" s="81" t="s">
        <v>6964</v>
      </c>
    </row>
    <row r="1410" spans="1:3" s="79" customFormat="1" ht="139.15" customHeight="1" x14ac:dyDescent="0.2">
      <c r="A1410" s="81">
        <v>20020195</v>
      </c>
      <c r="B1410" s="80" t="s">
        <v>1669</v>
      </c>
      <c r="C1410" s="82" t="s">
        <v>6965</v>
      </c>
    </row>
    <row r="1411" spans="1:3" s="79" customFormat="1" ht="38.85" customHeight="1" x14ac:dyDescent="0.2">
      <c r="A1411" s="81">
        <v>20020196</v>
      </c>
      <c r="B1411" s="80" t="s">
        <v>1670</v>
      </c>
      <c r="C1411" s="82" t="s">
        <v>6966</v>
      </c>
    </row>
    <row r="1412" spans="1:3" s="79" customFormat="1" ht="38.85" customHeight="1" x14ac:dyDescent="0.2">
      <c r="A1412" s="81">
        <v>20020199</v>
      </c>
      <c r="B1412" s="80" t="s">
        <v>1671</v>
      </c>
      <c r="C1412" s="82" t="s">
        <v>6967</v>
      </c>
    </row>
    <row r="1413" spans="1:3" s="79" customFormat="1" ht="38.85" customHeight="1" x14ac:dyDescent="0.2">
      <c r="A1413" s="81">
        <v>20020200</v>
      </c>
      <c r="B1413" s="80" t="s">
        <v>1672</v>
      </c>
      <c r="C1413" s="82" t="s">
        <v>6968</v>
      </c>
    </row>
    <row r="1414" spans="1:3" s="79" customFormat="1" ht="38.85" customHeight="1" x14ac:dyDescent="0.2">
      <c r="A1414" s="81">
        <v>20020201</v>
      </c>
      <c r="B1414" s="80" t="s">
        <v>1673</v>
      </c>
      <c r="C1414" s="82" t="s">
        <v>6969</v>
      </c>
    </row>
    <row r="1415" spans="1:3" s="79" customFormat="1" ht="38.85" customHeight="1" x14ac:dyDescent="0.2">
      <c r="A1415" s="81">
        <v>20020239</v>
      </c>
      <c r="B1415" s="80" t="s">
        <v>1674</v>
      </c>
      <c r="C1415" s="82" t="s">
        <v>6970</v>
      </c>
    </row>
    <row r="1416" spans="1:3" s="79" customFormat="1" ht="38.85" customHeight="1" x14ac:dyDescent="0.2">
      <c r="A1416" s="81">
        <v>20020272</v>
      </c>
      <c r="B1416" s="80" t="s">
        <v>1675</v>
      </c>
      <c r="C1416" s="80" t="s">
        <v>6971</v>
      </c>
    </row>
    <row r="1417" spans="1:3" s="79" customFormat="1" ht="19.149999999999999" customHeight="1" x14ac:dyDescent="0.2">
      <c r="A1417" s="81">
        <v>20020273</v>
      </c>
      <c r="B1417" s="80" t="s">
        <v>1676</v>
      </c>
      <c r="C1417" s="80" t="s">
        <v>6972</v>
      </c>
    </row>
    <row r="1418" spans="1:3" s="79" customFormat="1" ht="19.149999999999999" customHeight="1" x14ac:dyDescent="0.2">
      <c r="A1418" s="81">
        <v>20020398</v>
      </c>
      <c r="B1418" s="80" t="s">
        <v>1677</v>
      </c>
      <c r="C1418" s="82" t="s">
        <v>6973</v>
      </c>
    </row>
    <row r="1419" spans="1:3" s="79" customFormat="1" ht="28.7" customHeight="1" x14ac:dyDescent="0.2">
      <c r="A1419" s="81">
        <v>20020450</v>
      </c>
      <c r="B1419" s="80" t="s">
        <v>1678</v>
      </c>
      <c r="C1419" s="82" t="s">
        <v>6974</v>
      </c>
    </row>
    <row r="1420" spans="1:3" s="79" customFormat="1" ht="68.849999999999994" customHeight="1" x14ac:dyDescent="0.2">
      <c r="A1420" s="81">
        <v>20020451</v>
      </c>
      <c r="B1420" s="80" t="s">
        <v>1679</v>
      </c>
      <c r="C1420" s="82" t="s">
        <v>6975</v>
      </c>
    </row>
    <row r="1421" spans="1:3" s="79" customFormat="1" ht="59.1" customHeight="1" x14ac:dyDescent="0.2">
      <c r="A1421" s="81">
        <v>20020452</v>
      </c>
      <c r="B1421" s="80" t="s">
        <v>1680</v>
      </c>
      <c r="C1421" s="82" t="s">
        <v>6976</v>
      </c>
    </row>
    <row r="1422" spans="1:3" s="79" customFormat="1" ht="59.1" customHeight="1" x14ac:dyDescent="0.2">
      <c r="A1422" s="81">
        <v>20020460</v>
      </c>
      <c r="B1422" s="80" t="s">
        <v>1681</v>
      </c>
      <c r="C1422" s="82" t="s">
        <v>6977</v>
      </c>
    </row>
    <row r="1423" spans="1:3" s="79" customFormat="1" ht="59.1" customHeight="1" x14ac:dyDescent="0.2">
      <c r="A1423" s="81">
        <v>20020461</v>
      </c>
      <c r="B1423" s="80" t="s">
        <v>1682</v>
      </c>
      <c r="C1423" s="82" t="s">
        <v>6978</v>
      </c>
    </row>
    <row r="1424" spans="1:3" s="79" customFormat="1" ht="59.1" customHeight="1" x14ac:dyDescent="0.2">
      <c r="A1424" s="81">
        <v>20020465</v>
      </c>
      <c r="B1424" s="80" t="s">
        <v>1683</v>
      </c>
      <c r="C1424" s="82" t="s">
        <v>6979</v>
      </c>
    </row>
    <row r="1425" spans="1:3" s="79" customFormat="1" ht="38.85" customHeight="1" x14ac:dyDescent="0.2">
      <c r="A1425" s="81">
        <v>20020466</v>
      </c>
      <c r="B1425" s="80" t="s">
        <v>1684</v>
      </c>
      <c r="C1425" s="82" t="s">
        <v>6980</v>
      </c>
    </row>
    <row r="1426" spans="1:3" s="79" customFormat="1" ht="28.7" customHeight="1" x14ac:dyDescent="0.2">
      <c r="A1426" s="81">
        <v>20020468</v>
      </c>
      <c r="B1426" s="80" t="s">
        <v>1685</v>
      </c>
      <c r="C1426" s="82" t="s">
        <v>6981</v>
      </c>
    </row>
    <row r="1427" spans="1:3" s="79" customFormat="1" ht="19.149999999999999" customHeight="1" x14ac:dyDescent="0.2">
      <c r="A1427" s="81">
        <v>20020533</v>
      </c>
      <c r="B1427" s="80" t="s">
        <v>1686</v>
      </c>
      <c r="C1427" s="82" t="s">
        <v>6982</v>
      </c>
    </row>
    <row r="1428" spans="1:3" s="79" customFormat="1" ht="19.149999999999999" customHeight="1" x14ac:dyDescent="0.2">
      <c r="A1428" s="81">
        <v>20020534</v>
      </c>
      <c r="B1428" s="80" t="s">
        <v>1687</v>
      </c>
      <c r="C1428" s="82" t="s">
        <v>6983</v>
      </c>
    </row>
    <row r="1429" spans="1:3" s="79" customFormat="1" ht="19.149999999999999" customHeight="1" x14ac:dyDescent="0.2">
      <c r="A1429" s="81">
        <v>20020535</v>
      </c>
      <c r="B1429" s="80" t="s">
        <v>1688</v>
      </c>
      <c r="C1429" s="82" t="s">
        <v>6984</v>
      </c>
    </row>
    <row r="1430" spans="1:3" s="79" customFormat="1" ht="19.149999999999999" customHeight="1" x14ac:dyDescent="0.2">
      <c r="A1430" s="81">
        <v>20020536</v>
      </c>
      <c r="B1430" s="80" t="s">
        <v>1689</v>
      </c>
      <c r="C1430" s="82" t="s">
        <v>6985</v>
      </c>
    </row>
    <row r="1431" spans="1:3" s="79" customFormat="1" ht="19.149999999999999" customHeight="1" x14ac:dyDescent="0.2">
      <c r="A1431" s="81">
        <v>20020606</v>
      </c>
      <c r="B1431" s="80" t="s">
        <v>1690</v>
      </c>
      <c r="C1431" s="82" t="s">
        <v>6986</v>
      </c>
    </row>
    <row r="1432" spans="1:3" s="79" customFormat="1" ht="38.85" customHeight="1" x14ac:dyDescent="0.2">
      <c r="A1432" s="81">
        <v>20020621</v>
      </c>
      <c r="B1432" s="80" t="s">
        <v>1691</v>
      </c>
      <c r="C1432" s="82" t="s">
        <v>6987</v>
      </c>
    </row>
    <row r="1433" spans="1:3" s="79" customFormat="1" ht="49.15" customHeight="1" x14ac:dyDescent="0.2">
      <c r="A1433" s="81">
        <v>20020659</v>
      </c>
      <c r="B1433" s="80" t="s">
        <v>1692</v>
      </c>
      <c r="C1433" s="82" t="s">
        <v>6988</v>
      </c>
    </row>
    <row r="1434" spans="1:3" s="79" customFormat="1" ht="49.15" customHeight="1" x14ac:dyDescent="0.2">
      <c r="A1434" s="81">
        <v>20020713</v>
      </c>
      <c r="B1434" s="80" t="s">
        <v>1693</v>
      </c>
      <c r="C1434" s="82" t="s">
        <v>6989</v>
      </c>
    </row>
    <row r="1435" spans="1:3" s="79" customFormat="1" ht="38.85" customHeight="1" x14ac:dyDescent="0.2">
      <c r="A1435" s="81">
        <v>20020717</v>
      </c>
      <c r="B1435" s="80" t="s">
        <v>1694</v>
      </c>
      <c r="C1435" s="82" t="s">
        <v>6990</v>
      </c>
    </row>
    <row r="1436" spans="1:3" s="79" customFormat="1" ht="38.85" customHeight="1" x14ac:dyDescent="0.2">
      <c r="A1436" s="81">
        <v>20020721</v>
      </c>
      <c r="B1436" s="80" t="s">
        <v>1695</v>
      </c>
      <c r="C1436" s="82" t="s">
        <v>6991</v>
      </c>
    </row>
    <row r="1437" spans="1:3" s="79" customFormat="1" ht="38.85" customHeight="1" x14ac:dyDescent="0.2">
      <c r="A1437" s="81">
        <v>20020722</v>
      </c>
      <c r="B1437" s="80" t="s">
        <v>1696</v>
      </c>
      <c r="C1437" s="82" t="s">
        <v>6992</v>
      </c>
    </row>
    <row r="1438" spans="1:3" s="79" customFormat="1" ht="38.85" customHeight="1" x14ac:dyDescent="0.2">
      <c r="A1438" s="81">
        <v>20020778</v>
      </c>
      <c r="B1438" s="80" t="s">
        <v>1697</v>
      </c>
      <c r="C1438" s="82" t="s">
        <v>6993</v>
      </c>
    </row>
    <row r="1439" spans="1:3" s="79" customFormat="1" ht="49.15" customHeight="1" x14ac:dyDescent="0.2">
      <c r="A1439" s="81">
        <v>20020779</v>
      </c>
      <c r="B1439" s="80" t="s">
        <v>1698</v>
      </c>
      <c r="C1439" s="82" t="s">
        <v>6994</v>
      </c>
    </row>
    <row r="1440" spans="1:3" s="79" customFormat="1" ht="38.85" customHeight="1" x14ac:dyDescent="0.2">
      <c r="A1440" s="81">
        <v>20020781</v>
      </c>
      <c r="B1440" s="80" t="s">
        <v>1699</v>
      </c>
      <c r="C1440" s="82" t="s">
        <v>6995</v>
      </c>
    </row>
    <row r="1441" spans="1:3" s="79" customFormat="1" ht="49.15" customHeight="1" x14ac:dyDescent="0.2">
      <c r="A1441" s="81">
        <v>20020782</v>
      </c>
      <c r="B1441" s="80" t="s">
        <v>1700</v>
      </c>
      <c r="C1441" s="82" t="s">
        <v>6996</v>
      </c>
    </row>
    <row r="1442" spans="1:3" s="79" customFormat="1" ht="49.15" customHeight="1" x14ac:dyDescent="0.2">
      <c r="A1442" s="81">
        <v>20020783</v>
      </c>
      <c r="B1442" s="80" t="s">
        <v>1701</v>
      </c>
      <c r="C1442" s="82" t="s">
        <v>6997</v>
      </c>
    </row>
    <row r="1443" spans="1:3" s="79" customFormat="1" ht="49.15" customHeight="1" x14ac:dyDescent="0.2">
      <c r="A1443" s="81">
        <v>20020784</v>
      </c>
      <c r="B1443" s="80" t="s">
        <v>1702</v>
      </c>
      <c r="C1443" s="82" t="s">
        <v>6998</v>
      </c>
    </row>
    <row r="1444" spans="1:3" s="79" customFormat="1" ht="49.15" customHeight="1" x14ac:dyDescent="0.2">
      <c r="A1444" s="81">
        <v>20020799</v>
      </c>
      <c r="B1444" s="80" t="s">
        <v>1703</v>
      </c>
      <c r="C1444" s="82" t="s">
        <v>6999</v>
      </c>
    </row>
    <row r="1445" spans="1:3" s="79" customFormat="1" ht="49.15" customHeight="1" x14ac:dyDescent="0.2">
      <c r="A1445" s="81">
        <v>20020800</v>
      </c>
      <c r="B1445" s="80" t="s">
        <v>1704</v>
      </c>
      <c r="C1445" s="82" t="s">
        <v>7000</v>
      </c>
    </row>
    <row r="1446" spans="1:3" s="79" customFormat="1" ht="49.15" customHeight="1" x14ac:dyDescent="0.2">
      <c r="A1446" s="81">
        <v>20020867</v>
      </c>
      <c r="B1446" s="80" t="s">
        <v>1705</v>
      </c>
      <c r="C1446" s="82" t="s">
        <v>7001</v>
      </c>
    </row>
    <row r="1447" spans="1:3" s="79" customFormat="1" ht="49.15" customHeight="1" x14ac:dyDescent="0.2">
      <c r="A1447" s="81">
        <v>20020868</v>
      </c>
      <c r="B1447" s="80" t="s">
        <v>1706</v>
      </c>
      <c r="C1447" s="82" t="s">
        <v>7002</v>
      </c>
    </row>
    <row r="1448" spans="1:3" s="79" customFormat="1" ht="49.15" customHeight="1" x14ac:dyDescent="0.2">
      <c r="A1448" s="81">
        <v>20020869</v>
      </c>
      <c r="B1448" s="80" t="s">
        <v>1707</v>
      </c>
      <c r="C1448" s="82" t="s">
        <v>7003</v>
      </c>
    </row>
    <row r="1449" spans="1:3" s="79" customFormat="1" ht="49.15" customHeight="1" x14ac:dyDescent="0.2">
      <c r="A1449" s="81">
        <v>20020931</v>
      </c>
      <c r="B1449" s="80" t="s">
        <v>1708</v>
      </c>
      <c r="C1449" s="82" t="s">
        <v>7004</v>
      </c>
    </row>
    <row r="1450" spans="1:3" s="79" customFormat="1" ht="99.2" customHeight="1" x14ac:dyDescent="0.2">
      <c r="A1450" s="81">
        <v>20020932</v>
      </c>
      <c r="B1450" s="80" t="s">
        <v>1709</v>
      </c>
      <c r="C1450" s="82" t="s">
        <v>7005</v>
      </c>
    </row>
    <row r="1451" spans="1:3" s="79" customFormat="1" ht="99.2" customHeight="1" x14ac:dyDescent="0.2">
      <c r="A1451" s="81">
        <v>20021043</v>
      </c>
      <c r="B1451" s="80" t="s">
        <v>1710</v>
      </c>
      <c r="C1451" s="82" t="s">
        <v>7006</v>
      </c>
    </row>
    <row r="1452" spans="1:3" s="79" customFormat="1" ht="49.15" customHeight="1" x14ac:dyDescent="0.2">
      <c r="A1452" s="81">
        <v>20021046</v>
      </c>
      <c r="B1452" s="80" t="s">
        <v>1711</v>
      </c>
      <c r="C1452" s="81" t="s">
        <v>7007</v>
      </c>
    </row>
    <row r="1453" spans="1:3" s="79" customFormat="1" ht="68.849999999999994" customHeight="1" x14ac:dyDescent="0.2">
      <c r="A1453" s="81">
        <v>20021049</v>
      </c>
      <c r="B1453" s="80" t="s">
        <v>1712</v>
      </c>
      <c r="C1453" s="81" t="s">
        <v>7008</v>
      </c>
    </row>
    <row r="1454" spans="1:3" s="79" customFormat="1" ht="68.849999999999994" customHeight="1" x14ac:dyDescent="0.2">
      <c r="A1454" s="81">
        <v>20021051</v>
      </c>
      <c r="B1454" s="80" t="s">
        <v>1713</v>
      </c>
      <c r="C1454" s="82" t="s">
        <v>7009</v>
      </c>
    </row>
    <row r="1455" spans="1:3" s="79" customFormat="1" ht="49.15" customHeight="1" x14ac:dyDescent="0.2">
      <c r="A1455" s="81">
        <v>20021053</v>
      </c>
      <c r="B1455" s="80" t="s">
        <v>1714</v>
      </c>
      <c r="C1455" s="82" t="s">
        <v>7010</v>
      </c>
    </row>
    <row r="1456" spans="1:3" s="79" customFormat="1" ht="59.1" customHeight="1" x14ac:dyDescent="0.2">
      <c r="A1456" s="81">
        <v>20021067</v>
      </c>
      <c r="B1456" s="80" t="s">
        <v>1715</v>
      </c>
      <c r="C1456" s="81" t="s">
        <v>7011</v>
      </c>
    </row>
    <row r="1457" spans="1:3" s="79" customFormat="1" ht="59.1" customHeight="1" x14ac:dyDescent="0.2">
      <c r="A1457" s="81">
        <v>20021084</v>
      </c>
      <c r="B1457" s="80" t="s">
        <v>1716</v>
      </c>
      <c r="C1457" s="82" t="s">
        <v>7012</v>
      </c>
    </row>
    <row r="1458" spans="1:3" s="79" customFormat="1" ht="49.15" customHeight="1" x14ac:dyDescent="0.2">
      <c r="A1458" s="81">
        <v>20021123</v>
      </c>
      <c r="B1458" s="80" t="s">
        <v>1717</v>
      </c>
      <c r="C1458" s="80" t="s">
        <v>7013</v>
      </c>
    </row>
    <row r="1459" spans="1:3" s="79" customFormat="1" ht="19.149999999999999" customHeight="1" x14ac:dyDescent="0.2">
      <c r="A1459" s="81">
        <v>20021131</v>
      </c>
      <c r="B1459" s="80" t="s">
        <v>1718</v>
      </c>
      <c r="C1459" s="82" t="s">
        <v>7014</v>
      </c>
    </row>
    <row r="1460" spans="1:3" s="79" customFormat="1" ht="28.7" customHeight="1" x14ac:dyDescent="0.2">
      <c r="A1460" s="81">
        <v>20021188</v>
      </c>
      <c r="B1460" s="80" t="s">
        <v>1719</v>
      </c>
      <c r="C1460" s="82" t="s">
        <v>7015</v>
      </c>
    </row>
    <row r="1461" spans="1:3" s="79" customFormat="1" ht="78.95" customHeight="1" x14ac:dyDescent="0.2">
      <c r="A1461" s="81">
        <v>20021189</v>
      </c>
      <c r="B1461" s="80" t="s">
        <v>1720</v>
      </c>
      <c r="C1461" s="82" t="s">
        <v>7016</v>
      </c>
    </row>
    <row r="1462" spans="1:3" s="79" customFormat="1" ht="89.1" customHeight="1" x14ac:dyDescent="0.2">
      <c r="A1462" s="81">
        <v>20021190</v>
      </c>
      <c r="B1462" s="80" t="s">
        <v>1721</v>
      </c>
      <c r="C1462" s="82" t="s">
        <v>7017</v>
      </c>
    </row>
    <row r="1463" spans="1:3" s="79" customFormat="1" ht="89.1" customHeight="1" x14ac:dyDescent="0.2">
      <c r="A1463" s="81">
        <v>20021191</v>
      </c>
      <c r="B1463" s="80" t="s">
        <v>1722</v>
      </c>
      <c r="C1463" s="82" t="s">
        <v>7018</v>
      </c>
    </row>
    <row r="1464" spans="1:3" s="79" customFormat="1" ht="89.1" customHeight="1" x14ac:dyDescent="0.2">
      <c r="A1464" s="81">
        <v>20021239</v>
      </c>
      <c r="B1464" s="80" t="s">
        <v>1723</v>
      </c>
      <c r="C1464" s="80" t="s">
        <v>7019</v>
      </c>
    </row>
    <row r="1465" spans="1:3" s="79" customFormat="1" ht="19.149999999999999" customHeight="1" x14ac:dyDescent="0.2">
      <c r="A1465" s="81">
        <v>20021246</v>
      </c>
      <c r="B1465" s="80" t="s">
        <v>1724</v>
      </c>
      <c r="C1465" s="82" t="s">
        <v>7020</v>
      </c>
    </row>
    <row r="1466" spans="1:3" s="79" customFormat="1" ht="68.849999999999994" customHeight="1" x14ac:dyDescent="0.2">
      <c r="A1466" s="81">
        <v>20021247</v>
      </c>
      <c r="B1466" s="80" t="s">
        <v>1725</v>
      </c>
      <c r="C1466" s="82" t="s">
        <v>7021</v>
      </c>
    </row>
    <row r="1467" spans="1:3" s="79" customFormat="1" ht="68.849999999999994" customHeight="1" x14ac:dyDescent="0.2">
      <c r="A1467" s="81">
        <v>20021250</v>
      </c>
      <c r="B1467" s="80" t="s">
        <v>1726</v>
      </c>
      <c r="C1467" s="81" t="s">
        <v>7022</v>
      </c>
    </row>
    <row r="1468" spans="1:3" s="79" customFormat="1" ht="158.85" customHeight="1" x14ac:dyDescent="0.2">
      <c r="A1468" s="81">
        <v>20021305</v>
      </c>
      <c r="B1468" s="80" t="s">
        <v>1727</v>
      </c>
      <c r="C1468" s="81" t="s">
        <v>7023</v>
      </c>
    </row>
    <row r="1469" spans="1:3" s="79" customFormat="1" ht="109.35" customHeight="1" x14ac:dyDescent="0.2">
      <c r="A1469" s="81">
        <v>20021321</v>
      </c>
      <c r="B1469" s="80" t="s">
        <v>1728</v>
      </c>
      <c r="C1469" s="82" t="s">
        <v>7024</v>
      </c>
    </row>
    <row r="1470" spans="1:3" s="79" customFormat="1" ht="28.7" customHeight="1" x14ac:dyDescent="0.2">
      <c r="A1470" s="81">
        <v>20021322</v>
      </c>
      <c r="B1470" s="80" t="s">
        <v>1729</v>
      </c>
      <c r="C1470" s="82" t="s">
        <v>7025</v>
      </c>
    </row>
    <row r="1471" spans="1:3" s="79" customFormat="1" ht="19.149999999999999" customHeight="1" x14ac:dyDescent="0.2">
      <c r="A1471" s="81">
        <v>20021371</v>
      </c>
      <c r="B1471" s="80" t="s">
        <v>1730</v>
      </c>
      <c r="C1471" s="82" t="s">
        <v>7026</v>
      </c>
    </row>
    <row r="1472" spans="1:3" s="79" customFormat="1" ht="59.1" customHeight="1" x14ac:dyDescent="0.2">
      <c r="A1472" s="81">
        <v>20021373</v>
      </c>
      <c r="B1472" s="80" t="s">
        <v>1731</v>
      </c>
      <c r="C1472" s="82" t="s">
        <v>7027</v>
      </c>
    </row>
    <row r="1473" spans="1:3" s="79" customFormat="1" ht="59.1" customHeight="1" x14ac:dyDescent="0.2">
      <c r="A1473" s="81">
        <v>20021379</v>
      </c>
      <c r="B1473" s="80" t="s">
        <v>1732</v>
      </c>
      <c r="C1473" s="82" t="s">
        <v>7028</v>
      </c>
    </row>
    <row r="1474" spans="1:3" s="79" customFormat="1" ht="78.95" customHeight="1" x14ac:dyDescent="0.2">
      <c r="A1474" s="81">
        <v>20021444</v>
      </c>
      <c r="B1474" s="80" t="s">
        <v>1733</v>
      </c>
      <c r="C1474" s="82" t="s">
        <v>7029</v>
      </c>
    </row>
    <row r="1475" spans="1:3" s="79" customFormat="1" ht="59.1" customHeight="1" x14ac:dyDescent="0.2">
      <c r="A1475" s="81">
        <v>20021462</v>
      </c>
      <c r="B1475" s="80" t="s">
        <v>1734</v>
      </c>
      <c r="C1475" s="82" t="s">
        <v>7030</v>
      </c>
    </row>
    <row r="1476" spans="1:3" s="79" customFormat="1" ht="38.85" customHeight="1" x14ac:dyDescent="0.2">
      <c r="A1476" s="81">
        <v>20021463</v>
      </c>
      <c r="B1476" s="80" t="s">
        <v>1735</v>
      </c>
      <c r="C1476" s="82" t="s">
        <v>7031</v>
      </c>
    </row>
    <row r="1477" spans="1:3" s="79" customFormat="1" ht="38.85" customHeight="1" x14ac:dyDescent="0.2">
      <c r="A1477" s="81">
        <v>20021466</v>
      </c>
      <c r="B1477" s="80" t="s">
        <v>1736</v>
      </c>
      <c r="C1477" s="82" t="s">
        <v>7032</v>
      </c>
    </row>
    <row r="1478" spans="1:3" s="79" customFormat="1" ht="28.7" customHeight="1" x14ac:dyDescent="0.2">
      <c r="A1478" s="81">
        <v>20021469</v>
      </c>
      <c r="B1478" s="80" t="s">
        <v>1737</v>
      </c>
      <c r="C1478" s="82" t="s">
        <v>7033</v>
      </c>
    </row>
    <row r="1479" spans="1:3" s="79" customFormat="1" ht="28.7" customHeight="1" x14ac:dyDescent="0.2">
      <c r="A1479" s="81">
        <v>20021537</v>
      </c>
      <c r="B1479" s="80" t="s">
        <v>1738</v>
      </c>
      <c r="C1479" s="82" t="s">
        <v>7034</v>
      </c>
    </row>
    <row r="1480" spans="1:3" s="79" customFormat="1" ht="38.85" customHeight="1" x14ac:dyDescent="0.2">
      <c r="A1480" s="81">
        <v>20021546</v>
      </c>
      <c r="B1480" s="80" t="s">
        <v>1739</v>
      </c>
      <c r="C1480" s="82" t="s">
        <v>7035</v>
      </c>
    </row>
    <row r="1481" spans="1:3" s="79" customFormat="1" ht="49.15" customHeight="1" x14ac:dyDescent="0.2">
      <c r="A1481" s="81">
        <v>20021547</v>
      </c>
      <c r="B1481" s="80" t="s">
        <v>1740</v>
      </c>
      <c r="C1481" s="82" t="s">
        <v>7036</v>
      </c>
    </row>
    <row r="1482" spans="1:3" s="79" customFormat="1" ht="49.15" customHeight="1" x14ac:dyDescent="0.2">
      <c r="A1482" s="81">
        <v>20021600</v>
      </c>
      <c r="B1482" s="80" t="s">
        <v>1741</v>
      </c>
      <c r="C1482" s="80" t="s">
        <v>219</v>
      </c>
    </row>
    <row r="1483" spans="1:3" s="79" customFormat="1" ht="19.149999999999999" customHeight="1" x14ac:dyDescent="0.2">
      <c r="A1483" s="81">
        <v>20021621</v>
      </c>
      <c r="B1483" s="80" t="s">
        <v>1742</v>
      </c>
      <c r="C1483" s="82" t="s">
        <v>7037</v>
      </c>
    </row>
    <row r="1484" spans="1:3" s="79" customFormat="1" ht="78.95" customHeight="1" x14ac:dyDescent="0.2">
      <c r="A1484" s="81">
        <v>20021624</v>
      </c>
      <c r="B1484" s="80" t="s">
        <v>1743</v>
      </c>
      <c r="C1484" s="81" t="s">
        <v>7038</v>
      </c>
    </row>
    <row r="1485" spans="1:3" s="79" customFormat="1" ht="89.1" customHeight="1" x14ac:dyDescent="0.2">
      <c r="A1485" s="81">
        <v>20021677</v>
      </c>
      <c r="B1485" s="80" t="s">
        <v>1744</v>
      </c>
      <c r="C1485" s="82" t="s">
        <v>7039</v>
      </c>
    </row>
    <row r="1486" spans="1:3" s="79" customFormat="1" ht="28.7" customHeight="1" x14ac:dyDescent="0.2">
      <c r="A1486" s="81">
        <v>20021678</v>
      </c>
      <c r="B1486" s="80" t="s">
        <v>1745</v>
      </c>
      <c r="C1486" s="82" t="s">
        <v>7040</v>
      </c>
    </row>
    <row r="1487" spans="1:3" s="79" customFormat="1" ht="28.7" customHeight="1" x14ac:dyDescent="0.2">
      <c r="A1487" s="81">
        <v>20021787</v>
      </c>
      <c r="B1487" s="80" t="s">
        <v>1746</v>
      </c>
      <c r="C1487" s="81" t="s">
        <v>7041</v>
      </c>
    </row>
    <row r="1488" spans="1:3" s="79" customFormat="1" ht="99.2" customHeight="1" x14ac:dyDescent="0.2">
      <c r="A1488" s="81">
        <v>20021788</v>
      </c>
      <c r="B1488" s="80" t="s">
        <v>1747</v>
      </c>
      <c r="C1488" s="81" t="s">
        <v>7042</v>
      </c>
    </row>
    <row r="1489" spans="1:3" s="79" customFormat="1" ht="89.1" customHeight="1" x14ac:dyDescent="0.2">
      <c r="A1489" s="81">
        <v>20021789</v>
      </c>
      <c r="B1489" s="80" t="s">
        <v>1748</v>
      </c>
      <c r="C1489" s="81" t="s">
        <v>7043</v>
      </c>
    </row>
    <row r="1490" spans="1:3" s="79" customFormat="1" ht="99.2" customHeight="1" x14ac:dyDescent="0.2">
      <c r="A1490" s="81">
        <v>20021794</v>
      </c>
      <c r="B1490" s="80" t="s">
        <v>1749</v>
      </c>
      <c r="C1490" s="81" t="s">
        <v>7044</v>
      </c>
    </row>
    <row r="1491" spans="1:3" s="79" customFormat="1" ht="99.2" customHeight="1" x14ac:dyDescent="0.2">
      <c r="A1491" s="81">
        <v>20021795</v>
      </c>
      <c r="B1491" s="80" t="s">
        <v>1750</v>
      </c>
      <c r="C1491" s="81" t="s">
        <v>7045</v>
      </c>
    </row>
    <row r="1492" spans="1:3" s="79" customFormat="1" ht="78.95" customHeight="1" x14ac:dyDescent="0.2">
      <c r="A1492" s="81">
        <v>20021803</v>
      </c>
      <c r="B1492" s="80" t="s">
        <v>1751</v>
      </c>
      <c r="C1492" s="81" t="s">
        <v>7046</v>
      </c>
    </row>
    <row r="1493" spans="1:3" s="79" customFormat="1" ht="109.35" customHeight="1" x14ac:dyDescent="0.2">
      <c r="A1493" s="81">
        <v>20021806</v>
      </c>
      <c r="B1493" s="80" t="s">
        <v>1752</v>
      </c>
      <c r="C1493" s="82" t="s">
        <v>7047</v>
      </c>
    </row>
    <row r="1494" spans="1:3" s="79" customFormat="1" ht="59.1" customHeight="1" x14ac:dyDescent="0.2">
      <c r="A1494" s="81">
        <v>20021809</v>
      </c>
      <c r="B1494" s="80" t="s">
        <v>1753</v>
      </c>
      <c r="C1494" s="81" t="s">
        <v>7048</v>
      </c>
    </row>
    <row r="1495" spans="1:3" s="79" customFormat="1" ht="59.1" customHeight="1" x14ac:dyDescent="0.2">
      <c r="A1495" s="81">
        <v>20021810</v>
      </c>
      <c r="B1495" s="80" t="s">
        <v>1754</v>
      </c>
      <c r="C1495" s="81" t="s">
        <v>7049</v>
      </c>
    </row>
    <row r="1496" spans="1:3" s="79" customFormat="1" ht="59.1" customHeight="1" x14ac:dyDescent="0.2">
      <c r="A1496" s="81">
        <v>20021872</v>
      </c>
      <c r="B1496" s="80" t="s">
        <v>1755</v>
      </c>
      <c r="C1496" s="82" t="s">
        <v>7050</v>
      </c>
    </row>
    <row r="1497" spans="1:3" s="79" customFormat="1" ht="49.15" customHeight="1" x14ac:dyDescent="0.2">
      <c r="A1497" s="81">
        <v>20021941</v>
      </c>
      <c r="B1497" s="80" t="s">
        <v>1756</v>
      </c>
      <c r="C1497" s="82" t="s">
        <v>7051</v>
      </c>
    </row>
    <row r="1498" spans="1:3" s="79" customFormat="1" ht="28.7" customHeight="1" x14ac:dyDescent="0.2">
      <c r="A1498" s="81">
        <v>20021942</v>
      </c>
      <c r="B1498" s="80" t="s">
        <v>1757</v>
      </c>
      <c r="C1498" s="82" t="s">
        <v>7052</v>
      </c>
    </row>
    <row r="1499" spans="1:3" s="79" customFormat="1" ht="28.7" customHeight="1" x14ac:dyDescent="0.2">
      <c r="A1499" s="81">
        <v>20021961</v>
      </c>
      <c r="B1499" s="80" t="s">
        <v>1758</v>
      </c>
      <c r="C1499" s="82" t="s">
        <v>7053</v>
      </c>
    </row>
    <row r="1500" spans="1:3" s="79" customFormat="1" ht="19.149999999999999" customHeight="1" x14ac:dyDescent="0.2">
      <c r="A1500" s="81">
        <v>20021963</v>
      </c>
      <c r="B1500" s="80" t="s">
        <v>1759</v>
      </c>
      <c r="C1500" s="82" t="s">
        <v>7054</v>
      </c>
    </row>
    <row r="1501" spans="1:3" s="79" customFormat="1" ht="19.149999999999999" customHeight="1" x14ac:dyDescent="0.2">
      <c r="A1501" s="81">
        <v>20021964</v>
      </c>
      <c r="B1501" s="80" t="s">
        <v>1760</v>
      </c>
      <c r="C1501" s="80" t="s">
        <v>7055</v>
      </c>
    </row>
    <row r="1502" spans="1:3" s="79" customFormat="1" ht="19.149999999999999" customHeight="1" x14ac:dyDescent="0.2">
      <c r="A1502" s="81">
        <v>20021965</v>
      </c>
      <c r="B1502" s="80" t="s">
        <v>1761</v>
      </c>
      <c r="C1502" s="80" t="s">
        <v>7056</v>
      </c>
    </row>
    <row r="1503" spans="1:3" s="79" customFormat="1" ht="19.149999999999999" customHeight="1" x14ac:dyDescent="0.2">
      <c r="A1503" s="81">
        <v>20021966</v>
      </c>
      <c r="B1503" s="80" t="s">
        <v>1762</v>
      </c>
      <c r="C1503" s="80" t="s">
        <v>7057</v>
      </c>
    </row>
    <row r="1504" spans="1:3" s="79" customFormat="1" ht="19.149999999999999" customHeight="1" x14ac:dyDescent="0.2">
      <c r="A1504" s="81">
        <v>20021967</v>
      </c>
      <c r="B1504" s="80" t="s">
        <v>1763</v>
      </c>
      <c r="C1504" s="80" t="s">
        <v>7058</v>
      </c>
    </row>
    <row r="1505" spans="1:3" s="79" customFormat="1" ht="19.149999999999999" customHeight="1" x14ac:dyDescent="0.2">
      <c r="A1505" s="81">
        <v>20021968</v>
      </c>
      <c r="B1505" s="80" t="s">
        <v>1764</v>
      </c>
      <c r="C1505" s="80" t="s">
        <v>7059</v>
      </c>
    </row>
    <row r="1506" spans="1:3" s="79" customFormat="1" ht="19.149999999999999" customHeight="1" x14ac:dyDescent="0.2">
      <c r="A1506" s="81">
        <v>20021969</v>
      </c>
      <c r="B1506" s="80" t="s">
        <v>1765</v>
      </c>
      <c r="C1506" s="80" t="s">
        <v>7060</v>
      </c>
    </row>
    <row r="1507" spans="1:3" s="79" customFormat="1" ht="19.149999999999999" customHeight="1" x14ac:dyDescent="0.2">
      <c r="A1507" s="81">
        <v>20021970</v>
      </c>
      <c r="B1507" s="80" t="s">
        <v>1766</v>
      </c>
      <c r="C1507" s="80" t="s">
        <v>7061</v>
      </c>
    </row>
    <row r="1508" spans="1:3" s="79" customFormat="1" ht="19.149999999999999" customHeight="1" x14ac:dyDescent="0.2">
      <c r="A1508" s="81">
        <v>20021974</v>
      </c>
      <c r="B1508" s="80" t="s">
        <v>1767</v>
      </c>
      <c r="C1508" s="82" t="s">
        <v>7062</v>
      </c>
    </row>
    <row r="1509" spans="1:3" s="79" customFormat="1" ht="19.149999999999999" customHeight="1" x14ac:dyDescent="0.2">
      <c r="A1509" s="81">
        <v>20021975</v>
      </c>
      <c r="B1509" s="80" t="s">
        <v>1768</v>
      </c>
      <c r="C1509" s="82" t="s">
        <v>7063</v>
      </c>
    </row>
    <row r="1510" spans="1:3" s="79" customFormat="1" ht="19.149999999999999" customHeight="1" x14ac:dyDescent="0.2">
      <c r="A1510" s="81">
        <v>20021976</v>
      </c>
      <c r="B1510" s="80" t="s">
        <v>1769</v>
      </c>
      <c r="C1510" s="82" t="s">
        <v>7064</v>
      </c>
    </row>
    <row r="1511" spans="1:3" s="79" customFormat="1" ht="19.149999999999999" customHeight="1" x14ac:dyDescent="0.2">
      <c r="A1511" s="81">
        <v>20021985</v>
      </c>
      <c r="B1511" s="80" t="s">
        <v>1770</v>
      </c>
      <c r="C1511" s="80" t="s">
        <v>7065</v>
      </c>
    </row>
    <row r="1512" spans="1:3" s="79" customFormat="1" ht="19.149999999999999" customHeight="1" x14ac:dyDescent="0.2">
      <c r="A1512" s="81">
        <v>20021986</v>
      </c>
      <c r="B1512" s="80" t="s">
        <v>1771</v>
      </c>
      <c r="C1512" s="80" t="s">
        <v>7066</v>
      </c>
    </row>
    <row r="1513" spans="1:3" s="79" customFormat="1" ht="19.149999999999999" customHeight="1" x14ac:dyDescent="0.2">
      <c r="A1513" s="81">
        <v>20021987</v>
      </c>
      <c r="B1513" s="80" t="s">
        <v>1772</v>
      </c>
      <c r="C1513" s="82" t="s">
        <v>7067</v>
      </c>
    </row>
    <row r="1514" spans="1:3" s="79" customFormat="1" ht="59.1" customHeight="1" x14ac:dyDescent="0.2">
      <c r="A1514" s="81">
        <v>20021992</v>
      </c>
      <c r="B1514" s="80" t="s">
        <v>1773</v>
      </c>
      <c r="C1514" s="82" t="s">
        <v>7068</v>
      </c>
    </row>
    <row r="1515" spans="1:3" s="79" customFormat="1" ht="49.15" customHeight="1" x14ac:dyDescent="0.2">
      <c r="A1515" s="81">
        <v>20021994</v>
      </c>
      <c r="B1515" s="80" t="s">
        <v>1774</v>
      </c>
      <c r="C1515" s="82" t="s">
        <v>7069</v>
      </c>
    </row>
    <row r="1516" spans="1:3" s="79" customFormat="1" ht="38.85" customHeight="1" x14ac:dyDescent="0.2">
      <c r="A1516" s="81">
        <v>20021995</v>
      </c>
      <c r="B1516" s="80" t="s">
        <v>1775</v>
      </c>
      <c r="C1516" s="82" t="s">
        <v>7070</v>
      </c>
    </row>
    <row r="1517" spans="1:3" s="79" customFormat="1" ht="59.1" customHeight="1" x14ac:dyDescent="0.2">
      <c r="A1517" s="81">
        <v>20021996</v>
      </c>
      <c r="B1517" s="80" t="s">
        <v>1776</v>
      </c>
      <c r="C1517" s="82" t="s">
        <v>7071</v>
      </c>
    </row>
    <row r="1518" spans="1:3" s="79" customFormat="1" ht="38.85" customHeight="1" x14ac:dyDescent="0.2">
      <c r="A1518" s="81">
        <v>20021997</v>
      </c>
      <c r="B1518" s="80" t="s">
        <v>1777</v>
      </c>
      <c r="C1518" s="82" t="s">
        <v>7072</v>
      </c>
    </row>
    <row r="1519" spans="1:3" s="79" customFormat="1" ht="38.85" customHeight="1" x14ac:dyDescent="0.2">
      <c r="A1519" s="81">
        <v>20022074</v>
      </c>
      <c r="B1519" s="80" t="s">
        <v>1778</v>
      </c>
      <c r="C1519" s="82" t="s">
        <v>7073</v>
      </c>
    </row>
    <row r="1520" spans="1:3" s="79" customFormat="1" ht="38.85" customHeight="1" x14ac:dyDescent="0.2">
      <c r="A1520" s="81">
        <v>20022096</v>
      </c>
      <c r="B1520" s="80" t="s">
        <v>1779</v>
      </c>
      <c r="C1520" s="82" t="s">
        <v>7074</v>
      </c>
    </row>
    <row r="1521" spans="1:3" s="79" customFormat="1" ht="59.1" customHeight="1" x14ac:dyDescent="0.2">
      <c r="A1521" s="81">
        <v>20022239</v>
      </c>
      <c r="B1521" s="80" t="s">
        <v>1780</v>
      </c>
      <c r="C1521" s="82" t="s">
        <v>7075</v>
      </c>
    </row>
    <row r="1522" spans="1:3" s="79" customFormat="1" ht="19.149999999999999" customHeight="1" x14ac:dyDescent="0.2">
      <c r="A1522" s="81">
        <v>20022240</v>
      </c>
      <c r="B1522" s="80" t="s">
        <v>1781</v>
      </c>
      <c r="C1522" s="82" t="s">
        <v>7076</v>
      </c>
    </row>
    <row r="1523" spans="1:3" s="79" customFormat="1" ht="19.149999999999999" customHeight="1" x14ac:dyDescent="0.2">
      <c r="A1523" s="81">
        <v>20022302</v>
      </c>
      <c r="B1523" s="80" t="s">
        <v>1782</v>
      </c>
      <c r="C1523" s="82" t="s">
        <v>7077</v>
      </c>
    </row>
    <row r="1524" spans="1:3" s="79" customFormat="1" ht="28.7" customHeight="1" x14ac:dyDescent="0.2">
      <c r="A1524" s="81">
        <v>20022310</v>
      </c>
      <c r="B1524" s="80" t="s">
        <v>1783</v>
      </c>
      <c r="C1524" s="82" t="s">
        <v>7078</v>
      </c>
    </row>
    <row r="1525" spans="1:3" s="79" customFormat="1" ht="59.1" customHeight="1" x14ac:dyDescent="0.2">
      <c r="A1525" s="81">
        <v>20022311</v>
      </c>
      <c r="B1525" s="80" t="s">
        <v>1784</v>
      </c>
      <c r="C1525" s="82" t="s">
        <v>7079</v>
      </c>
    </row>
    <row r="1526" spans="1:3" s="79" customFormat="1" ht="59.1" customHeight="1" x14ac:dyDescent="0.2">
      <c r="A1526" s="81">
        <v>20022312</v>
      </c>
      <c r="B1526" s="80" t="s">
        <v>1785</v>
      </c>
      <c r="C1526" s="82" t="s">
        <v>7080</v>
      </c>
    </row>
    <row r="1527" spans="1:3" s="79" customFormat="1" ht="59.1" customHeight="1" x14ac:dyDescent="0.2">
      <c r="A1527" s="81">
        <v>20022314</v>
      </c>
      <c r="B1527" s="80" t="s">
        <v>1786</v>
      </c>
      <c r="C1527" s="82" t="s">
        <v>7081</v>
      </c>
    </row>
    <row r="1528" spans="1:3" s="79" customFormat="1" ht="59.1" customHeight="1" x14ac:dyDescent="0.2">
      <c r="A1528" s="81">
        <v>20022326</v>
      </c>
      <c r="B1528" s="80" t="s">
        <v>1787</v>
      </c>
      <c r="C1528" s="82" t="s">
        <v>7082</v>
      </c>
    </row>
    <row r="1529" spans="1:3" s="79" customFormat="1" ht="49.15" customHeight="1" x14ac:dyDescent="0.2">
      <c r="A1529" s="81">
        <v>20022329</v>
      </c>
      <c r="B1529" s="80" t="s">
        <v>1788</v>
      </c>
      <c r="C1529" s="82" t="s">
        <v>7083</v>
      </c>
    </row>
    <row r="1530" spans="1:3" s="79" customFormat="1" ht="49.15" customHeight="1" x14ac:dyDescent="0.2">
      <c r="A1530" s="81">
        <v>20022330</v>
      </c>
      <c r="B1530" s="80" t="s">
        <v>1789</v>
      </c>
      <c r="C1530" s="82" t="s">
        <v>7084</v>
      </c>
    </row>
    <row r="1531" spans="1:3" s="79" customFormat="1" ht="38.85" customHeight="1" x14ac:dyDescent="0.2">
      <c r="A1531" s="81">
        <v>20022331</v>
      </c>
      <c r="B1531" s="80" t="s">
        <v>1790</v>
      </c>
      <c r="C1531" s="82" t="s">
        <v>7085</v>
      </c>
    </row>
    <row r="1532" spans="1:3" s="79" customFormat="1" ht="38.85" customHeight="1" x14ac:dyDescent="0.2">
      <c r="A1532" s="81">
        <v>20022344</v>
      </c>
      <c r="B1532" s="80" t="s">
        <v>1791</v>
      </c>
      <c r="C1532" s="82" t="s">
        <v>7086</v>
      </c>
    </row>
    <row r="1533" spans="1:3" s="79" customFormat="1" ht="49.15" customHeight="1" x14ac:dyDescent="0.2">
      <c r="A1533" s="81">
        <v>20022345</v>
      </c>
      <c r="B1533" s="80" t="s">
        <v>1792</v>
      </c>
      <c r="C1533" s="82" t="s">
        <v>7087</v>
      </c>
    </row>
    <row r="1534" spans="1:3" s="79" customFormat="1" ht="49.15" customHeight="1" x14ac:dyDescent="0.2">
      <c r="A1534" s="81">
        <v>20022346</v>
      </c>
      <c r="B1534" s="80" t="s">
        <v>1793</v>
      </c>
      <c r="C1534" s="82" t="s">
        <v>7088</v>
      </c>
    </row>
    <row r="1535" spans="1:3" s="79" customFormat="1" ht="49.15" customHeight="1" x14ac:dyDescent="0.2">
      <c r="A1535" s="81">
        <v>20022347</v>
      </c>
      <c r="B1535" s="80" t="s">
        <v>1794</v>
      </c>
      <c r="C1535" s="82" t="s">
        <v>7089</v>
      </c>
    </row>
    <row r="1536" spans="1:3" s="79" customFormat="1" ht="49.15" customHeight="1" x14ac:dyDescent="0.2">
      <c r="A1536" s="81">
        <v>20022348</v>
      </c>
      <c r="B1536" s="80" t="s">
        <v>1795</v>
      </c>
      <c r="C1536" s="82" t="s">
        <v>7090</v>
      </c>
    </row>
    <row r="1537" spans="1:3" s="79" customFormat="1" ht="49.15" customHeight="1" x14ac:dyDescent="0.2">
      <c r="A1537" s="81">
        <v>20022349</v>
      </c>
      <c r="B1537" s="80" t="s">
        <v>1796</v>
      </c>
      <c r="C1537" s="82" t="s">
        <v>7091</v>
      </c>
    </row>
    <row r="1538" spans="1:3" s="79" customFormat="1" ht="49.15" customHeight="1" x14ac:dyDescent="0.2">
      <c r="A1538" s="81">
        <v>20022353</v>
      </c>
      <c r="B1538" s="80" t="s">
        <v>1797</v>
      </c>
      <c r="C1538" s="82" t="s">
        <v>7092</v>
      </c>
    </row>
    <row r="1539" spans="1:3" s="79" customFormat="1" ht="89.1" customHeight="1" x14ac:dyDescent="0.2">
      <c r="A1539" s="81">
        <v>20022354</v>
      </c>
      <c r="B1539" s="80" t="s">
        <v>1798</v>
      </c>
      <c r="C1539" s="82" t="s">
        <v>7093</v>
      </c>
    </row>
    <row r="1540" spans="1:3" s="79" customFormat="1" ht="109.35" customHeight="1" x14ac:dyDescent="0.2">
      <c r="A1540" s="81">
        <v>20022355</v>
      </c>
      <c r="B1540" s="80" t="s">
        <v>1799</v>
      </c>
      <c r="C1540" s="82" t="s">
        <v>7094</v>
      </c>
    </row>
    <row r="1541" spans="1:3" s="79" customFormat="1" ht="89.1" customHeight="1" x14ac:dyDescent="0.2">
      <c r="A1541" s="81">
        <v>20023409</v>
      </c>
      <c r="B1541" s="80" t="s">
        <v>1800</v>
      </c>
      <c r="C1541" s="82" t="s">
        <v>7095</v>
      </c>
    </row>
    <row r="1542" spans="1:3" s="79" customFormat="1" ht="78.95" customHeight="1" x14ac:dyDescent="0.2">
      <c r="A1542" s="81">
        <v>20023410</v>
      </c>
      <c r="B1542" s="80" t="s">
        <v>1801</v>
      </c>
      <c r="C1542" s="82" t="s">
        <v>7096</v>
      </c>
    </row>
    <row r="1543" spans="1:3" s="79" customFormat="1" ht="68.849999999999994" customHeight="1" x14ac:dyDescent="0.2">
      <c r="A1543" s="81">
        <v>20023411</v>
      </c>
      <c r="B1543" s="80" t="s">
        <v>1802</v>
      </c>
      <c r="C1543" s="82" t="s">
        <v>7097</v>
      </c>
    </row>
    <row r="1544" spans="1:3" s="79" customFormat="1" ht="68.849999999999994" customHeight="1" x14ac:dyDescent="0.2">
      <c r="A1544" s="81">
        <v>20023412</v>
      </c>
      <c r="B1544" s="80" t="s">
        <v>1803</v>
      </c>
      <c r="C1544" s="82" t="s">
        <v>7098</v>
      </c>
    </row>
    <row r="1545" spans="1:3" s="79" customFormat="1" ht="68.849999999999994" customHeight="1" x14ac:dyDescent="0.2">
      <c r="A1545" s="81">
        <v>20023413</v>
      </c>
      <c r="B1545" s="80" t="s">
        <v>1804</v>
      </c>
      <c r="C1545" s="82" t="s">
        <v>7099</v>
      </c>
    </row>
    <row r="1546" spans="1:3" s="79" customFormat="1" ht="68.849999999999994" customHeight="1" x14ac:dyDescent="0.2">
      <c r="A1546" s="81">
        <v>20023414</v>
      </c>
      <c r="B1546" s="80" t="s">
        <v>1805</v>
      </c>
      <c r="C1546" s="82" t="s">
        <v>7100</v>
      </c>
    </row>
    <row r="1547" spans="1:3" s="79" customFormat="1" ht="68.849999999999994" customHeight="1" x14ac:dyDescent="0.2">
      <c r="A1547" s="81">
        <v>20023427</v>
      </c>
      <c r="B1547" s="80" t="s">
        <v>1806</v>
      </c>
      <c r="C1547" s="82" t="s">
        <v>7101</v>
      </c>
    </row>
    <row r="1548" spans="1:3" s="79" customFormat="1" ht="28.7" customHeight="1" x14ac:dyDescent="0.2">
      <c r="A1548" s="81">
        <v>20023428</v>
      </c>
      <c r="B1548" s="80" t="s">
        <v>1807</v>
      </c>
      <c r="C1548" s="82" t="s">
        <v>7102</v>
      </c>
    </row>
    <row r="1549" spans="1:3" s="79" customFormat="1" ht="28.7" customHeight="1" x14ac:dyDescent="0.2">
      <c r="A1549" s="81">
        <v>20023429</v>
      </c>
      <c r="B1549" s="80" t="s">
        <v>1808</v>
      </c>
      <c r="C1549" s="82" t="s">
        <v>7103</v>
      </c>
    </row>
    <row r="1550" spans="1:3" s="79" customFormat="1" ht="28.7" customHeight="1" x14ac:dyDescent="0.2">
      <c r="A1550" s="81">
        <v>20023430</v>
      </c>
      <c r="B1550" s="80" t="s">
        <v>1809</v>
      </c>
      <c r="C1550" s="82" t="s">
        <v>7104</v>
      </c>
    </row>
    <row r="1551" spans="1:3" s="79" customFormat="1" ht="28.7" customHeight="1" x14ac:dyDescent="0.2">
      <c r="A1551" s="81">
        <v>20023431</v>
      </c>
      <c r="B1551" s="80" t="s">
        <v>1810</v>
      </c>
      <c r="C1551" s="82" t="s">
        <v>7105</v>
      </c>
    </row>
    <row r="1552" spans="1:3" s="79" customFormat="1" ht="28.7" customHeight="1" x14ac:dyDescent="0.2">
      <c r="A1552" s="81">
        <v>20023432</v>
      </c>
      <c r="B1552" s="80" t="s">
        <v>1811</v>
      </c>
      <c r="C1552" s="82" t="s">
        <v>7106</v>
      </c>
    </row>
    <row r="1553" spans="1:3" s="79" customFormat="1" ht="28.7" customHeight="1" x14ac:dyDescent="0.2">
      <c r="A1553" s="81">
        <v>20023433</v>
      </c>
      <c r="B1553" s="80" t="s">
        <v>1812</v>
      </c>
      <c r="C1553" s="82" t="s">
        <v>7107</v>
      </c>
    </row>
    <row r="1554" spans="1:3" s="79" customFormat="1" ht="28.7" customHeight="1" x14ac:dyDescent="0.2">
      <c r="A1554" s="81">
        <v>20023434</v>
      </c>
      <c r="B1554" s="80" t="s">
        <v>1813</v>
      </c>
      <c r="C1554" s="82" t="s">
        <v>7108</v>
      </c>
    </row>
    <row r="1555" spans="1:3" s="79" customFormat="1" ht="28.7" customHeight="1" x14ac:dyDescent="0.2">
      <c r="A1555" s="81">
        <v>20023435</v>
      </c>
      <c r="B1555" s="80" t="s">
        <v>1814</v>
      </c>
      <c r="C1555" s="82" t="s">
        <v>7109</v>
      </c>
    </row>
    <row r="1556" spans="1:3" s="79" customFormat="1" ht="68.849999999999994" customHeight="1" x14ac:dyDescent="0.2">
      <c r="A1556" s="81">
        <v>20023436</v>
      </c>
      <c r="B1556" s="80" t="s">
        <v>1815</v>
      </c>
      <c r="C1556" s="82" t="s">
        <v>7110</v>
      </c>
    </row>
    <row r="1557" spans="1:3" s="79" customFormat="1" ht="28.7" customHeight="1" x14ac:dyDescent="0.2">
      <c r="A1557" s="81">
        <v>20023437</v>
      </c>
      <c r="B1557" s="80" t="s">
        <v>1816</v>
      </c>
      <c r="C1557" s="82" t="s">
        <v>7111</v>
      </c>
    </row>
    <row r="1558" spans="1:3" s="79" customFormat="1" ht="28.7" customHeight="1" x14ac:dyDescent="0.2">
      <c r="A1558" s="81">
        <v>20023467</v>
      </c>
      <c r="B1558" s="80" t="s">
        <v>1817</v>
      </c>
      <c r="C1558" s="82" t="s">
        <v>7112</v>
      </c>
    </row>
    <row r="1559" spans="1:3" s="79" customFormat="1" ht="28.7" customHeight="1" x14ac:dyDescent="0.2">
      <c r="A1559" s="81">
        <v>20023501</v>
      </c>
      <c r="B1559" s="80" t="s">
        <v>1818</v>
      </c>
      <c r="C1559" s="80" t="s">
        <v>7113</v>
      </c>
    </row>
    <row r="1560" spans="1:3" s="79" customFormat="1" ht="19.149999999999999" customHeight="1" x14ac:dyDescent="0.2">
      <c r="A1560" s="81">
        <v>20023518</v>
      </c>
      <c r="B1560" s="80" t="s">
        <v>1819</v>
      </c>
      <c r="C1560" s="80" t="s">
        <v>7114</v>
      </c>
    </row>
    <row r="1561" spans="1:3" s="79" customFormat="1" ht="19.149999999999999" customHeight="1" x14ac:dyDescent="0.2">
      <c r="A1561" s="81">
        <v>20023545</v>
      </c>
      <c r="B1561" s="80" t="s">
        <v>1820</v>
      </c>
      <c r="C1561" s="82" t="s">
        <v>7115</v>
      </c>
    </row>
    <row r="1562" spans="1:3" s="79" customFormat="1" ht="38.85" customHeight="1" x14ac:dyDescent="0.2">
      <c r="A1562" s="81">
        <v>20023971</v>
      </c>
      <c r="B1562" s="80" t="s">
        <v>1821</v>
      </c>
      <c r="C1562" s="81" t="s">
        <v>7116</v>
      </c>
    </row>
    <row r="1563" spans="1:3" s="79" customFormat="1" ht="129" customHeight="1" x14ac:dyDescent="0.2">
      <c r="A1563" s="81">
        <v>20023975</v>
      </c>
      <c r="B1563" s="80" t="s">
        <v>1822</v>
      </c>
      <c r="C1563" s="80" t="s">
        <v>7117</v>
      </c>
    </row>
    <row r="1564" spans="1:3" s="79" customFormat="1" ht="19.149999999999999" customHeight="1" x14ac:dyDescent="0.2">
      <c r="A1564" s="81">
        <v>20023982</v>
      </c>
      <c r="B1564" s="80" t="s">
        <v>1823</v>
      </c>
      <c r="C1564" s="82" t="s">
        <v>7118</v>
      </c>
    </row>
    <row r="1565" spans="1:3" s="79" customFormat="1" ht="28.7" customHeight="1" x14ac:dyDescent="0.2">
      <c r="A1565" s="81">
        <v>20023983</v>
      </c>
      <c r="B1565" s="80" t="s">
        <v>1824</v>
      </c>
      <c r="C1565" s="81" t="s">
        <v>7119</v>
      </c>
    </row>
    <row r="1566" spans="1:3" s="79" customFormat="1" ht="59.1" customHeight="1" x14ac:dyDescent="0.2">
      <c r="A1566" s="81">
        <v>20023984</v>
      </c>
      <c r="B1566" s="80" t="s">
        <v>1825</v>
      </c>
      <c r="C1566" s="81" t="s">
        <v>7120</v>
      </c>
    </row>
    <row r="1567" spans="1:3" s="79" customFormat="1" ht="59.1" customHeight="1" x14ac:dyDescent="0.2">
      <c r="A1567" s="81">
        <v>20023986</v>
      </c>
      <c r="B1567" s="80" t="s">
        <v>1826</v>
      </c>
      <c r="C1567" s="81" t="s">
        <v>7121</v>
      </c>
    </row>
    <row r="1568" spans="1:3" s="79" customFormat="1" ht="59.1" customHeight="1" x14ac:dyDescent="0.2">
      <c r="A1568" s="81">
        <v>20023988</v>
      </c>
      <c r="B1568" s="80" t="s">
        <v>1827</v>
      </c>
      <c r="C1568" s="81" t="s">
        <v>7122</v>
      </c>
    </row>
    <row r="1569" spans="1:3" s="79" customFormat="1" ht="38.85" customHeight="1" x14ac:dyDescent="0.2">
      <c r="A1569" s="81">
        <v>20023990</v>
      </c>
      <c r="B1569" s="80" t="s">
        <v>1828</v>
      </c>
      <c r="C1569" s="81" t="s">
        <v>7123</v>
      </c>
    </row>
    <row r="1570" spans="1:3" s="79" customFormat="1" ht="38.85" customHeight="1" x14ac:dyDescent="0.2">
      <c r="A1570" s="81">
        <v>20023991</v>
      </c>
      <c r="B1570" s="80" t="s">
        <v>1829</v>
      </c>
      <c r="C1570" s="81" t="s">
        <v>7124</v>
      </c>
    </row>
    <row r="1571" spans="1:3" s="79" customFormat="1" ht="38.85" customHeight="1" x14ac:dyDescent="0.2">
      <c r="A1571" s="81">
        <v>20023992</v>
      </c>
      <c r="B1571" s="80" t="s">
        <v>1830</v>
      </c>
      <c r="C1571" s="82" t="s">
        <v>7125</v>
      </c>
    </row>
    <row r="1572" spans="1:3" s="79" customFormat="1" ht="38.85" customHeight="1" x14ac:dyDescent="0.2">
      <c r="A1572" s="81">
        <v>20023996</v>
      </c>
      <c r="B1572" s="80" t="s">
        <v>1831</v>
      </c>
      <c r="C1572" s="80" t="s">
        <v>219</v>
      </c>
    </row>
    <row r="1573" spans="1:3" s="79" customFormat="1" ht="19.149999999999999" customHeight="1" x14ac:dyDescent="0.2">
      <c r="A1573" s="81">
        <v>20023997</v>
      </c>
      <c r="B1573" s="80" t="s">
        <v>1832</v>
      </c>
      <c r="C1573" s="82" t="s">
        <v>7126</v>
      </c>
    </row>
    <row r="1574" spans="1:3" s="79" customFormat="1" ht="49.15" customHeight="1" x14ac:dyDescent="0.2">
      <c r="A1574" s="81">
        <v>20024633</v>
      </c>
      <c r="B1574" s="80" t="s">
        <v>1833</v>
      </c>
      <c r="C1574" s="80" t="s">
        <v>7127</v>
      </c>
    </row>
    <row r="1575" spans="1:3" s="79" customFormat="1" ht="19.149999999999999" customHeight="1" x14ac:dyDescent="0.2">
      <c r="A1575" s="81">
        <v>20024844</v>
      </c>
      <c r="B1575" s="80" t="s">
        <v>1834</v>
      </c>
      <c r="C1575" s="82" t="s">
        <v>7128</v>
      </c>
    </row>
    <row r="1576" spans="1:3" s="79" customFormat="1" ht="38.85" customHeight="1" x14ac:dyDescent="0.2">
      <c r="A1576" s="81">
        <v>20024845</v>
      </c>
      <c r="B1576" s="80" t="s">
        <v>1835</v>
      </c>
      <c r="C1576" s="82" t="s">
        <v>7129</v>
      </c>
    </row>
    <row r="1577" spans="1:3" s="79" customFormat="1" ht="19.149999999999999" customHeight="1" x14ac:dyDescent="0.2">
      <c r="A1577" s="81">
        <v>20024856</v>
      </c>
      <c r="B1577" s="80" t="s">
        <v>1836</v>
      </c>
      <c r="C1577" s="80" t="s">
        <v>7130</v>
      </c>
    </row>
    <row r="1578" spans="1:3" s="79" customFormat="1" ht="19.149999999999999" customHeight="1" x14ac:dyDescent="0.2">
      <c r="A1578" s="81">
        <v>20024857</v>
      </c>
      <c r="B1578" s="80" t="s">
        <v>1837</v>
      </c>
      <c r="C1578" s="80" t="s">
        <v>7131</v>
      </c>
    </row>
    <row r="1579" spans="1:3" s="79" customFormat="1" ht="19.149999999999999" customHeight="1" x14ac:dyDescent="0.2">
      <c r="A1579" s="81">
        <v>20024862</v>
      </c>
      <c r="B1579" s="80" t="s">
        <v>1838</v>
      </c>
      <c r="C1579" s="82" t="s">
        <v>7132</v>
      </c>
    </row>
    <row r="1580" spans="1:3" s="79" customFormat="1" ht="28.7" customHeight="1" x14ac:dyDescent="0.2">
      <c r="A1580" s="81">
        <v>20024906</v>
      </c>
      <c r="B1580" s="80" t="s">
        <v>1839</v>
      </c>
      <c r="C1580" s="81" t="s">
        <v>7133</v>
      </c>
    </row>
    <row r="1581" spans="1:3" s="79" customFormat="1" ht="129" customHeight="1" x14ac:dyDescent="0.2">
      <c r="A1581" s="81">
        <v>20024907</v>
      </c>
      <c r="B1581" s="80" t="s">
        <v>1840</v>
      </c>
      <c r="C1581" s="81" t="s">
        <v>7134</v>
      </c>
    </row>
    <row r="1582" spans="1:3" s="79" customFormat="1" ht="129" customHeight="1" x14ac:dyDescent="0.2">
      <c r="A1582" s="81">
        <v>20024908</v>
      </c>
      <c r="B1582" s="80" t="s">
        <v>1841</v>
      </c>
      <c r="C1582" s="81" t="s">
        <v>7135</v>
      </c>
    </row>
    <row r="1583" spans="1:3" s="79" customFormat="1" ht="129" customHeight="1" x14ac:dyDescent="0.2">
      <c r="A1583" s="81">
        <v>20024918</v>
      </c>
      <c r="B1583" s="80" t="s">
        <v>1842</v>
      </c>
      <c r="C1583" s="81" t="s">
        <v>7136</v>
      </c>
    </row>
    <row r="1584" spans="1:3" s="79" customFormat="1" ht="99.2" customHeight="1" x14ac:dyDescent="0.2">
      <c r="A1584" s="81">
        <v>20024983</v>
      </c>
      <c r="B1584" s="80" t="s">
        <v>1843</v>
      </c>
      <c r="C1584" s="82" t="s">
        <v>7137</v>
      </c>
    </row>
    <row r="1585" spans="1:3" s="79" customFormat="1" ht="19.149999999999999" customHeight="1" x14ac:dyDescent="0.2">
      <c r="A1585" s="81">
        <v>20025031</v>
      </c>
      <c r="B1585" s="80" t="s">
        <v>1844</v>
      </c>
      <c r="C1585" s="82" t="s">
        <v>7138</v>
      </c>
    </row>
    <row r="1586" spans="1:3" s="79" customFormat="1" ht="68.849999999999994" customHeight="1" x14ac:dyDescent="0.2">
      <c r="A1586" s="81">
        <v>20025515</v>
      </c>
      <c r="B1586" s="80" t="s">
        <v>1845</v>
      </c>
      <c r="C1586" s="81" t="s">
        <v>7139</v>
      </c>
    </row>
    <row r="1587" spans="1:3" s="79" customFormat="1" ht="68.849999999999994" customHeight="1" x14ac:dyDescent="0.2">
      <c r="A1587" s="81">
        <v>20026030</v>
      </c>
      <c r="B1587" s="80" t="s">
        <v>1846</v>
      </c>
      <c r="C1587" s="81" t="s">
        <v>7140</v>
      </c>
    </row>
    <row r="1588" spans="1:3" s="79" customFormat="1" ht="118.9" customHeight="1" x14ac:dyDescent="0.2">
      <c r="A1588" s="81">
        <v>20026040</v>
      </c>
      <c r="B1588" s="80" t="s">
        <v>1847</v>
      </c>
      <c r="C1588" s="82" t="s">
        <v>7141</v>
      </c>
    </row>
    <row r="1589" spans="1:3" s="79" customFormat="1" ht="49.15" customHeight="1" x14ac:dyDescent="0.2">
      <c r="A1589" s="81">
        <v>20026041</v>
      </c>
      <c r="B1589" s="80" t="s">
        <v>1848</v>
      </c>
      <c r="C1589" s="82" t="s">
        <v>7142</v>
      </c>
    </row>
    <row r="1590" spans="1:3" s="79" customFormat="1" ht="28.7" customHeight="1" x14ac:dyDescent="0.2">
      <c r="A1590" s="81">
        <v>20026042</v>
      </c>
      <c r="B1590" s="80" t="s">
        <v>1849</v>
      </c>
      <c r="C1590" s="82" t="s">
        <v>7143</v>
      </c>
    </row>
    <row r="1591" spans="1:3" s="79" customFormat="1" ht="59.1" customHeight="1" x14ac:dyDescent="0.2">
      <c r="A1591" s="81">
        <v>20026043</v>
      </c>
      <c r="B1591" s="80" t="s">
        <v>1850</v>
      </c>
      <c r="C1591" s="82" t="s">
        <v>7144</v>
      </c>
    </row>
    <row r="1592" spans="1:3" s="79" customFormat="1" ht="49.15" customHeight="1" x14ac:dyDescent="0.2">
      <c r="A1592" s="81">
        <v>20026136</v>
      </c>
      <c r="B1592" s="80" t="s">
        <v>11511</v>
      </c>
      <c r="C1592" s="80" t="s">
        <v>7145</v>
      </c>
    </row>
    <row r="1593" spans="1:3" s="79" customFormat="1" ht="19.149999999999999" customHeight="1" x14ac:dyDescent="0.2">
      <c r="A1593" s="81">
        <v>20026141</v>
      </c>
      <c r="B1593" s="80" t="s">
        <v>1851</v>
      </c>
      <c r="C1593" s="82" t="s">
        <v>7146</v>
      </c>
    </row>
    <row r="1594" spans="1:3" s="79" customFormat="1" ht="59.1" customHeight="1" x14ac:dyDescent="0.2">
      <c r="A1594" s="81">
        <v>20026142</v>
      </c>
      <c r="B1594" s="80" t="s">
        <v>1852</v>
      </c>
      <c r="C1594" s="81" t="s">
        <v>7147</v>
      </c>
    </row>
    <row r="1595" spans="1:3" s="79" customFormat="1" ht="78.95" customHeight="1" x14ac:dyDescent="0.2">
      <c r="A1595" s="81">
        <v>20026147</v>
      </c>
      <c r="B1595" s="80" t="s">
        <v>1853</v>
      </c>
      <c r="C1595" s="81" t="s">
        <v>7148</v>
      </c>
    </row>
    <row r="1596" spans="1:3" s="79" customFormat="1" ht="99.2" customHeight="1" x14ac:dyDescent="0.2">
      <c r="A1596" s="81">
        <v>20026148</v>
      </c>
      <c r="B1596" s="80" t="s">
        <v>1854</v>
      </c>
      <c r="C1596" s="82" t="s">
        <v>7149</v>
      </c>
    </row>
    <row r="1597" spans="1:3" s="79" customFormat="1" ht="68.849999999999994" customHeight="1" x14ac:dyDescent="0.2">
      <c r="A1597" s="81">
        <v>20026166</v>
      </c>
      <c r="B1597" s="80" t="s">
        <v>1855</v>
      </c>
      <c r="C1597" s="82" t="s">
        <v>7150</v>
      </c>
    </row>
    <row r="1598" spans="1:3" s="79" customFormat="1" ht="49.15" customHeight="1" x14ac:dyDescent="0.2">
      <c r="A1598" s="81">
        <v>20026184</v>
      </c>
      <c r="B1598" s="80" t="s">
        <v>1856</v>
      </c>
      <c r="C1598" s="80" t="s">
        <v>7151</v>
      </c>
    </row>
    <row r="1599" spans="1:3" s="79" customFormat="1" ht="19.149999999999999" customHeight="1" x14ac:dyDescent="0.2">
      <c r="A1599" s="81">
        <v>20026190</v>
      </c>
      <c r="B1599" s="80" t="s">
        <v>1857</v>
      </c>
      <c r="C1599" s="81" t="s">
        <v>7152</v>
      </c>
    </row>
    <row r="1600" spans="1:3" s="79" customFormat="1" ht="78.95" customHeight="1" x14ac:dyDescent="0.2">
      <c r="A1600" s="81">
        <v>20026629</v>
      </c>
      <c r="B1600" s="80" t="s">
        <v>1858</v>
      </c>
      <c r="C1600" s="82" t="s">
        <v>7153</v>
      </c>
    </row>
    <row r="1601" spans="1:3" s="79" customFormat="1" ht="99.2" customHeight="1" x14ac:dyDescent="0.2">
      <c r="A1601" s="81">
        <v>20026744</v>
      </c>
      <c r="B1601" s="80" t="s">
        <v>1859</v>
      </c>
      <c r="C1601" s="82" t="s">
        <v>7154</v>
      </c>
    </row>
    <row r="1602" spans="1:3" s="79" customFormat="1" ht="38.85" customHeight="1" x14ac:dyDescent="0.2">
      <c r="A1602" s="81">
        <v>20026779</v>
      </c>
      <c r="B1602" s="80" t="s">
        <v>1860</v>
      </c>
      <c r="C1602" s="82" t="s">
        <v>7155</v>
      </c>
    </row>
    <row r="1603" spans="1:3" s="79" customFormat="1" ht="59.1" customHeight="1" x14ac:dyDescent="0.2">
      <c r="A1603" s="81">
        <v>20026782</v>
      </c>
      <c r="B1603" s="80" t="s">
        <v>1861</v>
      </c>
      <c r="C1603" s="82" t="s">
        <v>7156</v>
      </c>
    </row>
    <row r="1604" spans="1:3" s="79" customFormat="1" ht="49.15" customHeight="1" x14ac:dyDescent="0.2">
      <c r="A1604" s="81">
        <v>20026786</v>
      </c>
      <c r="B1604" s="80" t="s">
        <v>1862</v>
      </c>
      <c r="C1604" s="82" t="s">
        <v>7157</v>
      </c>
    </row>
    <row r="1605" spans="1:3" s="79" customFormat="1" ht="38.85" customHeight="1" x14ac:dyDescent="0.2">
      <c r="A1605" s="81">
        <v>20026894</v>
      </c>
      <c r="B1605" s="80" t="s">
        <v>1863</v>
      </c>
      <c r="C1605" s="82" t="s">
        <v>7158</v>
      </c>
    </row>
    <row r="1606" spans="1:3" s="79" customFormat="1" ht="49.15" customHeight="1" x14ac:dyDescent="0.2">
      <c r="A1606" s="81">
        <v>20026895</v>
      </c>
      <c r="B1606" s="80" t="s">
        <v>1864</v>
      </c>
      <c r="C1606" s="82" t="s">
        <v>7159</v>
      </c>
    </row>
    <row r="1607" spans="1:3" s="79" customFormat="1" ht="49.15" customHeight="1" x14ac:dyDescent="0.2">
      <c r="A1607" s="81">
        <v>20026896</v>
      </c>
      <c r="B1607" s="80" t="s">
        <v>1865</v>
      </c>
      <c r="C1607" s="82" t="s">
        <v>7160</v>
      </c>
    </row>
    <row r="1608" spans="1:3" s="79" customFormat="1" ht="59.1" customHeight="1" x14ac:dyDescent="0.2">
      <c r="A1608" s="81">
        <v>20026955</v>
      </c>
      <c r="B1608" s="80" t="s">
        <v>1866</v>
      </c>
      <c r="C1608" s="82" t="s">
        <v>7161</v>
      </c>
    </row>
    <row r="1609" spans="1:3" s="79" customFormat="1" ht="38.85" customHeight="1" x14ac:dyDescent="0.2">
      <c r="A1609" s="81">
        <v>20026960</v>
      </c>
      <c r="B1609" s="80" t="s">
        <v>1867</v>
      </c>
      <c r="C1609" s="82" t="s">
        <v>7162</v>
      </c>
    </row>
    <row r="1610" spans="1:3" s="79" customFormat="1" ht="38.85" customHeight="1" x14ac:dyDescent="0.2">
      <c r="A1610" s="81">
        <v>20026961</v>
      </c>
      <c r="B1610" s="80" t="s">
        <v>1868</v>
      </c>
      <c r="C1610" s="82" t="s">
        <v>7163</v>
      </c>
    </row>
    <row r="1611" spans="1:3" s="79" customFormat="1" ht="38.85" customHeight="1" x14ac:dyDescent="0.2">
      <c r="A1611" s="81">
        <v>20026988</v>
      </c>
      <c r="B1611" s="80" t="s">
        <v>1869</v>
      </c>
      <c r="C1611" s="82" t="s">
        <v>7164</v>
      </c>
    </row>
    <row r="1612" spans="1:3" s="79" customFormat="1" ht="38.85" customHeight="1" x14ac:dyDescent="0.2">
      <c r="A1612" s="81">
        <v>20026994</v>
      </c>
      <c r="B1612" s="80" t="s">
        <v>1870</v>
      </c>
      <c r="C1612" s="82" t="s">
        <v>7165</v>
      </c>
    </row>
    <row r="1613" spans="1:3" s="79" customFormat="1" ht="89.1" customHeight="1" x14ac:dyDescent="0.2">
      <c r="A1613" s="81">
        <v>20026996</v>
      </c>
      <c r="B1613" s="80" t="s">
        <v>1871</v>
      </c>
      <c r="C1613" s="82" t="s">
        <v>7166</v>
      </c>
    </row>
    <row r="1614" spans="1:3" s="79" customFormat="1" ht="28.7" customHeight="1" x14ac:dyDescent="0.2">
      <c r="A1614" s="81">
        <v>20027002</v>
      </c>
      <c r="B1614" s="80" t="s">
        <v>1872</v>
      </c>
      <c r="C1614" s="82" t="s">
        <v>7167</v>
      </c>
    </row>
    <row r="1615" spans="1:3" s="79" customFormat="1" ht="28.7" customHeight="1" x14ac:dyDescent="0.2">
      <c r="A1615" s="81">
        <v>20027003</v>
      </c>
      <c r="B1615" s="80" t="s">
        <v>1873</v>
      </c>
      <c r="C1615" s="82" t="s">
        <v>7168</v>
      </c>
    </row>
    <row r="1616" spans="1:3" s="79" customFormat="1" ht="38.85" customHeight="1" x14ac:dyDescent="0.2">
      <c r="A1616" s="81">
        <v>20027370</v>
      </c>
      <c r="B1616" s="80" t="s">
        <v>1874</v>
      </c>
      <c r="C1616" s="82" t="s">
        <v>7169</v>
      </c>
    </row>
    <row r="1617" spans="1:3" s="79" customFormat="1" ht="49.15" customHeight="1" x14ac:dyDescent="0.2">
      <c r="A1617" s="81">
        <v>20027371</v>
      </c>
      <c r="B1617" s="80" t="s">
        <v>1875</v>
      </c>
      <c r="C1617" s="82" t="s">
        <v>7170</v>
      </c>
    </row>
    <row r="1618" spans="1:3" s="79" customFormat="1" ht="38.85" customHeight="1" x14ac:dyDescent="0.2">
      <c r="A1618" s="81">
        <v>20027374</v>
      </c>
      <c r="B1618" s="80" t="s">
        <v>1876</v>
      </c>
      <c r="C1618" s="82" t="s">
        <v>7171</v>
      </c>
    </row>
    <row r="1619" spans="1:3" s="79" customFormat="1" ht="49.15" customHeight="1" x14ac:dyDescent="0.2">
      <c r="A1619" s="81">
        <v>20027672</v>
      </c>
      <c r="B1619" s="80" t="s">
        <v>1877</v>
      </c>
      <c r="C1619" s="82" t="s">
        <v>7172</v>
      </c>
    </row>
    <row r="1620" spans="1:3" s="79" customFormat="1" ht="99.2" customHeight="1" x14ac:dyDescent="0.2">
      <c r="A1620" s="81">
        <v>20027781</v>
      </c>
      <c r="B1620" s="80" t="s">
        <v>11601</v>
      </c>
      <c r="C1620" s="82" t="s">
        <v>7173</v>
      </c>
    </row>
    <row r="1621" spans="1:3" s="79" customFormat="1" ht="28.7" customHeight="1" x14ac:dyDescent="0.2">
      <c r="A1621" s="81">
        <v>20027783</v>
      </c>
      <c r="B1621" s="80" t="s">
        <v>1878</v>
      </c>
      <c r="C1621" s="81" t="s">
        <v>7174</v>
      </c>
    </row>
    <row r="1622" spans="1:3" s="79" customFormat="1" ht="78.95" customHeight="1" x14ac:dyDescent="0.2">
      <c r="A1622" s="81">
        <v>20027788</v>
      </c>
      <c r="B1622" s="80" t="s">
        <v>1879</v>
      </c>
      <c r="C1622" s="82" t="s">
        <v>7175</v>
      </c>
    </row>
    <row r="1623" spans="1:3" s="79" customFormat="1" ht="19.149999999999999" customHeight="1" x14ac:dyDescent="0.2">
      <c r="A1623" s="81">
        <v>20027866</v>
      </c>
      <c r="B1623" s="80" t="s">
        <v>1880</v>
      </c>
      <c r="C1623" s="82" t="s">
        <v>7176</v>
      </c>
    </row>
    <row r="1624" spans="1:3" s="79" customFormat="1" ht="38.85" customHeight="1" x14ac:dyDescent="0.2">
      <c r="A1624" s="81">
        <v>20027867</v>
      </c>
      <c r="B1624" s="80" t="s">
        <v>1881</v>
      </c>
      <c r="C1624" s="82" t="s">
        <v>7177</v>
      </c>
    </row>
    <row r="1625" spans="1:3" s="79" customFormat="1" ht="38.85" customHeight="1" x14ac:dyDescent="0.2">
      <c r="A1625" s="81">
        <v>20027894</v>
      </c>
      <c r="B1625" s="80" t="s">
        <v>1882</v>
      </c>
      <c r="C1625" s="80"/>
    </row>
    <row r="1626" spans="1:3" s="79" customFormat="1" ht="19.149999999999999" customHeight="1" x14ac:dyDescent="0.2">
      <c r="A1626" s="81">
        <v>20027905</v>
      </c>
      <c r="B1626" s="80" t="s">
        <v>1883</v>
      </c>
      <c r="C1626" s="82" t="s">
        <v>7178</v>
      </c>
    </row>
    <row r="1627" spans="1:3" s="79" customFormat="1" ht="28.7" customHeight="1" x14ac:dyDescent="0.2">
      <c r="A1627" s="81">
        <v>20027943</v>
      </c>
      <c r="B1627" s="80" t="s">
        <v>1884</v>
      </c>
      <c r="C1627" s="82" t="s">
        <v>7179</v>
      </c>
    </row>
    <row r="1628" spans="1:3" s="79" customFormat="1" ht="28.7" customHeight="1" x14ac:dyDescent="0.2">
      <c r="A1628" s="81">
        <v>20027946</v>
      </c>
      <c r="B1628" s="80" t="s">
        <v>1885</v>
      </c>
      <c r="C1628" s="82" t="s">
        <v>7180</v>
      </c>
    </row>
    <row r="1629" spans="1:3" s="79" customFormat="1" ht="38.85" customHeight="1" x14ac:dyDescent="0.2">
      <c r="A1629" s="81">
        <v>20027989</v>
      </c>
      <c r="B1629" s="80" t="s">
        <v>1886</v>
      </c>
      <c r="C1629" s="82" t="s">
        <v>7181</v>
      </c>
    </row>
    <row r="1630" spans="1:3" s="79" customFormat="1" ht="38.85" customHeight="1" x14ac:dyDescent="0.2">
      <c r="A1630" s="81">
        <v>20027992</v>
      </c>
      <c r="B1630" s="80" t="s">
        <v>1887</v>
      </c>
      <c r="C1630" s="82" t="s">
        <v>7182</v>
      </c>
    </row>
    <row r="1631" spans="1:3" s="79" customFormat="1" ht="38.85" customHeight="1" x14ac:dyDescent="0.2">
      <c r="A1631" s="81">
        <v>20027996</v>
      </c>
      <c r="B1631" s="80" t="s">
        <v>1888</v>
      </c>
      <c r="C1631" s="82" t="s">
        <v>7183</v>
      </c>
    </row>
    <row r="1632" spans="1:3" s="79" customFormat="1" ht="38.85" customHeight="1" x14ac:dyDescent="0.2">
      <c r="A1632" s="81">
        <v>20028003</v>
      </c>
      <c r="B1632" s="80" t="s">
        <v>1889</v>
      </c>
      <c r="C1632" s="82" t="s">
        <v>7184</v>
      </c>
    </row>
    <row r="1633" spans="1:3" s="79" customFormat="1" ht="28.7" customHeight="1" x14ac:dyDescent="0.2">
      <c r="A1633" s="81">
        <v>20028020</v>
      </c>
      <c r="B1633" s="80" t="s">
        <v>1890</v>
      </c>
      <c r="C1633" s="82" t="s">
        <v>7185</v>
      </c>
    </row>
    <row r="1634" spans="1:3" s="79" customFormat="1" ht="59.1" customHeight="1" x14ac:dyDescent="0.2">
      <c r="A1634" s="81">
        <v>20028021</v>
      </c>
      <c r="B1634" s="80" t="s">
        <v>1891</v>
      </c>
      <c r="C1634" s="82" t="s">
        <v>7186</v>
      </c>
    </row>
    <row r="1635" spans="1:3" s="79" customFormat="1" ht="59.1" customHeight="1" x14ac:dyDescent="0.2">
      <c r="A1635" s="81">
        <v>20028025</v>
      </c>
      <c r="B1635" s="80" t="s">
        <v>1892</v>
      </c>
      <c r="C1635" s="82" t="s">
        <v>7187</v>
      </c>
    </row>
    <row r="1636" spans="1:3" s="79" customFormat="1" ht="28.7" customHeight="1" x14ac:dyDescent="0.2">
      <c r="A1636" s="81">
        <v>20028038</v>
      </c>
      <c r="B1636" s="80" t="s">
        <v>1893</v>
      </c>
      <c r="C1636" s="82" t="s">
        <v>7188</v>
      </c>
    </row>
    <row r="1637" spans="1:3" s="79" customFormat="1" ht="28.7" customHeight="1" x14ac:dyDescent="0.2">
      <c r="A1637" s="81">
        <v>20028047</v>
      </c>
      <c r="B1637" s="80" t="s">
        <v>1894</v>
      </c>
      <c r="C1637" s="82" t="s">
        <v>7189</v>
      </c>
    </row>
    <row r="1638" spans="1:3" s="79" customFormat="1" ht="19.149999999999999" customHeight="1" x14ac:dyDescent="0.2">
      <c r="A1638" s="81">
        <v>20028086</v>
      </c>
      <c r="B1638" s="80" t="s">
        <v>1895</v>
      </c>
      <c r="C1638" s="82" t="s">
        <v>7190</v>
      </c>
    </row>
    <row r="1639" spans="1:3" s="79" customFormat="1" ht="59.1" customHeight="1" x14ac:dyDescent="0.2">
      <c r="A1639" s="81">
        <v>20028087</v>
      </c>
      <c r="B1639" s="80" t="s">
        <v>1896</v>
      </c>
      <c r="C1639" s="81" t="s">
        <v>7191</v>
      </c>
    </row>
    <row r="1640" spans="1:3" s="79" customFormat="1" ht="89.1" customHeight="1" x14ac:dyDescent="0.2">
      <c r="A1640" s="81">
        <v>20028088</v>
      </c>
      <c r="B1640" s="80" t="s">
        <v>1897</v>
      </c>
      <c r="C1640" s="82" t="s">
        <v>7192</v>
      </c>
    </row>
    <row r="1641" spans="1:3" s="79" customFormat="1" ht="78.95" customHeight="1" x14ac:dyDescent="0.2">
      <c r="A1641" s="81">
        <v>20028089</v>
      </c>
      <c r="B1641" s="80" t="s">
        <v>1898</v>
      </c>
      <c r="C1641" s="82" t="s">
        <v>7193</v>
      </c>
    </row>
    <row r="1642" spans="1:3" s="79" customFormat="1" ht="78.95" customHeight="1" x14ac:dyDescent="0.2">
      <c r="A1642" s="81">
        <v>20028090</v>
      </c>
      <c r="B1642" s="80" t="s">
        <v>1899</v>
      </c>
      <c r="C1642" s="82" t="s">
        <v>7194</v>
      </c>
    </row>
    <row r="1643" spans="1:3" s="79" customFormat="1" ht="59.1" customHeight="1" x14ac:dyDescent="0.2">
      <c r="A1643" s="81">
        <v>20028091</v>
      </c>
      <c r="B1643" s="80" t="s">
        <v>1900</v>
      </c>
      <c r="C1643" s="82" t="s">
        <v>7195</v>
      </c>
    </row>
    <row r="1644" spans="1:3" s="79" customFormat="1" ht="68.849999999999994" customHeight="1" x14ac:dyDescent="0.2">
      <c r="A1644" s="81">
        <v>20028092</v>
      </c>
      <c r="B1644" s="80" t="s">
        <v>1901</v>
      </c>
      <c r="C1644" s="82" t="s">
        <v>7196</v>
      </c>
    </row>
    <row r="1645" spans="1:3" s="79" customFormat="1" ht="89.1" customHeight="1" x14ac:dyDescent="0.2">
      <c r="A1645" s="81">
        <v>20028093</v>
      </c>
      <c r="B1645" s="80" t="s">
        <v>1902</v>
      </c>
      <c r="C1645" s="82" t="s">
        <v>7197</v>
      </c>
    </row>
    <row r="1646" spans="1:3" s="79" customFormat="1" ht="99.2" customHeight="1" x14ac:dyDescent="0.2">
      <c r="A1646" s="81">
        <v>20028102</v>
      </c>
      <c r="B1646" s="80" t="s">
        <v>1903</v>
      </c>
      <c r="C1646" s="82" t="s">
        <v>7198</v>
      </c>
    </row>
    <row r="1647" spans="1:3" s="79" customFormat="1" ht="28.7" customHeight="1" x14ac:dyDescent="0.2">
      <c r="A1647" s="81">
        <v>20028108</v>
      </c>
      <c r="B1647" s="80" t="s">
        <v>1904</v>
      </c>
      <c r="C1647" s="82" t="s">
        <v>7199</v>
      </c>
    </row>
    <row r="1648" spans="1:3" s="79" customFormat="1" ht="28.7" customHeight="1" x14ac:dyDescent="0.2">
      <c r="A1648" s="81">
        <v>20028130</v>
      </c>
      <c r="B1648" s="80" t="s">
        <v>1905</v>
      </c>
      <c r="C1648" s="82" t="s">
        <v>7200</v>
      </c>
    </row>
    <row r="1649" spans="1:3" s="79" customFormat="1" ht="59.1" customHeight="1" x14ac:dyDescent="0.2">
      <c r="A1649" s="81">
        <v>20028153</v>
      </c>
      <c r="B1649" s="80" t="s">
        <v>1906</v>
      </c>
      <c r="C1649" s="81" t="s">
        <v>7201</v>
      </c>
    </row>
    <row r="1650" spans="1:3" s="79" customFormat="1" ht="288.95" customHeight="1" x14ac:dyDescent="0.2">
      <c r="A1650" s="81">
        <v>20028154</v>
      </c>
      <c r="B1650" s="80" t="s">
        <v>1907</v>
      </c>
      <c r="C1650" s="81" t="s">
        <v>7202</v>
      </c>
    </row>
    <row r="1651" spans="1:3" s="79" customFormat="1" ht="78.95" customHeight="1" x14ac:dyDescent="0.2">
      <c r="A1651" s="81">
        <v>20028155</v>
      </c>
      <c r="B1651" s="80" t="s">
        <v>1908</v>
      </c>
      <c r="C1651" s="81" t="s">
        <v>7203</v>
      </c>
    </row>
    <row r="1652" spans="1:3" s="79" customFormat="1" ht="149.25" customHeight="1" x14ac:dyDescent="0.2">
      <c r="A1652" s="81">
        <v>20028205</v>
      </c>
      <c r="B1652" s="80" t="s">
        <v>1909</v>
      </c>
      <c r="C1652" s="82" t="s">
        <v>7204</v>
      </c>
    </row>
    <row r="1653" spans="1:3" s="79" customFormat="1" ht="68.849999999999994" customHeight="1" x14ac:dyDescent="0.2">
      <c r="A1653" s="81">
        <v>20028299</v>
      </c>
      <c r="B1653" s="80" t="s">
        <v>1910</v>
      </c>
      <c r="C1653" s="80" t="s">
        <v>7205</v>
      </c>
    </row>
    <row r="1654" spans="1:3" s="79" customFormat="1" ht="19.149999999999999" customHeight="1" x14ac:dyDescent="0.2">
      <c r="A1654" s="81">
        <v>20028374</v>
      </c>
      <c r="B1654" s="80" t="s">
        <v>1911</v>
      </c>
      <c r="C1654" s="82" t="s">
        <v>7206</v>
      </c>
    </row>
    <row r="1655" spans="1:3" s="79" customFormat="1" ht="28.7" customHeight="1" x14ac:dyDescent="0.2">
      <c r="A1655" s="81">
        <v>20028375</v>
      </c>
      <c r="B1655" s="80" t="s">
        <v>1912</v>
      </c>
      <c r="C1655" s="82" t="s">
        <v>7207</v>
      </c>
    </row>
    <row r="1656" spans="1:3" s="79" customFormat="1" ht="28.7" customHeight="1" x14ac:dyDescent="0.2">
      <c r="A1656" s="81">
        <v>20028459</v>
      </c>
      <c r="B1656" s="80" t="s">
        <v>1915</v>
      </c>
      <c r="C1656" s="82" t="s">
        <v>7208</v>
      </c>
    </row>
    <row r="1657" spans="1:3" s="79" customFormat="1" ht="28.7" customHeight="1" x14ac:dyDescent="0.2">
      <c r="A1657" s="81">
        <v>20028460</v>
      </c>
      <c r="B1657" s="80" t="s">
        <v>1916</v>
      </c>
      <c r="C1657" s="82" t="s">
        <v>7209</v>
      </c>
    </row>
    <row r="1658" spans="1:3" s="79" customFormat="1" ht="28.7" customHeight="1" x14ac:dyDescent="0.2">
      <c r="A1658" s="81">
        <v>20028477</v>
      </c>
      <c r="B1658" s="80" t="s">
        <v>1917</v>
      </c>
      <c r="C1658" s="82" t="s">
        <v>7210</v>
      </c>
    </row>
    <row r="1659" spans="1:3" s="79" customFormat="1" ht="49.15" customHeight="1" x14ac:dyDescent="0.2">
      <c r="A1659" s="81">
        <v>20028482</v>
      </c>
      <c r="B1659" s="80" t="s">
        <v>1918</v>
      </c>
      <c r="C1659" s="82" t="s">
        <v>7211</v>
      </c>
    </row>
    <row r="1660" spans="1:3" s="79" customFormat="1" ht="28.7" customHeight="1" x14ac:dyDescent="0.2">
      <c r="A1660" s="81">
        <v>20028564</v>
      </c>
      <c r="B1660" s="80" t="s">
        <v>1919</v>
      </c>
      <c r="C1660" s="82" t="s">
        <v>7212</v>
      </c>
    </row>
    <row r="1661" spans="1:3" s="79" customFormat="1" ht="28.7" customHeight="1" x14ac:dyDescent="0.2">
      <c r="A1661" s="81">
        <v>20028597</v>
      </c>
      <c r="B1661" s="80" t="s">
        <v>1920</v>
      </c>
      <c r="C1661" s="82" t="s">
        <v>7213</v>
      </c>
    </row>
    <row r="1662" spans="1:3" s="79" customFormat="1" ht="59.1" customHeight="1" x14ac:dyDescent="0.2">
      <c r="A1662" s="81">
        <v>20028598</v>
      </c>
      <c r="B1662" s="80" t="s">
        <v>1921</v>
      </c>
      <c r="C1662" s="82" t="s">
        <v>7214</v>
      </c>
    </row>
    <row r="1663" spans="1:3" s="79" customFormat="1" ht="49.15" customHeight="1" x14ac:dyDescent="0.2">
      <c r="A1663" s="81">
        <v>20028599</v>
      </c>
      <c r="B1663" s="80" t="s">
        <v>1922</v>
      </c>
      <c r="C1663" s="81" t="s">
        <v>7215</v>
      </c>
    </row>
    <row r="1664" spans="1:3" s="79" customFormat="1" ht="78.95" customHeight="1" x14ac:dyDescent="0.2">
      <c r="A1664" s="81">
        <v>20028607</v>
      </c>
      <c r="B1664" s="80" t="s">
        <v>1923</v>
      </c>
      <c r="C1664" s="82" t="s">
        <v>7216</v>
      </c>
    </row>
    <row r="1665" spans="1:3" s="79" customFormat="1" ht="49.15" customHeight="1" x14ac:dyDescent="0.2">
      <c r="A1665" s="81">
        <v>20028608</v>
      </c>
      <c r="B1665" s="80" t="s">
        <v>1924</v>
      </c>
      <c r="C1665" s="82" t="s">
        <v>7217</v>
      </c>
    </row>
    <row r="1666" spans="1:3" s="79" customFormat="1" ht="49.15" customHeight="1" x14ac:dyDescent="0.2">
      <c r="A1666" s="81">
        <v>20028613</v>
      </c>
      <c r="B1666" s="80" t="s">
        <v>1926</v>
      </c>
      <c r="C1666" s="82" t="s">
        <v>7218</v>
      </c>
    </row>
    <row r="1667" spans="1:3" s="79" customFormat="1" ht="38.85" customHeight="1" x14ac:dyDescent="0.2">
      <c r="A1667" s="81">
        <v>20028618</v>
      </c>
      <c r="B1667" s="80" t="s">
        <v>1927</v>
      </c>
      <c r="C1667" s="80" t="s">
        <v>7219</v>
      </c>
    </row>
    <row r="1668" spans="1:3" s="79" customFormat="1" ht="19.149999999999999" customHeight="1" x14ac:dyDescent="0.2">
      <c r="A1668" s="81">
        <v>20028619</v>
      </c>
      <c r="B1668" s="80" t="s">
        <v>1928</v>
      </c>
      <c r="C1668" s="82" t="s">
        <v>7220</v>
      </c>
    </row>
    <row r="1669" spans="1:3" s="79" customFormat="1" ht="38.85" customHeight="1" x14ac:dyDescent="0.2">
      <c r="A1669" s="81">
        <v>20028622</v>
      </c>
      <c r="B1669" s="80" t="s">
        <v>1929</v>
      </c>
      <c r="C1669" s="82" t="s">
        <v>7221</v>
      </c>
    </row>
    <row r="1670" spans="1:3" s="79" customFormat="1" ht="38.85" customHeight="1" x14ac:dyDescent="0.2">
      <c r="A1670" s="81">
        <v>20028623</v>
      </c>
      <c r="B1670" s="80" t="s">
        <v>1930</v>
      </c>
      <c r="C1670" s="82" t="s">
        <v>7221</v>
      </c>
    </row>
    <row r="1671" spans="1:3" s="79" customFormat="1" ht="38.85" customHeight="1" x14ac:dyDescent="0.2">
      <c r="A1671" s="81">
        <v>20028624</v>
      </c>
      <c r="B1671" s="80" t="s">
        <v>1931</v>
      </c>
      <c r="C1671" s="82" t="s">
        <v>7222</v>
      </c>
    </row>
    <row r="1672" spans="1:3" s="79" customFormat="1" ht="28.7" customHeight="1" x14ac:dyDescent="0.2">
      <c r="A1672" s="81">
        <v>20028625</v>
      </c>
      <c r="B1672" s="80" t="s">
        <v>1932</v>
      </c>
      <c r="C1672" s="82" t="s">
        <v>7223</v>
      </c>
    </row>
    <row r="1673" spans="1:3" s="79" customFormat="1" ht="38.85" customHeight="1" x14ac:dyDescent="0.2">
      <c r="A1673" s="81">
        <v>20028626</v>
      </c>
      <c r="B1673" s="80" t="s">
        <v>1933</v>
      </c>
      <c r="C1673" s="82" t="s">
        <v>7224</v>
      </c>
    </row>
    <row r="1674" spans="1:3" s="79" customFormat="1" ht="28.7" customHeight="1" x14ac:dyDescent="0.2">
      <c r="A1674" s="81">
        <v>20028627</v>
      </c>
      <c r="B1674" s="80" t="s">
        <v>1934</v>
      </c>
      <c r="C1674" s="82" t="s">
        <v>7221</v>
      </c>
    </row>
    <row r="1675" spans="1:3" s="79" customFormat="1" ht="38.85" customHeight="1" x14ac:dyDescent="0.2">
      <c r="A1675" s="81">
        <v>20028628</v>
      </c>
      <c r="B1675" s="80" t="s">
        <v>1935</v>
      </c>
      <c r="C1675" s="82" t="s">
        <v>7221</v>
      </c>
    </row>
    <row r="1676" spans="1:3" s="79" customFormat="1" ht="38.85" customHeight="1" x14ac:dyDescent="0.2">
      <c r="A1676" s="81">
        <v>20028629</v>
      </c>
      <c r="B1676" s="80" t="s">
        <v>1936</v>
      </c>
      <c r="C1676" s="82" t="s">
        <v>7221</v>
      </c>
    </row>
    <row r="1677" spans="1:3" s="79" customFormat="1" ht="38.85" customHeight="1" x14ac:dyDescent="0.2">
      <c r="A1677" s="81">
        <v>20028631</v>
      </c>
      <c r="B1677" s="80" t="s">
        <v>1937</v>
      </c>
      <c r="C1677" s="82" t="s">
        <v>7221</v>
      </c>
    </row>
    <row r="1678" spans="1:3" s="79" customFormat="1" ht="38.85" customHeight="1" x14ac:dyDescent="0.2">
      <c r="A1678" s="81">
        <v>20028634</v>
      </c>
      <c r="B1678" s="80" t="s">
        <v>1938</v>
      </c>
      <c r="C1678" s="82" t="s">
        <v>7221</v>
      </c>
    </row>
    <row r="1679" spans="1:3" s="79" customFormat="1" ht="38.85" customHeight="1" x14ac:dyDescent="0.2">
      <c r="A1679" s="81">
        <v>20028635</v>
      </c>
      <c r="B1679" s="80" t="s">
        <v>1939</v>
      </c>
      <c r="C1679" s="82" t="s">
        <v>7225</v>
      </c>
    </row>
    <row r="1680" spans="1:3" s="79" customFormat="1" ht="38.85" customHeight="1" x14ac:dyDescent="0.2">
      <c r="A1680" s="81">
        <v>20028636</v>
      </c>
      <c r="B1680" s="80" t="s">
        <v>1940</v>
      </c>
      <c r="C1680" s="82" t="s">
        <v>7221</v>
      </c>
    </row>
    <row r="1681" spans="1:3" s="79" customFormat="1" ht="38.85" customHeight="1" x14ac:dyDescent="0.2">
      <c r="A1681" s="81">
        <v>20028637</v>
      </c>
      <c r="B1681" s="80" t="s">
        <v>1941</v>
      </c>
      <c r="C1681" s="82" t="s">
        <v>7226</v>
      </c>
    </row>
    <row r="1682" spans="1:3" s="79" customFormat="1" ht="38.85" customHeight="1" x14ac:dyDescent="0.2">
      <c r="A1682" s="81">
        <v>20028638</v>
      </c>
      <c r="B1682" s="80" t="s">
        <v>1942</v>
      </c>
      <c r="C1682" s="82" t="s">
        <v>7227</v>
      </c>
    </row>
    <row r="1683" spans="1:3" s="79" customFormat="1" ht="49.15" customHeight="1" x14ac:dyDescent="0.2">
      <c r="A1683" s="81">
        <v>20028639</v>
      </c>
      <c r="B1683" s="80" t="s">
        <v>1943</v>
      </c>
      <c r="C1683" s="82" t="s">
        <v>7228</v>
      </c>
    </row>
    <row r="1684" spans="1:3" s="79" customFormat="1" ht="38.85" customHeight="1" x14ac:dyDescent="0.2">
      <c r="A1684" s="81">
        <v>20028640</v>
      </c>
      <c r="B1684" s="80" t="s">
        <v>1944</v>
      </c>
      <c r="C1684" s="82" t="s">
        <v>10921</v>
      </c>
    </row>
    <row r="1685" spans="1:3" s="79" customFormat="1" ht="28.7" customHeight="1" x14ac:dyDescent="0.2">
      <c r="A1685" s="81">
        <v>20028660</v>
      </c>
      <c r="B1685" s="80" t="s">
        <v>1946</v>
      </c>
      <c r="C1685" s="82" t="s">
        <v>7229</v>
      </c>
    </row>
    <row r="1686" spans="1:3" s="79" customFormat="1" ht="28.7" customHeight="1" x14ac:dyDescent="0.2">
      <c r="A1686" s="81">
        <v>20028675</v>
      </c>
      <c r="B1686" s="80" t="s">
        <v>1947</v>
      </c>
      <c r="C1686" s="81" t="s">
        <v>7230</v>
      </c>
    </row>
    <row r="1687" spans="1:3" s="79" customFormat="1" ht="89.1" customHeight="1" x14ac:dyDescent="0.2">
      <c r="A1687" s="81">
        <v>20028676</v>
      </c>
      <c r="B1687" s="80" t="s">
        <v>1948</v>
      </c>
      <c r="C1687" s="81" t="s">
        <v>7231</v>
      </c>
    </row>
    <row r="1688" spans="1:3" s="79" customFormat="1" ht="49.15" customHeight="1" x14ac:dyDescent="0.2">
      <c r="A1688" s="81">
        <v>20028745</v>
      </c>
      <c r="B1688" s="80" t="s">
        <v>1949</v>
      </c>
      <c r="C1688" s="82" t="s">
        <v>7232</v>
      </c>
    </row>
    <row r="1689" spans="1:3" s="79" customFormat="1" ht="68.849999999999994" customHeight="1" x14ac:dyDescent="0.2">
      <c r="A1689" s="81">
        <v>20028746</v>
      </c>
      <c r="B1689" s="80" t="s">
        <v>1950</v>
      </c>
      <c r="C1689" s="82" t="s">
        <v>7233</v>
      </c>
    </row>
    <row r="1690" spans="1:3" s="79" customFormat="1" ht="68.849999999999994" customHeight="1" x14ac:dyDescent="0.2">
      <c r="A1690" s="81">
        <v>20028750</v>
      </c>
      <c r="B1690" s="80" t="s">
        <v>1951</v>
      </c>
      <c r="C1690" s="82" t="s">
        <v>7234</v>
      </c>
    </row>
    <row r="1691" spans="1:3" s="79" customFormat="1" ht="49.15" customHeight="1" x14ac:dyDescent="0.2">
      <c r="A1691" s="81">
        <v>20028752</v>
      </c>
      <c r="B1691" s="80" t="s">
        <v>11602</v>
      </c>
      <c r="C1691" s="82" t="s">
        <v>7235</v>
      </c>
    </row>
    <row r="1692" spans="1:3" s="79" customFormat="1" ht="38.85" customHeight="1" x14ac:dyDescent="0.2">
      <c r="A1692" s="81">
        <v>20028753</v>
      </c>
      <c r="B1692" s="80" t="s">
        <v>11603</v>
      </c>
      <c r="C1692" s="82" t="s">
        <v>7236</v>
      </c>
    </row>
    <row r="1693" spans="1:3" s="79" customFormat="1" ht="78.95" customHeight="1" x14ac:dyDescent="0.2">
      <c r="A1693" s="81">
        <v>20028838</v>
      </c>
      <c r="B1693" s="80" t="s">
        <v>1952</v>
      </c>
      <c r="C1693" s="82" t="s">
        <v>7237</v>
      </c>
    </row>
    <row r="1694" spans="1:3" s="79" customFormat="1" ht="49.15" customHeight="1" x14ac:dyDescent="0.2">
      <c r="A1694" s="81">
        <v>20028839</v>
      </c>
      <c r="B1694" s="80" t="s">
        <v>1953</v>
      </c>
      <c r="C1694" s="82" t="s">
        <v>7238</v>
      </c>
    </row>
    <row r="1695" spans="1:3" s="79" customFormat="1" ht="49.15" customHeight="1" x14ac:dyDescent="0.2">
      <c r="A1695" s="81">
        <v>20028840</v>
      </c>
      <c r="B1695" s="80" t="s">
        <v>1954</v>
      </c>
      <c r="C1695" s="82" t="s">
        <v>7239</v>
      </c>
    </row>
    <row r="1696" spans="1:3" s="79" customFormat="1" ht="59.1" customHeight="1" x14ac:dyDescent="0.2">
      <c r="A1696" s="81">
        <v>20028846</v>
      </c>
      <c r="B1696" s="80" t="s">
        <v>1955</v>
      </c>
      <c r="C1696" s="81" t="s">
        <v>7240</v>
      </c>
    </row>
    <row r="1697" spans="1:3" s="79" customFormat="1" ht="299.10000000000002" customHeight="1" x14ac:dyDescent="0.2">
      <c r="A1697" s="81">
        <v>20028852</v>
      </c>
      <c r="B1697" s="80" t="s">
        <v>1956</v>
      </c>
      <c r="C1697" s="82" t="s">
        <v>7241</v>
      </c>
    </row>
    <row r="1698" spans="1:3" s="79" customFormat="1" ht="38.85" customHeight="1" x14ac:dyDescent="0.2">
      <c r="A1698" s="81">
        <v>20028971</v>
      </c>
      <c r="B1698" s="80" t="s">
        <v>1957</v>
      </c>
      <c r="C1698" s="82" t="s">
        <v>7242</v>
      </c>
    </row>
    <row r="1699" spans="1:3" s="79" customFormat="1" ht="28.7" customHeight="1" x14ac:dyDescent="0.2">
      <c r="A1699" s="81">
        <v>20028973</v>
      </c>
      <c r="B1699" s="80" t="s">
        <v>1958</v>
      </c>
      <c r="C1699" s="82" t="s">
        <v>7243</v>
      </c>
    </row>
    <row r="1700" spans="1:3" s="79" customFormat="1" ht="28.7" customHeight="1" x14ac:dyDescent="0.2">
      <c r="A1700" s="81">
        <v>20028985</v>
      </c>
      <c r="B1700" s="80" t="s">
        <v>1959</v>
      </c>
      <c r="C1700" s="81" t="s">
        <v>7244</v>
      </c>
    </row>
    <row r="1701" spans="1:3" s="79" customFormat="1" ht="59.1" customHeight="1" x14ac:dyDescent="0.2">
      <c r="A1701" s="81">
        <v>20028998</v>
      </c>
      <c r="B1701" s="80" t="s">
        <v>1960</v>
      </c>
      <c r="C1701" s="82" t="s">
        <v>7245</v>
      </c>
    </row>
    <row r="1702" spans="1:3" s="79" customFormat="1" ht="68.849999999999994" customHeight="1" x14ac:dyDescent="0.2">
      <c r="A1702" s="81">
        <v>20028999</v>
      </c>
      <c r="B1702" s="80" t="s">
        <v>1961</v>
      </c>
      <c r="C1702" s="82" t="s">
        <v>7246</v>
      </c>
    </row>
    <row r="1703" spans="1:3" s="79" customFormat="1" ht="89.1" customHeight="1" x14ac:dyDescent="0.2">
      <c r="A1703" s="81">
        <v>20029001</v>
      </c>
      <c r="B1703" s="80" t="s">
        <v>1962</v>
      </c>
      <c r="C1703" s="82" t="s">
        <v>7247</v>
      </c>
    </row>
    <row r="1704" spans="1:3" s="79" customFormat="1" ht="59.1" customHeight="1" x14ac:dyDescent="0.2">
      <c r="A1704" s="81">
        <v>20029002</v>
      </c>
      <c r="B1704" s="80" t="s">
        <v>1963</v>
      </c>
      <c r="C1704" s="82" t="s">
        <v>7248</v>
      </c>
    </row>
    <row r="1705" spans="1:3" s="79" customFormat="1" ht="78.95" customHeight="1" x14ac:dyDescent="0.2">
      <c r="A1705" s="81">
        <v>20029008</v>
      </c>
      <c r="B1705" s="80" t="s">
        <v>1964</v>
      </c>
      <c r="C1705" s="82" t="s">
        <v>7249</v>
      </c>
    </row>
    <row r="1706" spans="1:3" s="79" customFormat="1" ht="28.7" customHeight="1" x14ac:dyDescent="0.2">
      <c r="A1706" s="81">
        <v>20029101</v>
      </c>
      <c r="B1706" s="80" t="s">
        <v>1965</v>
      </c>
      <c r="C1706" s="82" t="s">
        <v>7250</v>
      </c>
    </row>
    <row r="1707" spans="1:3" s="79" customFormat="1" ht="89.1" customHeight="1" x14ac:dyDescent="0.2">
      <c r="A1707" s="81">
        <v>20029110</v>
      </c>
      <c r="B1707" s="80" t="s">
        <v>1966</v>
      </c>
      <c r="C1707" s="82" t="s">
        <v>7251</v>
      </c>
    </row>
    <row r="1708" spans="1:3" s="79" customFormat="1" ht="38.85" customHeight="1" x14ac:dyDescent="0.2">
      <c r="A1708" s="81">
        <v>20029211</v>
      </c>
      <c r="B1708" s="80" t="s">
        <v>1967</v>
      </c>
      <c r="C1708" s="82" t="s">
        <v>7252</v>
      </c>
    </row>
    <row r="1709" spans="1:3" s="79" customFormat="1" ht="59.1" customHeight="1" x14ac:dyDescent="0.2">
      <c r="A1709" s="81">
        <v>20029212</v>
      </c>
      <c r="B1709" s="80" t="s">
        <v>1968</v>
      </c>
      <c r="C1709" s="82" t="s">
        <v>7253</v>
      </c>
    </row>
    <row r="1710" spans="1:3" s="79" customFormat="1" ht="59.1" customHeight="1" x14ac:dyDescent="0.2">
      <c r="A1710" s="81">
        <v>20029213</v>
      </c>
      <c r="B1710" s="80" t="s">
        <v>1969</v>
      </c>
      <c r="C1710" s="82" t="s">
        <v>7254</v>
      </c>
    </row>
    <row r="1711" spans="1:3" s="79" customFormat="1" ht="59.1" customHeight="1" x14ac:dyDescent="0.2">
      <c r="A1711" s="81">
        <v>20029214</v>
      </c>
      <c r="B1711" s="80" t="s">
        <v>1970</v>
      </c>
      <c r="C1711" s="82" t="s">
        <v>7255</v>
      </c>
    </row>
    <row r="1712" spans="1:3" s="79" customFormat="1" ht="59.1" customHeight="1" x14ac:dyDescent="0.2">
      <c r="A1712" s="81">
        <v>20029215</v>
      </c>
      <c r="B1712" s="80" t="s">
        <v>1971</v>
      </c>
      <c r="C1712" s="82" t="s">
        <v>7256</v>
      </c>
    </row>
    <row r="1713" spans="1:3" s="79" customFormat="1" ht="59.1" customHeight="1" x14ac:dyDescent="0.2">
      <c r="A1713" s="81">
        <v>20029217</v>
      </c>
      <c r="B1713" s="80" t="s">
        <v>1972</v>
      </c>
      <c r="C1713" s="82" t="s">
        <v>7257</v>
      </c>
    </row>
    <row r="1714" spans="1:3" s="79" customFormat="1" ht="59.1" customHeight="1" x14ac:dyDescent="0.2">
      <c r="A1714" s="81">
        <v>20029218</v>
      </c>
      <c r="B1714" s="80" t="s">
        <v>1973</v>
      </c>
      <c r="C1714" s="82" t="s">
        <v>7258</v>
      </c>
    </row>
    <row r="1715" spans="1:3" s="79" customFormat="1" ht="59.1" customHeight="1" x14ac:dyDescent="0.2">
      <c r="A1715" s="81">
        <v>20029219</v>
      </c>
      <c r="B1715" s="80" t="s">
        <v>1974</v>
      </c>
      <c r="C1715" s="82" t="s">
        <v>7259</v>
      </c>
    </row>
    <row r="1716" spans="1:3" s="79" customFormat="1" ht="59.1" customHeight="1" x14ac:dyDescent="0.2">
      <c r="A1716" s="81">
        <v>20029220</v>
      </c>
      <c r="B1716" s="80" t="s">
        <v>1975</v>
      </c>
      <c r="C1716" s="82" t="s">
        <v>7260</v>
      </c>
    </row>
    <row r="1717" spans="1:3" s="79" customFormat="1" ht="49.15" customHeight="1" x14ac:dyDescent="0.2">
      <c r="A1717" s="81">
        <v>20029221</v>
      </c>
      <c r="B1717" s="80" t="s">
        <v>1976</v>
      </c>
      <c r="C1717" s="82" t="s">
        <v>7261</v>
      </c>
    </row>
    <row r="1718" spans="1:3" s="79" customFormat="1" ht="59.1" customHeight="1" x14ac:dyDescent="0.2">
      <c r="A1718" s="81">
        <v>20029222</v>
      </c>
      <c r="B1718" s="80" t="s">
        <v>1977</v>
      </c>
      <c r="C1718" s="82" t="s">
        <v>7262</v>
      </c>
    </row>
    <row r="1719" spans="1:3" s="79" customFormat="1" ht="59.1" customHeight="1" x14ac:dyDescent="0.2">
      <c r="A1719" s="81">
        <v>20029226</v>
      </c>
      <c r="B1719" s="80" t="s">
        <v>1978</v>
      </c>
      <c r="C1719" s="82" t="s">
        <v>7263</v>
      </c>
    </row>
    <row r="1720" spans="1:3" s="79" customFormat="1" ht="89.1" customHeight="1" x14ac:dyDescent="0.2">
      <c r="A1720" s="81">
        <v>20029227</v>
      </c>
      <c r="B1720" s="80" t="s">
        <v>1979</v>
      </c>
      <c r="C1720" s="82" t="s">
        <v>7264</v>
      </c>
    </row>
    <row r="1721" spans="1:3" s="79" customFormat="1" ht="78.95" customHeight="1" x14ac:dyDescent="0.2">
      <c r="A1721" s="81">
        <v>20029228</v>
      </c>
      <c r="B1721" s="80" t="s">
        <v>1980</v>
      </c>
      <c r="C1721" s="82" t="s">
        <v>7265</v>
      </c>
    </row>
    <row r="1722" spans="1:3" s="79" customFormat="1" ht="78.95" customHeight="1" x14ac:dyDescent="0.2">
      <c r="A1722" s="81">
        <v>20029229</v>
      </c>
      <c r="B1722" s="80" t="s">
        <v>1981</v>
      </c>
      <c r="C1722" s="82" t="s">
        <v>7266</v>
      </c>
    </row>
    <row r="1723" spans="1:3" s="79" customFormat="1" ht="78.95" customHeight="1" x14ac:dyDescent="0.2">
      <c r="A1723" s="81">
        <v>20029230</v>
      </c>
      <c r="B1723" s="80" t="s">
        <v>1982</v>
      </c>
      <c r="C1723" s="82" t="s">
        <v>7267</v>
      </c>
    </row>
    <row r="1724" spans="1:3" s="79" customFormat="1" ht="78.95" customHeight="1" x14ac:dyDescent="0.2">
      <c r="A1724" s="81">
        <v>20029231</v>
      </c>
      <c r="B1724" s="80" t="s">
        <v>1983</v>
      </c>
      <c r="C1724" s="82" t="s">
        <v>7268</v>
      </c>
    </row>
    <row r="1725" spans="1:3" s="79" customFormat="1" ht="78.95" customHeight="1" x14ac:dyDescent="0.2">
      <c r="A1725" s="81">
        <v>20029232</v>
      </c>
      <c r="B1725" s="80" t="s">
        <v>1984</v>
      </c>
      <c r="C1725" s="82" t="s">
        <v>7269</v>
      </c>
    </row>
    <row r="1726" spans="1:3" s="79" customFormat="1" ht="78.95" customHeight="1" x14ac:dyDescent="0.2">
      <c r="A1726" s="81">
        <v>20029233</v>
      </c>
      <c r="B1726" s="80" t="s">
        <v>1985</v>
      </c>
      <c r="C1726" s="82" t="s">
        <v>7270</v>
      </c>
    </row>
    <row r="1727" spans="1:3" s="79" customFormat="1" ht="78.95" customHeight="1" x14ac:dyDescent="0.2">
      <c r="A1727" s="81">
        <v>20029234</v>
      </c>
      <c r="B1727" s="80" t="s">
        <v>1986</v>
      </c>
      <c r="C1727" s="82" t="s">
        <v>7271</v>
      </c>
    </row>
    <row r="1728" spans="1:3" s="79" customFormat="1" ht="78.95" customHeight="1" x14ac:dyDescent="0.2">
      <c r="A1728" s="81">
        <v>20029235</v>
      </c>
      <c r="B1728" s="80" t="s">
        <v>1987</v>
      </c>
      <c r="C1728" s="82" t="s">
        <v>7272</v>
      </c>
    </row>
    <row r="1729" spans="1:3" s="79" customFormat="1" ht="78.95" customHeight="1" x14ac:dyDescent="0.2">
      <c r="A1729" s="81">
        <v>20029237</v>
      </c>
      <c r="B1729" s="80" t="s">
        <v>1988</v>
      </c>
      <c r="C1729" s="82" t="s">
        <v>7273</v>
      </c>
    </row>
    <row r="1730" spans="1:3" s="79" customFormat="1" ht="68.849999999999994" customHeight="1" x14ac:dyDescent="0.2">
      <c r="A1730" s="81">
        <v>20029238</v>
      </c>
      <c r="B1730" s="80" t="s">
        <v>1989</v>
      </c>
      <c r="C1730" s="82" t="s">
        <v>7274</v>
      </c>
    </row>
    <row r="1731" spans="1:3" s="79" customFormat="1" ht="78.95" customHeight="1" x14ac:dyDescent="0.2">
      <c r="A1731" s="81">
        <v>20029239</v>
      </c>
      <c r="B1731" s="80" t="s">
        <v>1990</v>
      </c>
      <c r="C1731" s="80" t="s">
        <v>7275</v>
      </c>
    </row>
    <row r="1732" spans="1:3" s="79" customFormat="1" ht="19.149999999999999" customHeight="1" x14ac:dyDescent="0.2">
      <c r="A1732" s="81">
        <v>20029241</v>
      </c>
      <c r="B1732" s="80" t="s">
        <v>1991</v>
      </c>
      <c r="C1732" s="82" t="s">
        <v>7276</v>
      </c>
    </row>
    <row r="1733" spans="1:3" s="79" customFormat="1" ht="78.95" customHeight="1" x14ac:dyDescent="0.2">
      <c r="A1733" s="81">
        <v>20029243</v>
      </c>
      <c r="B1733" s="80" t="s">
        <v>1992</v>
      </c>
      <c r="C1733" s="82" t="s">
        <v>7277</v>
      </c>
    </row>
    <row r="1734" spans="1:3" s="79" customFormat="1" ht="68.849999999999994" customHeight="1" x14ac:dyDescent="0.2">
      <c r="A1734" s="81">
        <v>20029245</v>
      </c>
      <c r="B1734" s="80" t="s">
        <v>1993</v>
      </c>
      <c r="C1734" s="82" t="s">
        <v>7278</v>
      </c>
    </row>
    <row r="1735" spans="1:3" s="79" customFormat="1" ht="99.2" customHeight="1" x14ac:dyDescent="0.2">
      <c r="A1735" s="81">
        <v>20029246</v>
      </c>
      <c r="B1735" s="80" t="s">
        <v>1994</v>
      </c>
      <c r="C1735" s="82" t="s">
        <v>7279</v>
      </c>
    </row>
    <row r="1736" spans="1:3" s="79" customFormat="1" ht="99.2" customHeight="1" x14ac:dyDescent="0.2">
      <c r="A1736" s="81">
        <v>20029247</v>
      </c>
      <c r="B1736" s="80" t="s">
        <v>1995</v>
      </c>
      <c r="C1736" s="82" t="s">
        <v>7280</v>
      </c>
    </row>
    <row r="1737" spans="1:3" s="79" customFormat="1" ht="99.2" customHeight="1" x14ac:dyDescent="0.2">
      <c r="A1737" s="81">
        <v>20029248</v>
      </c>
      <c r="B1737" s="80" t="s">
        <v>1996</v>
      </c>
      <c r="C1737" s="82" t="s">
        <v>7281</v>
      </c>
    </row>
    <row r="1738" spans="1:3" s="79" customFormat="1" ht="99.2" customHeight="1" x14ac:dyDescent="0.2">
      <c r="A1738" s="81">
        <v>20029249</v>
      </c>
      <c r="B1738" s="80" t="s">
        <v>1997</v>
      </c>
      <c r="C1738" s="82" t="s">
        <v>7282</v>
      </c>
    </row>
    <row r="1739" spans="1:3" s="79" customFormat="1" ht="99.2" customHeight="1" x14ac:dyDescent="0.2">
      <c r="A1739" s="81">
        <v>20029250</v>
      </c>
      <c r="B1739" s="80" t="s">
        <v>1998</v>
      </c>
      <c r="C1739" s="82" t="s">
        <v>7283</v>
      </c>
    </row>
    <row r="1740" spans="1:3" s="79" customFormat="1" ht="99.2" customHeight="1" x14ac:dyDescent="0.2">
      <c r="A1740" s="81">
        <v>20029251</v>
      </c>
      <c r="B1740" s="80" t="s">
        <v>1999</v>
      </c>
      <c r="C1740" s="82" t="s">
        <v>7284</v>
      </c>
    </row>
    <row r="1741" spans="1:3" s="79" customFormat="1" ht="109.35" customHeight="1" x14ac:dyDescent="0.2">
      <c r="A1741" s="81">
        <v>20029252</v>
      </c>
      <c r="B1741" s="80" t="s">
        <v>2000</v>
      </c>
      <c r="C1741" s="82" t="s">
        <v>7285</v>
      </c>
    </row>
    <row r="1742" spans="1:3" s="79" customFormat="1" ht="99.2" customHeight="1" x14ac:dyDescent="0.2">
      <c r="A1742" s="81">
        <v>20029255</v>
      </c>
      <c r="B1742" s="80" t="s">
        <v>2001</v>
      </c>
      <c r="C1742" s="82" t="s">
        <v>7286</v>
      </c>
    </row>
    <row r="1743" spans="1:3" s="79" customFormat="1" ht="99.2" customHeight="1" x14ac:dyDescent="0.2">
      <c r="A1743" s="81">
        <v>20029265</v>
      </c>
      <c r="B1743" s="80" t="s">
        <v>2002</v>
      </c>
      <c r="C1743" s="82" t="s">
        <v>7287</v>
      </c>
    </row>
    <row r="1744" spans="1:3" s="79" customFormat="1" ht="89.1" customHeight="1" x14ac:dyDescent="0.2">
      <c r="A1744" s="81">
        <v>20029266</v>
      </c>
      <c r="B1744" s="80" t="s">
        <v>2003</v>
      </c>
      <c r="C1744" s="82" t="s">
        <v>7288</v>
      </c>
    </row>
    <row r="1745" spans="1:3" s="79" customFormat="1" ht="78.95" customHeight="1" x14ac:dyDescent="0.2">
      <c r="A1745" s="81">
        <v>20029267</v>
      </c>
      <c r="B1745" s="80" t="s">
        <v>2004</v>
      </c>
      <c r="C1745" s="82" t="s">
        <v>7289</v>
      </c>
    </row>
    <row r="1746" spans="1:3" s="79" customFormat="1" ht="89.1" customHeight="1" x14ac:dyDescent="0.2">
      <c r="A1746" s="81">
        <v>20029268</v>
      </c>
      <c r="B1746" s="80" t="s">
        <v>2005</v>
      </c>
      <c r="C1746" s="82" t="s">
        <v>7290</v>
      </c>
    </row>
    <row r="1747" spans="1:3" s="79" customFormat="1" ht="89.1" customHeight="1" x14ac:dyDescent="0.2">
      <c r="A1747" s="81">
        <v>20029269</v>
      </c>
      <c r="B1747" s="80" t="s">
        <v>2006</v>
      </c>
      <c r="C1747" s="82" t="s">
        <v>7291</v>
      </c>
    </row>
    <row r="1748" spans="1:3" s="79" customFormat="1" ht="89.1" customHeight="1" x14ac:dyDescent="0.2">
      <c r="A1748" s="81">
        <v>20029270</v>
      </c>
      <c r="B1748" s="80" t="s">
        <v>2007</v>
      </c>
      <c r="C1748" s="82" t="s">
        <v>7292</v>
      </c>
    </row>
    <row r="1749" spans="1:3" s="79" customFormat="1" ht="68.849999999999994" customHeight="1" x14ac:dyDescent="0.2">
      <c r="A1749" s="81">
        <v>20029272</v>
      </c>
      <c r="B1749" s="80" t="s">
        <v>2008</v>
      </c>
      <c r="C1749" s="82" t="s">
        <v>7293</v>
      </c>
    </row>
    <row r="1750" spans="1:3" s="79" customFormat="1" ht="59.1" customHeight="1" x14ac:dyDescent="0.2">
      <c r="A1750" s="81">
        <v>20029273</v>
      </c>
      <c r="B1750" s="80" t="s">
        <v>2009</v>
      </c>
      <c r="C1750" s="82" t="s">
        <v>7294</v>
      </c>
    </row>
    <row r="1751" spans="1:3" s="79" customFormat="1" ht="59.1" customHeight="1" x14ac:dyDescent="0.2">
      <c r="A1751" s="81">
        <v>20029274</v>
      </c>
      <c r="B1751" s="80" t="s">
        <v>2010</v>
      </c>
      <c r="C1751" s="82" t="s">
        <v>7295</v>
      </c>
    </row>
    <row r="1752" spans="1:3" s="79" customFormat="1" ht="49.15" customHeight="1" x14ac:dyDescent="0.2">
      <c r="A1752" s="81">
        <v>20029278</v>
      </c>
      <c r="B1752" s="80" t="s">
        <v>2011</v>
      </c>
      <c r="C1752" s="82" t="s">
        <v>7296</v>
      </c>
    </row>
    <row r="1753" spans="1:3" s="79" customFormat="1" ht="59.1" customHeight="1" x14ac:dyDescent="0.2">
      <c r="A1753" s="81">
        <v>20029279</v>
      </c>
      <c r="B1753" s="80" t="s">
        <v>2012</v>
      </c>
      <c r="C1753" s="82" t="s">
        <v>7297</v>
      </c>
    </row>
    <row r="1754" spans="1:3" s="79" customFormat="1" ht="59.1" customHeight="1" x14ac:dyDescent="0.2">
      <c r="A1754" s="81">
        <v>20029280</v>
      </c>
      <c r="B1754" s="80" t="s">
        <v>2013</v>
      </c>
      <c r="C1754" s="82" t="s">
        <v>7298</v>
      </c>
    </row>
    <row r="1755" spans="1:3" s="79" customFormat="1" ht="59.1" customHeight="1" x14ac:dyDescent="0.2">
      <c r="A1755" s="81">
        <v>20029281</v>
      </c>
      <c r="B1755" s="80" t="s">
        <v>2014</v>
      </c>
      <c r="C1755" s="82" t="s">
        <v>7299</v>
      </c>
    </row>
    <row r="1756" spans="1:3" s="79" customFormat="1" ht="49.15" customHeight="1" x14ac:dyDescent="0.2">
      <c r="A1756" s="81">
        <v>20029282</v>
      </c>
      <c r="B1756" s="80" t="s">
        <v>2015</v>
      </c>
      <c r="C1756" s="82" t="s">
        <v>7300</v>
      </c>
    </row>
    <row r="1757" spans="1:3" s="79" customFormat="1" ht="68.849999999999994" customHeight="1" x14ac:dyDescent="0.2">
      <c r="A1757" s="81">
        <v>20029284</v>
      </c>
      <c r="B1757" s="80" t="s">
        <v>2016</v>
      </c>
      <c r="C1757" s="82" t="s">
        <v>7301</v>
      </c>
    </row>
    <row r="1758" spans="1:3" s="79" customFormat="1" ht="68.849999999999994" customHeight="1" x14ac:dyDescent="0.2">
      <c r="A1758" s="81">
        <v>20029285</v>
      </c>
      <c r="B1758" s="80" t="s">
        <v>2017</v>
      </c>
      <c r="C1758" s="82" t="s">
        <v>7302</v>
      </c>
    </row>
    <row r="1759" spans="1:3" s="79" customFormat="1" ht="68.849999999999994" customHeight="1" x14ac:dyDescent="0.2">
      <c r="A1759" s="81">
        <v>20029286</v>
      </c>
      <c r="B1759" s="80" t="s">
        <v>2018</v>
      </c>
      <c r="C1759" s="82" t="s">
        <v>7303</v>
      </c>
    </row>
    <row r="1760" spans="1:3" s="79" customFormat="1" ht="78.95" customHeight="1" x14ac:dyDescent="0.2">
      <c r="A1760" s="81">
        <v>20029287</v>
      </c>
      <c r="B1760" s="80" t="s">
        <v>2019</v>
      </c>
      <c r="C1760" s="82" t="s">
        <v>7304</v>
      </c>
    </row>
    <row r="1761" spans="1:3" s="79" customFormat="1" ht="78.95" customHeight="1" x14ac:dyDescent="0.2">
      <c r="A1761" s="81">
        <v>20029288</v>
      </c>
      <c r="B1761" s="80" t="s">
        <v>2020</v>
      </c>
      <c r="C1761" s="82" t="s">
        <v>7305</v>
      </c>
    </row>
    <row r="1762" spans="1:3" s="79" customFormat="1" ht="68.849999999999994" customHeight="1" x14ac:dyDescent="0.2">
      <c r="A1762" s="81">
        <v>20029289</v>
      </c>
      <c r="B1762" s="80" t="s">
        <v>2021</v>
      </c>
      <c r="C1762" s="82" t="s">
        <v>7306</v>
      </c>
    </row>
    <row r="1763" spans="1:3" s="79" customFormat="1" ht="68.849999999999994" customHeight="1" x14ac:dyDescent="0.2">
      <c r="A1763" s="81">
        <v>20029290</v>
      </c>
      <c r="B1763" s="80" t="s">
        <v>2022</v>
      </c>
      <c r="C1763" s="82" t="s">
        <v>7307</v>
      </c>
    </row>
    <row r="1764" spans="1:3" s="79" customFormat="1" ht="68.849999999999994" customHeight="1" x14ac:dyDescent="0.2">
      <c r="A1764" s="81">
        <v>20029291</v>
      </c>
      <c r="B1764" s="80" t="s">
        <v>2023</v>
      </c>
      <c r="C1764" s="82" t="s">
        <v>7308</v>
      </c>
    </row>
    <row r="1765" spans="1:3" s="79" customFormat="1" ht="68.849999999999994" customHeight="1" x14ac:dyDescent="0.2">
      <c r="A1765" s="81">
        <v>20029292</v>
      </c>
      <c r="B1765" s="80" t="s">
        <v>2024</v>
      </c>
      <c r="C1765" s="82" t="s">
        <v>7309</v>
      </c>
    </row>
    <row r="1766" spans="1:3" s="79" customFormat="1" ht="68.849999999999994" customHeight="1" x14ac:dyDescent="0.2">
      <c r="A1766" s="81">
        <v>20029293</v>
      </c>
      <c r="B1766" s="80" t="s">
        <v>2025</v>
      </c>
      <c r="C1766" s="82" t="s">
        <v>7310</v>
      </c>
    </row>
    <row r="1767" spans="1:3" s="79" customFormat="1" ht="89.1" customHeight="1" x14ac:dyDescent="0.2">
      <c r="A1767" s="81">
        <v>20029294</v>
      </c>
      <c r="B1767" s="80" t="s">
        <v>2026</v>
      </c>
      <c r="C1767" s="82" t="s">
        <v>7311</v>
      </c>
    </row>
    <row r="1768" spans="1:3" s="79" customFormat="1" ht="78.95" customHeight="1" x14ac:dyDescent="0.2">
      <c r="A1768" s="81">
        <v>20029295</v>
      </c>
      <c r="B1768" s="80" t="s">
        <v>2027</v>
      </c>
      <c r="C1768" s="82" t="s">
        <v>7312</v>
      </c>
    </row>
    <row r="1769" spans="1:3" s="79" customFormat="1" ht="78.95" customHeight="1" x14ac:dyDescent="0.2">
      <c r="A1769" s="81">
        <v>20029296</v>
      </c>
      <c r="B1769" s="80" t="s">
        <v>2028</v>
      </c>
      <c r="C1769" s="82" t="s">
        <v>7313</v>
      </c>
    </row>
    <row r="1770" spans="1:3" s="79" customFormat="1" ht="68.849999999999994" customHeight="1" x14ac:dyDescent="0.2">
      <c r="A1770" s="81">
        <v>20029298</v>
      </c>
      <c r="B1770" s="80" t="s">
        <v>2029</v>
      </c>
      <c r="C1770" s="82" t="s">
        <v>7314</v>
      </c>
    </row>
    <row r="1771" spans="1:3" s="79" customFormat="1" ht="78.95" customHeight="1" x14ac:dyDescent="0.2">
      <c r="A1771" s="81">
        <v>20029299</v>
      </c>
      <c r="B1771" s="80" t="s">
        <v>2030</v>
      </c>
      <c r="C1771" s="82" t="s">
        <v>7315</v>
      </c>
    </row>
    <row r="1772" spans="1:3" s="79" customFormat="1" ht="68.849999999999994" customHeight="1" x14ac:dyDescent="0.2">
      <c r="A1772" s="81">
        <v>20029300</v>
      </c>
      <c r="B1772" s="80" t="s">
        <v>2031</v>
      </c>
      <c r="C1772" s="82" t="s">
        <v>7316</v>
      </c>
    </row>
    <row r="1773" spans="1:3" s="79" customFormat="1" ht="68.849999999999994" customHeight="1" x14ac:dyDescent="0.2">
      <c r="A1773" s="81">
        <v>20029301</v>
      </c>
      <c r="B1773" s="80" t="s">
        <v>2032</v>
      </c>
      <c r="C1773" s="82" t="s">
        <v>7317</v>
      </c>
    </row>
    <row r="1774" spans="1:3" s="79" customFormat="1" ht="68.849999999999994" customHeight="1" x14ac:dyDescent="0.2">
      <c r="A1774" s="81">
        <v>20029302</v>
      </c>
      <c r="B1774" s="80" t="s">
        <v>2033</v>
      </c>
      <c r="C1774" s="82" t="s">
        <v>7318</v>
      </c>
    </row>
    <row r="1775" spans="1:3" s="79" customFormat="1" ht="78.95" customHeight="1" x14ac:dyDescent="0.2">
      <c r="A1775" s="81">
        <v>20029303</v>
      </c>
      <c r="B1775" s="80" t="s">
        <v>2034</v>
      </c>
      <c r="C1775" s="82" t="s">
        <v>7319</v>
      </c>
    </row>
    <row r="1776" spans="1:3" s="79" customFormat="1" ht="68.849999999999994" customHeight="1" x14ac:dyDescent="0.2">
      <c r="A1776" s="81">
        <v>20029304</v>
      </c>
      <c r="B1776" s="80" t="s">
        <v>2035</v>
      </c>
      <c r="C1776" s="82" t="s">
        <v>7320</v>
      </c>
    </row>
    <row r="1777" spans="1:3" s="79" customFormat="1" ht="68.849999999999994" customHeight="1" x14ac:dyDescent="0.2">
      <c r="A1777" s="81">
        <v>20029305</v>
      </c>
      <c r="B1777" s="80" t="s">
        <v>2036</v>
      </c>
      <c r="C1777" s="82" t="s">
        <v>7321</v>
      </c>
    </row>
    <row r="1778" spans="1:3" s="79" customFormat="1" ht="68.849999999999994" customHeight="1" x14ac:dyDescent="0.2">
      <c r="A1778" s="81">
        <v>20029306</v>
      </c>
      <c r="B1778" s="80" t="s">
        <v>2037</v>
      </c>
      <c r="C1778" s="82" t="s">
        <v>7322</v>
      </c>
    </row>
    <row r="1779" spans="1:3" s="79" customFormat="1" ht="78.95" customHeight="1" x14ac:dyDescent="0.2">
      <c r="A1779" s="81">
        <v>20029307</v>
      </c>
      <c r="B1779" s="80" t="s">
        <v>2038</v>
      </c>
      <c r="C1779" s="82" t="s">
        <v>7323</v>
      </c>
    </row>
    <row r="1780" spans="1:3" s="79" customFormat="1" ht="68.849999999999994" customHeight="1" x14ac:dyDescent="0.2">
      <c r="A1780" s="81">
        <v>20029309</v>
      </c>
      <c r="B1780" s="80" t="s">
        <v>2039</v>
      </c>
      <c r="C1780" s="82" t="s">
        <v>7324</v>
      </c>
    </row>
    <row r="1781" spans="1:3" s="79" customFormat="1" ht="68.849999999999994" customHeight="1" x14ac:dyDescent="0.2">
      <c r="A1781" s="81">
        <v>20029310</v>
      </c>
      <c r="B1781" s="80" t="s">
        <v>2040</v>
      </c>
      <c r="C1781" s="82" t="s">
        <v>7325</v>
      </c>
    </row>
    <row r="1782" spans="1:3" s="79" customFormat="1" ht="68.849999999999994" customHeight="1" x14ac:dyDescent="0.2">
      <c r="A1782" s="81">
        <v>20029311</v>
      </c>
      <c r="B1782" s="80" t="s">
        <v>2041</v>
      </c>
      <c r="C1782" s="82" t="s">
        <v>7326</v>
      </c>
    </row>
    <row r="1783" spans="1:3" s="79" customFormat="1" ht="68.849999999999994" customHeight="1" x14ac:dyDescent="0.2">
      <c r="A1783" s="81">
        <v>20029315</v>
      </c>
      <c r="B1783" s="80" t="s">
        <v>2042</v>
      </c>
      <c r="C1783" s="82" t="s">
        <v>7327</v>
      </c>
    </row>
    <row r="1784" spans="1:3" s="79" customFormat="1" ht="68.849999999999994" customHeight="1" x14ac:dyDescent="0.2">
      <c r="A1784" s="81">
        <v>20029317</v>
      </c>
      <c r="B1784" s="80" t="s">
        <v>2043</v>
      </c>
      <c r="C1784" s="81" t="s">
        <v>7328</v>
      </c>
    </row>
    <row r="1785" spans="1:3" s="79" customFormat="1" ht="169.15" customHeight="1" x14ac:dyDescent="0.2">
      <c r="A1785" s="81">
        <v>20029318</v>
      </c>
      <c r="B1785" s="80" t="s">
        <v>2044</v>
      </c>
      <c r="C1785" s="81" t="s">
        <v>7329</v>
      </c>
    </row>
    <row r="1786" spans="1:3" s="79" customFormat="1" ht="149.25" customHeight="1" x14ac:dyDescent="0.2">
      <c r="A1786" s="81">
        <v>20029319</v>
      </c>
      <c r="B1786" s="80" t="s">
        <v>2045</v>
      </c>
      <c r="C1786" s="82" t="s">
        <v>7330</v>
      </c>
    </row>
    <row r="1787" spans="1:3" s="79" customFormat="1" ht="118.9" customHeight="1" x14ac:dyDescent="0.2">
      <c r="A1787" s="81">
        <v>20029320</v>
      </c>
      <c r="B1787" s="80" t="s">
        <v>2046</v>
      </c>
      <c r="C1787" s="82" t="s">
        <v>7331</v>
      </c>
    </row>
    <row r="1788" spans="1:3" s="79" customFormat="1" ht="118.9" customHeight="1" x14ac:dyDescent="0.2">
      <c r="A1788" s="81">
        <v>20029325</v>
      </c>
      <c r="B1788" s="80" t="s">
        <v>2047</v>
      </c>
      <c r="C1788" s="81" t="s">
        <v>7332</v>
      </c>
    </row>
    <row r="1789" spans="1:3" s="79" customFormat="1" ht="158.85" customHeight="1" x14ac:dyDescent="0.2">
      <c r="A1789" s="81">
        <v>20029327</v>
      </c>
      <c r="B1789" s="80" t="s">
        <v>2048</v>
      </c>
      <c r="C1789" s="81" t="s">
        <v>7333</v>
      </c>
    </row>
    <row r="1790" spans="1:3" s="79" customFormat="1" ht="158.85" customHeight="1" x14ac:dyDescent="0.2">
      <c r="A1790" s="81">
        <v>20029328</v>
      </c>
      <c r="B1790" s="80" t="s">
        <v>2049</v>
      </c>
      <c r="C1790" s="81" t="s">
        <v>7334</v>
      </c>
    </row>
    <row r="1791" spans="1:3" s="79" customFormat="1" ht="158.85" customHeight="1" x14ac:dyDescent="0.2">
      <c r="A1791" s="81">
        <v>20029329</v>
      </c>
      <c r="B1791" s="80" t="s">
        <v>2050</v>
      </c>
      <c r="C1791" s="81" t="s">
        <v>7335</v>
      </c>
    </row>
    <row r="1792" spans="1:3" s="79" customFormat="1" ht="158.85" customHeight="1" x14ac:dyDescent="0.2">
      <c r="A1792" s="81">
        <v>20029330</v>
      </c>
      <c r="B1792" s="80" t="s">
        <v>2051</v>
      </c>
      <c r="C1792" s="81" t="s">
        <v>7336</v>
      </c>
    </row>
    <row r="1793" spans="1:3" s="79" customFormat="1" ht="158.85" customHeight="1" x14ac:dyDescent="0.2">
      <c r="A1793" s="81">
        <v>20029331</v>
      </c>
      <c r="B1793" s="80" t="s">
        <v>2052</v>
      </c>
      <c r="C1793" s="81" t="s">
        <v>7337</v>
      </c>
    </row>
    <row r="1794" spans="1:3" s="79" customFormat="1" ht="158.85" customHeight="1" x14ac:dyDescent="0.2">
      <c r="A1794" s="81">
        <v>20029332</v>
      </c>
      <c r="B1794" s="80" t="s">
        <v>2053</v>
      </c>
      <c r="C1794" s="81" t="s">
        <v>7338</v>
      </c>
    </row>
    <row r="1795" spans="1:3" s="79" customFormat="1" ht="158.85" customHeight="1" x14ac:dyDescent="0.2">
      <c r="A1795" s="81">
        <v>20029336</v>
      </c>
      <c r="B1795" s="80" t="s">
        <v>2054</v>
      </c>
      <c r="C1795" s="81" t="s">
        <v>7339</v>
      </c>
    </row>
    <row r="1796" spans="1:3" s="79" customFormat="1" ht="158.85" customHeight="1" x14ac:dyDescent="0.2">
      <c r="A1796" s="81">
        <v>20029337</v>
      </c>
      <c r="B1796" s="80" t="s">
        <v>2055</v>
      </c>
      <c r="C1796" s="82" t="s">
        <v>7340</v>
      </c>
    </row>
    <row r="1797" spans="1:3" s="79" customFormat="1" ht="38.85" customHeight="1" x14ac:dyDescent="0.2">
      <c r="A1797" s="81">
        <v>20029338</v>
      </c>
      <c r="B1797" s="80" t="s">
        <v>2056</v>
      </c>
      <c r="C1797" s="81" t="s">
        <v>7341</v>
      </c>
    </row>
    <row r="1798" spans="1:3" s="79" customFormat="1" ht="158.85" customHeight="1" x14ac:dyDescent="0.2">
      <c r="A1798" s="81">
        <v>20029339</v>
      </c>
      <c r="B1798" s="80" t="s">
        <v>2057</v>
      </c>
      <c r="C1798" s="81" t="s">
        <v>7342</v>
      </c>
    </row>
    <row r="1799" spans="1:3" s="79" customFormat="1" ht="158.85" customHeight="1" x14ac:dyDescent="0.2">
      <c r="A1799" s="81">
        <v>20029340</v>
      </c>
      <c r="B1799" s="80" t="s">
        <v>2058</v>
      </c>
      <c r="C1799" s="81" t="s">
        <v>7343</v>
      </c>
    </row>
    <row r="1800" spans="1:3" s="79" customFormat="1" ht="149.25" customHeight="1" x14ac:dyDescent="0.2">
      <c r="A1800" s="81">
        <v>20029341</v>
      </c>
      <c r="B1800" s="80" t="s">
        <v>2059</v>
      </c>
      <c r="C1800" s="81" t="s">
        <v>7344</v>
      </c>
    </row>
    <row r="1801" spans="1:3" s="79" customFormat="1" ht="158.85" customHeight="1" x14ac:dyDescent="0.2">
      <c r="A1801" s="81">
        <v>20029342</v>
      </c>
      <c r="B1801" s="80" t="s">
        <v>2060</v>
      </c>
      <c r="C1801" s="81" t="s">
        <v>7345</v>
      </c>
    </row>
    <row r="1802" spans="1:3" s="79" customFormat="1" ht="158.85" customHeight="1" x14ac:dyDescent="0.2">
      <c r="A1802" s="81">
        <v>20029343</v>
      </c>
      <c r="B1802" s="80" t="s">
        <v>2061</v>
      </c>
      <c r="C1802" s="81" t="s">
        <v>7346</v>
      </c>
    </row>
    <row r="1803" spans="1:3" s="79" customFormat="1" ht="158.85" customHeight="1" x14ac:dyDescent="0.2">
      <c r="A1803" s="81">
        <v>20029344</v>
      </c>
      <c r="B1803" s="80" t="s">
        <v>2062</v>
      </c>
      <c r="C1803" s="81" t="s">
        <v>7347</v>
      </c>
    </row>
    <row r="1804" spans="1:3" s="79" customFormat="1" ht="158.85" customHeight="1" x14ac:dyDescent="0.2">
      <c r="A1804" s="81">
        <v>20029346</v>
      </c>
      <c r="B1804" s="80" t="s">
        <v>2063</v>
      </c>
      <c r="C1804" s="81" t="s">
        <v>7348</v>
      </c>
    </row>
    <row r="1805" spans="1:3" s="79" customFormat="1" ht="149.25" customHeight="1" x14ac:dyDescent="0.2">
      <c r="A1805" s="81">
        <v>20029349</v>
      </c>
      <c r="B1805" s="80" t="s">
        <v>2064</v>
      </c>
      <c r="C1805" s="82" t="s">
        <v>7349</v>
      </c>
    </row>
    <row r="1806" spans="1:3" s="79" customFormat="1" ht="59.1" customHeight="1" x14ac:dyDescent="0.2">
      <c r="A1806" s="81">
        <v>20029353</v>
      </c>
      <c r="B1806" s="80" t="s">
        <v>2065</v>
      </c>
      <c r="C1806" s="82" t="s">
        <v>7350</v>
      </c>
    </row>
    <row r="1807" spans="1:3" s="79" customFormat="1" ht="59.1" customHeight="1" x14ac:dyDescent="0.2">
      <c r="A1807" s="81">
        <v>20029354</v>
      </c>
      <c r="B1807" s="80" t="s">
        <v>2066</v>
      </c>
      <c r="C1807" s="82" t="s">
        <v>7351</v>
      </c>
    </row>
    <row r="1808" spans="1:3" s="79" customFormat="1" ht="59.1" customHeight="1" x14ac:dyDescent="0.2">
      <c r="A1808" s="81">
        <v>20029365</v>
      </c>
      <c r="B1808" s="80" t="s">
        <v>2067</v>
      </c>
      <c r="C1808" s="81" t="s">
        <v>7352</v>
      </c>
    </row>
    <row r="1809" spans="1:3" s="79" customFormat="1" ht="149.25" customHeight="1" x14ac:dyDescent="0.2">
      <c r="A1809" s="81">
        <v>20029378</v>
      </c>
      <c r="B1809" s="80" t="s">
        <v>2068</v>
      </c>
      <c r="C1809" s="82" t="s">
        <v>7353</v>
      </c>
    </row>
    <row r="1810" spans="1:3" s="79" customFormat="1" ht="59.1" customHeight="1" x14ac:dyDescent="0.2">
      <c r="A1810" s="81">
        <v>20029379</v>
      </c>
      <c r="B1810" s="80" t="s">
        <v>2069</v>
      </c>
      <c r="C1810" s="82" t="s">
        <v>7354</v>
      </c>
    </row>
    <row r="1811" spans="1:3" s="79" customFormat="1" ht="129" customHeight="1" x14ac:dyDescent="0.2">
      <c r="A1811" s="81">
        <v>20029380</v>
      </c>
      <c r="B1811" s="80" t="s">
        <v>2070</v>
      </c>
      <c r="C1811" s="81" t="s">
        <v>7355</v>
      </c>
    </row>
    <row r="1812" spans="1:3" s="79" customFormat="1" ht="158.85" customHeight="1" x14ac:dyDescent="0.2">
      <c r="A1812" s="81">
        <v>20029381</v>
      </c>
      <c r="B1812" s="80" t="s">
        <v>2071</v>
      </c>
      <c r="C1812" s="81" t="s">
        <v>7356</v>
      </c>
    </row>
    <row r="1813" spans="1:3" s="79" customFormat="1" ht="158.85" customHeight="1" x14ac:dyDescent="0.2">
      <c r="A1813" s="81">
        <v>20029382</v>
      </c>
      <c r="B1813" s="80" t="s">
        <v>2072</v>
      </c>
      <c r="C1813" s="81" t="s">
        <v>7357</v>
      </c>
    </row>
    <row r="1814" spans="1:3" s="79" customFormat="1" ht="158.85" customHeight="1" x14ac:dyDescent="0.2">
      <c r="A1814" s="81">
        <v>20029383</v>
      </c>
      <c r="B1814" s="80" t="s">
        <v>2073</v>
      </c>
      <c r="C1814" s="81" t="s">
        <v>7358</v>
      </c>
    </row>
    <row r="1815" spans="1:3" s="79" customFormat="1" ht="158.85" customHeight="1" x14ac:dyDescent="0.2">
      <c r="A1815" s="81">
        <v>20029384</v>
      </c>
      <c r="B1815" s="80" t="s">
        <v>2074</v>
      </c>
      <c r="C1815" s="81" t="s">
        <v>7359</v>
      </c>
    </row>
    <row r="1816" spans="1:3" s="79" customFormat="1" ht="158.85" customHeight="1" x14ac:dyDescent="0.2">
      <c r="A1816" s="81">
        <v>20029385</v>
      </c>
      <c r="B1816" s="80" t="s">
        <v>2075</v>
      </c>
      <c r="C1816" s="81" t="s">
        <v>7360</v>
      </c>
    </row>
    <row r="1817" spans="1:3" s="79" customFormat="1" ht="158.85" customHeight="1" x14ac:dyDescent="0.2">
      <c r="A1817" s="81">
        <v>20029386</v>
      </c>
      <c r="B1817" s="80" t="s">
        <v>2076</v>
      </c>
      <c r="C1817" s="82" t="s">
        <v>7361</v>
      </c>
    </row>
    <row r="1818" spans="1:3" s="79" customFormat="1" ht="49.15" customHeight="1" x14ac:dyDescent="0.2">
      <c r="A1818" s="81">
        <v>20029392</v>
      </c>
      <c r="B1818" s="80" t="s">
        <v>2077</v>
      </c>
      <c r="C1818" s="82" t="s">
        <v>7362</v>
      </c>
    </row>
    <row r="1819" spans="1:3" s="79" customFormat="1" ht="38.85" customHeight="1" x14ac:dyDescent="0.2">
      <c r="A1819" s="81">
        <v>20029393</v>
      </c>
      <c r="B1819" s="80" t="s">
        <v>10922</v>
      </c>
      <c r="C1819" s="81" t="s">
        <v>7363</v>
      </c>
    </row>
    <row r="1820" spans="1:3" s="79" customFormat="1" ht="179.1" customHeight="1" x14ac:dyDescent="0.2">
      <c r="A1820" s="81">
        <v>20029408</v>
      </c>
      <c r="B1820" s="80" t="s">
        <v>2078</v>
      </c>
      <c r="C1820" s="82" t="s">
        <v>7364</v>
      </c>
    </row>
    <row r="1821" spans="1:3" s="79" customFormat="1" ht="28.7" customHeight="1" x14ac:dyDescent="0.2">
      <c r="A1821" s="81">
        <v>20029409</v>
      </c>
      <c r="B1821" s="80" t="s">
        <v>2079</v>
      </c>
      <c r="C1821" s="82" t="s">
        <v>7365</v>
      </c>
    </row>
    <row r="1822" spans="1:3" s="79" customFormat="1" ht="28.7" customHeight="1" x14ac:dyDescent="0.2">
      <c r="A1822" s="81">
        <v>20029410</v>
      </c>
      <c r="B1822" s="80" t="s">
        <v>2080</v>
      </c>
      <c r="C1822" s="82" t="s">
        <v>7366</v>
      </c>
    </row>
    <row r="1823" spans="1:3" s="79" customFormat="1" ht="38.85" customHeight="1" x14ac:dyDescent="0.2">
      <c r="A1823" s="81">
        <v>20029479</v>
      </c>
      <c r="B1823" s="80" t="s">
        <v>2081</v>
      </c>
      <c r="C1823" s="82" t="s">
        <v>7367</v>
      </c>
    </row>
    <row r="1824" spans="1:3" s="79" customFormat="1" ht="49.15" customHeight="1" x14ac:dyDescent="0.2">
      <c r="A1824" s="81">
        <v>20029497</v>
      </c>
      <c r="B1824" s="80" t="s">
        <v>2082</v>
      </c>
      <c r="C1824" s="80"/>
    </row>
    <row r="1825" spans="1:3" s="79" customFormat="1" ht="19.149999999999999" customHeight="1" x14ac:dyDescent="0.2">
      <c r="A1825" s="81">
        <v>20029506</v>
      </c>
      <c r="B1825" s="80" t="s">
        <v>2083</v>
      </c>
      <c r="C1825" s="82" t="s">
        <v>7368</v>
      </c>
    </row>
    <row r="1826" spans="1:3" s="79" customFormat="1" ht="19.149999999999999" customHeight="1" x14ac:dyDescent="0.2">
      <c r="A1826" s="81">
        <v>20029507</v>
      </c>
      <c r="B1826" s="80" t="s">
        <v>2084</v>
      </c>
      <c r="C1826" s="82" t="s">
        <v>7369</v>
      </c>
    </row>
    <row r="1827" spans="1:3" s="79" customFormat="1" ht="19.149999999999999" customHeight="1" x14ac:dyDescent="0.2">
      <c r="A1827" s="81">
        <v>20029524</v>
      </c>
      <c r="B1827" s="80" t="s">
        <v>2085</v>
      </c>
      <c r="C1827" s="82" t="s">
        <v>7370</v>
      </c>
    </row>
    <row r="1828" spans="1:3" s="79" customFormat="1" ht="49.15" customHeight="1" x14ac:dyDescent="0.2">
      <c r="A1828" s="81">
        <v>20029528</v>
      </c>
      <c r="B1828" s="80" t="s">
        <v>2086</v>
      </c>
      <c r="C1828" s="81" t="s">
        <v>7371</v>
      </c>
    </row>
    <row r="1829" spans="1:3" s="79" customFormat="1" ht="139.15" customHeight="1" x14ac:dyDescent="0.2">
      <c r="A1829" s="81">
        <v>20029529</v>
      </c>
      <c r="B1829" s="80" t="s">
        <v>2087</v>
      </c>
      <c r="C1829" s="81" t="s">
        <v>7372</v>
      </c>
    </row>
    <row r="1830" spans="1:3" s="79" customFormat="1" ht="149.25" customHeight="1" x14ac:dyDescent="0.2">
      <c r="A1830" s="81">
        <v>20029530</v>
      </c>
      <c r="B1830" s="80" t="s">
        <v>2088</v>
      </c>
      <c r="C1830" s="81" t="s">
        <v>7373</v>
      </c>
    </row>
    <row r="1831" spans="1:3" s="79" customFormat="1" ht="139.15" customHeight="1" x14ac:dyDescent="0.2">
      <c r="A1831" s="81">
        <v>20029531</v>
      </c>
      <c r="B1831" s="80" t="s">
        <v>2089</v>
      </c>
      <c r="C1831" s="81" t="s">
        <v>7374</v>
      </c>
    </row>
    <row r="1832" spans="1:3" s="79" customFormat="1" ht="139.15" customHeight="1" x14ac:dyDescent="0.2">
      <c r="A1832" s="81">
        <v>20029534</v>
      </c>
      <c r="B1832" s="80" t="s">
        <v>2090</v>
      </c>
      <c r="C1832" s="81" t="s">
        <v>7375</v>
      </c>
    </row>
    <row r="1833" spans="1:3" s="79" customFormat="1" ht="149.25" customHeight="1" x14ac:dyDescent="0.2">
      <c r="A1833" s="81">
        <v>20029535</v>
      </c>
      <c r="B1833" s="80" t="s">
        <v>2091</v>
      </c>
      <c r="C1833" s="81" t="s">
        <v>7376</v>
      </c>
    </row>
    <row r="1834" spans="1:3" s="79" customFormat="1" ht="139.15" customHeight="1" x14ac:dyDescent="0.2">
      <c r="A1834" s="81">
        <v>20029536</v>
      </c>
      <c r="B1834" s="80" t="s">
        <v>2092</v>
      </c>
      <c r="C1834" s="81" t="s">
        <v>7377</v>
      </c>
    </row>
    <row r="1835" spans="1:3" s="79" customFormat="1" ht="139.15" customHeight="1" x14ac:dyDescent="0.2">
      <c r="A1835" s="81">
        <v>20029540</v>
      </c>
      <c r="B1835" s="80" t="s">
        <v>2093</v>
      </c>
      <c r="C1835" s="80" t="s">
        <v>2093</v>
      </c>
    </row>
    <row r="1836" spans="1:3" s="79" customFormat="1" ht="19.149999999999999" customHeight="1" x14ac:dyDescent="0.2">
      <c r="A1836" s="81">
        <v>20029542</v>
      </c>
      <c r="B1836" s="80" t="s">
        <v>2094</v>
      </c>
      <c r="C1836" s="80" t="s">
        <v>2094</v>
      </c>
    </row>
    <row r="1837" spans="1:3" s="79" customFormat="1" ht="19.149999999999999" customHeight="1" x14ac:dyDescent="0.2">
      <c r="A1837" s="81">
        <v>20029566</v>
      </c>
      <c r="B1837" s="80" t="s">
        <v>2095</v>
      </c>
      <c r="C1837" s="82" t="s">
        <v>7378</v>
      </c>
    </row>
    <row r="1838" spans="1:3" s="79" customFormat="1" ht="38.85" customHeight="1" x14ac:dyDescent="0.2">
      <c r="A1838" s="81">
        <v>20029617</v>
      </c>
      <c r="B1838" s="80" t="s">
        <v>2096</v>
      </c>
      <c r="C1838" s="82" t="s">
        <v>7379</v>
      </c>
    </row>
    <row r="1839" spans="1:3" s="79" customFormat="1" ht="49.15" customHeight="1" x14ac:dyDescent="0.2">
      <c r="A1839" s="81">
        <v>20029619</v>
      </c>
      <c r="B1839" s="80" t="s">
        <v>2097</v>
      </c>
      <c r="C1839" s="82" t="s">
        <v>7380</v>
      </c>
    </row>
    <row r="1840" spans="1:3" s="79" customFormat="1" ht="68.849999999999994" customHeight="1" x14ac:dyDescent="0.2">
      <c r="A1840" s="81">
        <v>20029620</v>
      </c>
      <c r="B1840" s="80" t="s">
        <v>2098</v>
      </c>
      <c r="C1840" s="82" t="s">
        <v>7381</v>
      </c>
    </row>
    <row r="1841" spans="1:3" s="79" customFormat="1" ht="59.1" customHeight="1" x14ac:dyDescent="0.2">
      <c r="A1841" s="81">
        <v>20029621</v>
      </c>
      <c r="B1841" s="80" t="s">
        <v>2099</v>
      </c>
      <c r="C1841" s="82" t="s">
        <v>7382</v>
      </c>
    </row>
    <row r="1842" spans="1:3" s="79" customFormat="1" ht="68.849999999999994" customHeight="1" x14ac:dyDescent="0.2">
      <c r="A1842" s="81">
        <v>20029638</v>
      </c>
      <c r="B1842" s="80" t="s">
        <v>2100</v>
      </c>
      <c r="C1842" s="82" t="s">
        <v>7383</v>
      </c>
    </row>
    <row r="1843" spans="1:3" s="79" customFormat="1" ht="49.15" customHeight="1" x14ac:dyDescent="0.2">
      <c r="A1843" s="81">
        <v>20029647</v>
      </c>
      <c r="B1843" s="80" t="s">
        <v>2101</v>
      </c>
      <c r="C1843" s="82" t="s">
        <v>7384</v>
      </c>
    </row>
    <row r="1844" spans="1:3" s="79" customFormat="1" ht="78.95" customHeight="1" x14ac:dyDescent="0.2">
      <c r="A1844" s="81">
        <v>20029649</v>
      </c>
      <c r="B1844" s="80" t="s">
        <v>2102</v>
      </c>
      <c r="C1844" s="82" t="s">
        <v>7385</v>
      </c>
    </row>
    <row r="1845" spans="1:3" s="79" customFormat="1" ht="68.849999999999994" customHeight="1" x14ac:dyDescent="0.2">
      <c r="A1845" s="81">
        <v>20029650</v>
      </c>
      <c r="B1845" s="80" t="s">
        <v>2103</v>
      </c>
      <c r="C1845" s="82" t="s">
        <v>7386</v>
      </c>
    </row>
    <row r="1846" spans="1:3" s="79" customFormat="1" ht="68.849999999999994" customHeight="1" x14ac:dyDescent="0.2">
      <c r="A1846" s="81">
        <v>20029652</v>
      </c>
      <c r="B1846" s="80" t="s">
        <v>2104</v>
      </c>
      <c r="C1846" s="82" t="s">
        <v>7387</v>
      </c>
    </row>
    <row r="1847" spans="1:3" s="79" customFormat="1" ht="68.849999999999994" customHeight="1" x14ac:dyDescent="0.2">
      <c r="A1847" s="81">
        <v>20029653</v>
      </c>
      <c r="B1847" s="80" t="s">
        <v>2105</v>
      </c>
      <c r="C1847" s="82" t="s">
        <v>7388</v>
      </c>
    </row>
    <row r="1848" spans="1:3" s="79" customFormat="1" ht="68.849999999999994" customHeight="1" x14ac:dyDescent="0.2">
      <c r="A1848" s="81">
        <v>20029657</v>
      </c>
      <c r="B1848" s="80" t="s">
        <v>2106</v>
      </c>
      <c r="C1848" s="82" t="s">
        <v>7389</v>
      </c>
    </row>
    <row r="1849" spans="1:3" s="79" customFormat="1" ht="49.15" customHeight="1" x14ac:dyDescent="0.2">
      <c r="A1849" s="81">
        <v>20029672</v>
      </c>
      <c r="B1849" s="80" t="s">
        <v>2107</v>
      </c>
      <c r="C1849" s="82" t="s">
        <v>7390</v>
      </c>
    </row>
    <row r="1850" spans="1:3" s="79" customFormat="1" ht="28.7" customHeight="1" x14ac:dyDescent="0.2">
      <c r="A1850" s="81">
        <v>20029684</v>
      </c>
      <c r="B1850" s="80" t="s">
        <v>2108</v>
      </c>
      <c r="C1850" s="80"/>
    </row>
    <row r="1851" spans="1:3" s="79" customFormat="1" ht="19.149999999999999" customHeight="1" x14ac:dyDescent="0.2">
      <c r="A1851" s="81">
        <v>20029685</v>
      </c>
      <c r="B1851" s="80" t="s">
        <v>2109</v>
      </c>
      <c r="C1851" s="80"/>
    </row>
    <row r="1852" spans="1:3" s="79" customFormat="1" ht="19.149999999999999" customHeight="1" x14ac:dyDescent="0.2">
      <c r="A1852" s="81">
        <v>20029855</v>
      </c>
      <c r="B1852" s="80" t="s">
        <v>2110</v>
      </c>
      <c r="C1852" s="82" t="s">
        <v>7391</v>
      </c>
    </row>
    <row r="1853" spans="1:3" s="79" customFormat="1" ht="78.95" customHeight="1" x14ac:dyDescent="0.2">
      <c r="A1853" s="81">
        <v>20029856</v>
      </c>
      <c r="B1853" s="80" t="s">
        <v>2111</v>
      </c>
      <c r="C1853" s="82" t="s">
        <v>7392</v>
      </c>
    </row>
    <row r="1854" spans="1:3" s="79" customFormat="1" ht="89.1" customHeight="1" x14ac:dyDescent="0.2">
      <c r="A1854" s="81">
        <v>20029857</v>
      </c>
      <c r="B1854" s="80" t="s">
        <v>2112</v>
      </c>
      <c r="C1854" s="82" t="s">
        <v>7393</v>
      </c>
    </row>
    <row r="1855" spans="1:3" s="79" customFormat="1" ht="28.7" customHeight="1" x14ac:dyDescent="0.2">
      <c r="A1855" s="81">
        <v>20029860</v>
      </c>
      <c r="B1855" s="80" t="s">
        <v>2113</v>
      </c>
      <c r="C1855" s="82" t="s">
        <v>7394</v>
      </c>
    </row>
    <row r="1856" spans="1:3" s="79" customFormat="1" ht="28.7" customHeight="1" x14ac:dyDescent="0.2">
      <c r="A1856" s="81">
        <v>20029862</v>
      </c>
      <c r="B1856" s="80" t="s">
        <v>2114</v>
      </c>
      <c r="C1856" s="82" t="s">
        <v>7395</v>
      </c>
    </row>
    <row r="1857" spans="1:3" s="79" customFormat="1" ht="28.7" customHeight="1" x14ac:dyDescent="0.2">
      <c r="A1857" s="81">
        <v>20029863</v>
      </c>
      <c r="B1857" s="80" t="s">
        <v>2115</v>
      </c>
      <c r="C1857" s="82" t="s">
        <v>7396</v>
      </c>
    </row>
    <row r="1858" spans="1:3" s="79" customFormat="1" ht="28.7" customHeight="1" x14ac:dyDescent="0.2">
      <c r="A1858" s="81">
        <v>20029864</v>
      </c>
      <c r="B1858" s="80" t="s">
        <v>2116</v>
      </c>
      <c r="C1858" s="82" t="s">
        <v>7397</v>
      </c>
    </row>
    <row r="1859" spans="1:3" s="79" customFormat="1" ht="28.7" customHeight="1" x14ac:dyDescent="0.2">
      <c r="A1859" s="81">
        <v>20029868</v>
      </c>
      <c r="B1859" s="80" t="s">
        <v>2117</v>
      </c>
      <c r="C1859" s="82" t="s">
        <v>7398</v>
      </c>
    </row>
    <row r="1860" spans="1:3" s="79" customFormat="1" ht="28.7" customHeight="1" x14ac:dyDescent="0.2">
      <c r="A1860" s="81">
        <v>20029870</v>
      </c>
      <c r="B1860" s="80" t="s">
        <v>2118</v>
      </c>
      <c r="C1860" s="82" t="s">
        <v>7399</v>
      </c>
    </row>
    <row r="1861" spans="1:3" s="79" customFormat="1" ht="28.7" customHeight="1" x14ac:dyDescent="0.2">
      <c r="A1861" s="81">
        <v>20029873</v>
      </c>
      <c r="B1861" s="80" t="s">
        <v>2119</v>
      </c>
      <c r="C1861" s="82" t="s">
        <v>7400</v>
      </c>
    </row>
    <row r="1862" spans="1:3" s="79" customFormat="1" ht="28.7" customHeight="1" x14ac:dyDescent="0.2">
      <c r="A1862" s="81">
        <v>20029875</v>
      </c>
      <c r="B1862" s="80" t="s">
        <v>2120</v>
      </c>
      <c r="C1862" s="82" t="s">
        <v>7401</v>
      </c>
    </row>
    <row r="1863" spans="1:3" s="79" customFormat="1" ht="28.7" customHeight="1" x14ac:dyDescent="0.2">
      <c r="A1863" s="81">
        <v>20029876</v>
      </c>
      <c r="B1863" s="80" t="s">
        <v>2121</v>
      </c>
      <c r="C1863" s="82" t="s">
        <v>7402</v>
      </c>
    </row>
    <row r="1864" spans="1:3" s="79" customFormat="1" ht="28.7" customHeight="1" x14ac:dyDescent="0.2">
      <c r="A1864" s="81">
        <v>20029877</v>
      </c>
      <c r="B1864" s="80" t="s">
        <v>2122</v>
      </c>
      <c r="C1864" s="82" t="s">
        <v>7403</v>
      </c>
    </row>
    <row r="1865" spans="1:3" s="79" customFormat="1" ht="28.7" customHeight="1" x14ac:dyDescent="0.2">
      <c r="A1865" s="81">
        <v>20029878</v>
      </c>
      <c r="B1865" s="80" t="s">
        <v>2123</v>
      </c>
      <c r="C1865" s="82" t="s">
        <v>7404</v>
      </c>
    </row>
    <row r="1866" spans="1:3" s="79" customFormat="1" ht="28.7" customHeight="1" x14ac:dyDescent="0.2">
      <c r="A1866" s="81">
        <v>20029879</v>
      </c>
      <c r="B1866" s="80" t="s">
        <v>2124</v>
      </c>
      <c r="C1866" s="82" t="s">
        <v>7405</v>
      </c>
    </row>
    <row r="1867" spans="1:3" s="79" customFormat="1" ht="28.7" customHeight="1" x14ac:dyDescent="0.2">
      <c r="A1867" s="81">
        <v>20029880</v>
      </c>
      <c r="B1867" s="80" t="s">
        <v>2125</v>
      </c>
      <c r="C1867" s="82" t="s">
        <v>7406</v>
      </c>
    </row>
    <row r="1868" spans="1:3" s="79" customFormat="1" ht="28.7" customHeight="1" x14ac:dyDescent="0.2">
      <c r="A1868" s="81">
        <v>20029881</v>
      </c>
      <c r="B1868" s="80" t="s">
        <v>2126</v>
      </c>
      <c r="C1868" s="82" t="s">
        <v>7407</v>
      </c>
    </row>
    <row r="1869" spans="1:3" s="79" customFormat="1" ht="28.7" customHeight="1" x14ac:dyDescent="0.2">
      <c r="A1869" s="81">
        <v>20029894</v>
      </c>
      <c r="B1869" s="80" t="s">
        <v>2127</v>
      </c>
      <c r="C1869" s="82" t="s">
        <v>7408</v>
      </c>
    </row>
    <row r="1870" spans="1:3" s="79" customFormat="1" ht="49.15" customHeight="1" x14ac:dyDescent="0.2">
      <c r="A1870" s="81">
        <v>20029900</v>
      </c>
      <c r="B1870" s="80" t="s">
        <v>2128</v>
      </c>
      <c r="C1870" s="82" t="s">
        <v>7409</v>
      </c>
    </row>
    <row r="1871" spans="1:3" s="79" customFormat="1" ht="28.7" customHeight="1" x14ac:dyDescent="0.2">
      <c r="A1871" s="81">
        <v>20029904</v>
      </c>
      <c r="B1871" s="80" t="s">
        <v>2129</v>
      </c>
      <c r="C1871" s="82" t="s">
        <v>7410</v>
      </c>
    </row>
    <row r="1872" spans="1:3" s="79" customFormat="1" ht="59.1" customHeight="1" x14ac:dyDescent="0.2">
      <c r="A1872" s="81">
        <v>20029905</v>
      </c>
      <c r="B1872" s="80" t="s">
        <v>2130</v>
      </c>
      <c r="C1872" s="82" t="s">
        <v>7411</v>
      </c>
    </row>
    <row r="1873" spans="1:3" s="79" customFormat="1" ht="59.1" customHeight="1" x14ac:dyDescent="0.2">
      <c r="A1873" s="81">
        <v>20030025</v>
      </c>
      <c r="B1873" s="80" t="s">
        <v>2131</v>
      </c>
      <c r="C1873" s="80" t="s">
        <v>7412</v>
      </c>
    </row>
    <row r="1874" spans="1:3" s="79" customFormat="1" ht="19.149999999999999" customHeight="1" x14ac:dyDescent="0.2">
      <c r="A1874" s="81">
        <v>20030026</v>
      </c>
      <c r="B1874" s="80" t="s">
        <v>2132</v>
      </c>
      <c r="C1874" s="80" t="s">
        <v>7413</v>
      </c>
    </row>
    <row r="1875" spans="1:3" s="79" customFormat="1" ht="19.149999999999999" customHeight="1" x14ac:dyDescent="0.2">
      <c r="A1875" s="81">
        <v>20030032</v>
      </c>
      <c r="B1875" s="80" t="s">
        <v>2133</v>
      </c>
      <c r="C1875" s="82" t="s">
        <v>7414</v>
      </c>
    </row>
    <row r="1876" spans="1:3" s="79" customFormat="1" ht="99.2" customHeight="1" x14ac:dyDescent="0.2">
      <c r="A1876" s="81">
        <v>20030068</v>
      </c>
      <c r="B1876" s="80" t="s">
        <v>2134</v>
      </c>
      <c r="C1876" s="82" t="s">
        <v>7415</v>
      </c>
    </row>
    <row r="1877" spans="1:3" s="79" customFormat="1" ht="49.15" customHeight="1" x14ac:dyDescent="0.2">
      <c r="A1877" s="81">
        <v>20030070</v>
      </c>
      <c r="B1877" s="80" t="s">
        <v>2135</v>
      </c>
      <c r="C1877" s="82" t="s">
        <v>7416</v>
      </c>
    </row>
    <row r="1878" spans="1:3" s="79" customFormat="1" ht="78.95" customHeight="1" x14ac:dyDescent="0.2">
      <c r="A1878" s="81">
        <v>20030071</v>
      </c>
      <c r="B1878" s="80" t="s">
        <v>2136</v>
      </c>
      <c r="C1878" s="82" t="s">
        <v>7417</v>
      </c>
    </row>
    <row r="1879" spans="1:3" s="79" customFormat="1" ht="28.7" customHeight="1" x14ac:dyDescent="0.2">
      <c r="A1879" s="81">
        <v>20030072</v>
      </c>
      <c r="B1879" s="80" t="s">
        <v>2137</v>
      </c>
      <c r="C1879" s="82" t="s">
        <v>7418</v>
      </c>
    </row>
    <row r="1880" spans="1:3" s="79" customFormat="1" ht="28.7" customHeight="1" x14ac:dyDescent="0.2">
      <c r="A1880" s="81">
        <v>20030074</v>
      </c>
      <c r="B1880" s="80" t="s">
        <v>2138</v>
      </c>
      <c r="C1880" s="82" t="s">
        <v>7419</v>
      </c>
    </row>
    <row r="1881" spans="1:3" s="79" customFormat="1" ht="59.1" customHeight="1" x14ac:dyDescent="0.2">
      <c r="A1881" s="81">
        <v>20030077</v>
      </c>
      <c r="B1881" s="80" t="s">
        <v>2140</v>
      </c>
      <c r="C1881" s="82" t="s">
        <v>7420</v>
      </c>
    </row>
    <row r="1882" spans="1:3" s="79" customFormat="1" ht="59.1" customHeight="1" x14ac:dyDescent="0.2">
      <c r="A1882" s="81">
        <v>20030081</v>
      </c>
      <c r="B1882" s="80" t="s">
        <v>2139</v>
      </c>
      <c r="C1882" s="82" t="s">
        <v>7421</v>
      </c>
    </row>
    <row r="1883" spans="1:3" s="79" customFormat="1" ht="68.849999999999994" customHeight="1" x14ac:dyDescent="0.2">
      <c r="A1883" s="81">
        <v>20030084</v>
      </c>
      <c r="B1883" s="80" t="s">
        <v>2141</v>
      </c>
      <c r="C1883" s="82" t="s">
        <v>7422</v>
      </c>
    </row>
    <row r="1884" spans="1:3" s="79" customFormat="1" ht="59.1" customHeight="1" x14ac:dyDescent="0.2">
      <c r="A1884" s="81">
        <v>20030085</v>
      </c>
      <c r="B1884" s="80" t="s">
        <v>2142</v>
      </c>
      <c r="C1884" s="82" t="s">
        <v>7423</v>
      </c>
    </row>
    <row r="1885" spans="1:3" s="79" customFormat="1" ht="28.7" customHeight="1" x14ac:dyDescent="0.2">
      <c r="A1885" s="81">
        <v>20030092</v>
      </c>
      <c r="B1885" s="80" t="s">
        <v>2143</v>
      </c>
      <c r="C1885" s="82" t="s">
        <v>7424</v>
      </c>
    </row>
    <row r="1886" spans="1:3" s="79" customFormat="1" ht="68.849999999999994" customHeight="1" x14ac:dyDescent="0.2">
      <c r="A1886" s="81">
        <v>20030093</v>
      </c>
      <c r="B1886" s="80" t="s">
        <v>2144</v>
      </c>
      <c r="C1886" s="82" t="s">
        <v>7425</v>
      </c>
    </row>
    <row r="1887" spans="1:3" s="79" customFormat="1" ht="68.849999999999994" customHeight="1" x14ac:dyDescent="0.2">
      <c r="A1887" s="81">
        <v>20030101</v>
      </c>
      <c r="B1887" s="80" t="s">
        <v>2146</v>
      </c>
      <c r="C1887" s="81" t="s">
        <v>7426</v>
      </c>
    </row>
    <row r="1888" spans="1:3" s="79" customFormat="1" ht="89.1" customHeight="1" x14ac:dyDescent="0.2">
      <c r="A1888" s="81">
        <v>20030102</v>
      </c>
      <c r="B1888" s="80" t="s">
        <v>2145</v>
      </c>
      <c r="C1888" s="82" t="s">
        <v>7427</v>
      </c>
    </row>
    <row r="1889" spans="1:3" s="79" customFormat="1" ht="28.7" customHeight="1" x14ac:dyDescent="0.2">
      <c r="A1889" s="81">
        <v>20030104</v>
      </c>
      <c r="B1889" s="80" t="s">
        <v>2147</v>
      </c>
      <c r="C1889" s="81" t="s">
        <v>7428</v>
      </c>
    </row>
    <row r="1890" spans="1:3" s="79" customFormat="1" ht="89.1" customHeight="1" x14ac:dyDescent="0.2">
      <c r="A1890" s="81">
        <v>20030105</v>
      </c>
      <c r="B1890" s="80" t="s">
        <v>2148</v>
      </c>
      <c r="C1890" s="81" t="s">
        <v>7429</v>
      </c>
    </row>
    <row r="1891" spans="1:3" s="79" customFormat="1" ht="89.1" customHeight="1" x14ac:dyDescent="0.2">
      <c r="A1891" s="81">
        <v>20030120</v>
      </c>
      <c r="B1891" s="80" t="s">
        <v>2149</v>
      </c>
      <c r="C1891" s="82" t="s">
        <v>7430</v>
      </c>
    </row>
    <row r="1892" spans="1:3" s="79" customFormat="1" ht="28.7" customHeight="1" x14ac:dyDescent="0.2">
      <c r="A1892" s="81">
        <v>20030121</v>
      </c>
      <c r="B1892" s="80" t="s">
        <v>2150</v>
      </c>
      <c r="C1892" s="82" t="s">
        <v>7431</v>
      </c>
    </row>
    <row r="1893" spans="1:3" s="79" customFormat="1" ht="28.7" customHeight="1" x14ac:dyDescent="0.2">
      <c r="A1893" s="81">
        <v>20030122</v>
      </c>
      <c r="B1893" s="80" t="s">
        <v>11666</v>
      </c>
      <c r="C1893" s="82" t="s">
        <v>7432</v>
      </c>
    </row>
    <row r="1894" spans="1:3" s="79" customFormat="1" ht="38.85" customHeight="1" x14ac:dyDescent="0.2">
      <c r="A1894" s="81">
        <v>20030123</v>
      </c>
      <c r="B1894" s="80" t="s">
        <v>2151</v>
      </c>
      <c r="C1894" s="82" t="s">
        <v>7433</v>
      </c>
    </row>
    <row r="1895" spans="1:3" s="79" customFormat="1" ht="28.7" customHeight="1" x14ac:dyDescent="0.2">
      <c r="A1895" s="81">
        <v>20030124</v>
      </c>
      <c r="B1895" s="80" t="s">
        <v>2152</v>
      </c>
      <c r="C1895" s="82" t="s">
        <v>7434</v>
      </c>
    </row>
    <row r="1896" spans="1:3" s="79" customFormat="1" ht="28.7" customHeight="1" x14ac:dyDescent="0.2">
      <c r="A1896" s="81">
        <v>20030133</v>
      </c>
      <c r="B1896" s="80" t="s">
        <v>2153</v>
      </c>
      <c r="C1896" s="82" t="s">
        <v>7435</v>
      </c>
    </row>
    <row r="1897" spans="1:3" s="79" customFormat="1" ht="28.7" customHeight="1" x14ac:dyDescent="0.2">
      <c r="A1897" s="81">
        <v>20030136</v>
      </c>
      <c r="B1897" s="80" t="s">
        <v>2154</v>
      </c>
      <c r="C1897" s="82" t="s">
        <v>7436</v>
      </c>
    </row>
    <row r="1898" spans="1:3" s="79" customFormat="1" ht="28.7" customHeight="1" x14ac:dyDescent="0.2">
      <c r="A1898" s="81">
        <v>20030138</v>
      </c>
      <c r="B1898" s="80" t="s">
        <v>2155</v>
      </c>
      <c r="C1898" s="81" t="s">
        <v>7437</v>
      </c>
    </row>
    <row r="1899" spans="1:3" s="79" customFormat="1" ht="129" customHeight="1" x14ac:dyDescent="0.2">
      <c r="A1899" s="81">
        <v>20030178</v>
      </c>
      <c r="B1899" s="80" t="s">
        <v>2156</v>
      </c>
      <c r="C1899" s="80" t="s">
        <v>7438</v>
      </c>
    </row>
    <row r="1900" spans="1:3" s="79" customFormat="1" ht="19.149999999999999" customHeight="1" x14ac:dyDescent="0.2">
      <c r="A1900" s="81">
        <v>20030179</v>
      </c>
      <c r="B1900" s="80" t="s">
        <v>2157</v>
      </c>
      <c r="C1900" s="80" t="s">
        <v>7439</v>
      </c>
    </row>
    <row r="1901" spans="1:3" s="79" customFormat="1" ht="19.149999999999999" customHeight="1" x14ac:dyDescent="0.2">
      <c r="A1901" s="81">
        <v>20030201</v>
      </c>
      <c r="B1901" s="80" t="s">
        <v>2158</v>
      </c>
      <c r="C1901" s="82" t="s">
        <v>7440</v>
      </c>
    </row>
    <row r="1902" spans="1:3" s="79" customFormat="1" ht="59.1" customHeight="1" x14ac:dyDescent="0.2">
      <c r="A1902" s="81">
        <v>20030202</v>
      </c>
      <c r="B1902" s="80" t="s">
        <v>2159</v>
      </c>
      <c r="C1902" s="82" t="s">
        <v>7441</v>
      </c>
    </row>
    <row r="1903" spans="1:3" s="79" customFormat="1" ht="49.15" customHeight="1" x14ac:dyDescent="0.2">
      <c r="A1903" s="81">
        <v>20030203</v>
      </c>
      <c r="B1903" s="80" t="s">
        <v>2160</v>
      </c>
      <c r="C1903" s="81" t="s">
        <v>7442</v>
      </c>
    </row>
    <row r="1904" spans="1:3" s="79" customFormat="1" ht="209.1" customHeight="1" x14ac:dyDescent="0.2">
      <c r="A1904" s="81">
        <v>20030209</v>
      </c>
      <c r="B1904" s="80" t="s">
        <v>2161</v>
      </c>
      <c r="C1904" s="82" t="s">
        <v>7443</v>
      </c>
    </row>
    <row r="1905" spans="1:3" s="79" customFormat="1" ht="49.15" customHeight="1" x14ac:dyDescent="0.2">
      <c r="A1905" s="81">
        <v>20030210</v>
      </c>
      <c r="B1905" s="80" t="s">
        <v>2162</v>
      </c>
      <c r="C1905" s="82" t="s">
        <v>7444</v>
      </c>
    </row>
    <row r="1906" spans="1:3" s="79" customFormat="1" ht="68.849999999999994" customHeight="1" x14ac:dyDescent="0.2">
      <c r="A1906" s="81">
        <v>20030211</v>
      </c>
      <c r="B1906" s="80" t="s">
        <v>2163</v>
      </c>
      <c r="C1906" s="82" t="s">
        <v>7445</v>
      </c>
    </row>
    <row r="1907" spans="1:3" s="79" customFormat="1" ht="68.849999999999994" customHeight="1" x14ac:dyDescent="0.2">
      <c r="A1907" s="81">
        <v>20030212</v>
      </c>
      <c r="B1907" s="80" t="s">
        <v>2164</v>
      </c>
      <c r="C1907" s="82" t="s">
        <v>7446</v>
      </c>
    </row>
    <row r="1908" spans="1:3" s="79" customFormat="1" ht="59.1" customHeight="1" x14ac:dyDescent="0.2">
      <c r="A1908" s="81">
        <v>20030214</v>
      </c>
      <c r="B1908" s="80" t="s">
        <v>11546</v>
      </c>
      <c r="C1908" s="81" t="s">
        <v>11547</v>
      </c>
    </row>
    <row r="1909" spans="1:3" s="79" customFormat="1" ht="299.10000000000002" customHeight="1" x14ac:dyDescent="0.2">
      <c r="A1909" s="81">
        <v>20030217</v>
      </c>
      <c r="B1909" s="80" t="s">
        <v>2165</v>
      </c>
      <c r="C1909" s="82" t="s">
        <v>7447</v>
      </c>
    </row>
    <row r="1910" spans="1:3" s="79" customFormat="1" ht="59.1" customHeight="1" x14ac:dyDescent="0.2">
      <c r="A1910" s="81">
        <v>20030236</v>
      </c>
      <c r="B1910" s="80" t="s">
        <v>2166</v>
      </c>
      <c r="C1910" s="82" t="s">
        <v>7448</v>
      </c>
    </row>
    <row r="1911" spans="1:3" s="79" customFormat="1" ht="49.15" customHeight="1" x14ac:dyDescent="0.2">
      <c r="A1911" s="81">
        <v>20030237</v>
      </c>
      <c r="B1911" s="80" t="s">
        <v>2167</v>
      </c>
      <c r="C1911" s="82" t="s">
        <v>7449</v>
      </c>
    </row>
    <row r="1912" spans="1:3" s="79" customFormat="1" ht="68.849999999999994" customHeight="1" x14ac:dyDescent="0.2">
      <c r="A1912" s="81">
        <v>20030238</v>
      </c>
      <c r="B1912" s="80" t="s">
        <v>2168</v>
      </c>
      <c r="C1912" s="82" t="s">
        <v>7450</v>
      </c>
    </row>
    <row r="1913" spans="1:3" s="79" customFormat="1" ht="59.1" customHeight="1" x14ac:dyDescent="0.2">
      <c r="A1913" s="81">
        <v>20030239</v>
      </c>
      <c r="B1913" s="80" t="s">
        <v>2169</v>
      </c>
      <c r="C1913" s="82" t="s">
        <v>7451</v>
      </c>
    </row>
    <row r="1914" spans="1:3" s="79" customFormat="1" ht="49.15" customHeight="1" x14ac:dyDescent="0.2">
      <c r="A1914" s="81">
        <v>20030240</v>
      </c>
      <c r="B1914" s="80" t="s">
        <v>2170</v>
      </c>
      <c r="C1914" s="82" t="s">
        <v>7452</v>
      </c>
    </row>
    <row r="1915" spans="1:3" s="79" customFormat="1" ht="28.7" customHeight="1" x14ac:dyDescent="0.2">
      <c r="A1915" s="81">
        <v>20030241</v>
      </c>
      <c r="B1915" s="80" t="s">
        <v>2171</v>
      </c>
      <c r="C1915" s="80" t="s">
        <v>7453</v>
      </c>
    </row>
    <row r="1916" spans="1:3" s="79" customFormat="1" ht="19.149999999999999" customHeight="1" x14ac:dyDescent="0.2">
      <c r="A1916" s="81">
        <v>20030242</v>
      </c>
      <c r="B1916" s="80" t="s">
        <v>2172</v>
      </c>
      <c r="C1916" s="82" t="s">
        <v>7454</v>
      </c>
    </row>
    <row r="1917" spans="1:3" s="79" customFormat="1" ht="49.15" customHeight="1" x14ac:dyDescent="0.2">
      <c r="A1917" s="81">
        <v>20030243</v>
      </c>
      <c r="B1917" s="80" t="s">
        <v>2173</v>
      </c>
      <c r="C1917" s="82" t="s">
        <v>7455</v>
      </c>
    </row>
    <row r="1918" spans="1:3" s="79" customFormat="1" ht="59.1" customHeight="1" x14ac:dyDescent="0.2">
      <c r="A1918" s="81">
        <v>20030245</v>
      </c>
      <c r="B1918" s="80" t="s">
        <v>2174</v>
      </c>
      <c r="C1918" s="82" t="s">
        <v>7456</v>
      </c>
    </row>
    <row r="1919" spans="1:3" s="79" customFormat="1" ht="28.7" customHeight="1" x14ac:dyDescent="0.2">
      <c r="A1919" s="81">
        <v>20030246</v>
      </c>
      <c r="B1919" s="80" t="s">
        <v>2175</v>
      </c>
      <c r="C1919" s="82" t="s">
        <v>7457</v>
      </c>
    </row>
    <row r="1920" spans="1:3" s="79" customFormat="1" ht="38.85" customHeight="1" x14ac:dyDescent="0.2">
      <c r="A1920" s="81">
        <v>20030247</v>
      </c>
      <c r="B1920" s="80" t="s">
        <v>2176</v>
      </c>
      <c r="C1920" s="82" t="s">
        <v>7458</v>
      </c>
    </row>
    <row r="1921" spans="1:3" s="79" customFormat="1" ht="28.7" customHeight="1" x14ac:dyDescent="0.2">
      <c r="A1921" s="81">
        <v>20030249</v>
      </c>
      <c r="B1921" s="80" t="s">
        <v>2177</v>
      </c>
      <c r="C1921" s="82" t="s">
        <v>7459</v>
      </c>
    </row>
    <row r="1922" spans="1:3" s="79" customFormat="1" ht="49.15" customHeight="1" x14ac:dyDescent="0.2">
      <c r="A1922" s="81">
        <v>20030251</v>
      </c>
      <c r="B1922" s="80" t="s">
        <v>2178</v>
      </c>
      <c r="C1922" s="82" t="s">
        <v>7460</v>
      </c>
    </row>
    <row r="1923" spans="1:3" s="79" customFormat="1" ht="89.1" customHeight="1" x14ac:dyDescent="0.2">
      <c r="A1923" s="81">
        <v>20030252</v>
      </c>
      <c r="B1923" s="80" t="s">
        <v>2179</v>
      </c>
      <c r="C1923" s="82" t="s">
        <v>7461</v>
      </c>
    </row>
    <row r="1924" spans="1:3" s="79" customFormat="1" ht="68.849999999999994" customHeight="1" x14ac:dyDescent="0.2">
      <c r="A1924" s="81">
        <v>20030253</v>
      </c>
      <c r="B1924" s="80" t="s">
        <v>2180</v>
      </c>
      <c r="C1924" s="82" t="s">
        <v>7462</v>
      </c>
    </row>
    <row r="1925" spans="1:3" s="79" customFormat="1" ht="59.1" customHeight="1" x14ac:dyDescent="0.2">
      <c r="A1925" s="81">
        <v>20030278</v>
      </c>
      <c r="B1925" s="80" t="s">
        <v>2181</v>
      </c>
      <c r="C1925" s="82" t="s">
        <v>7463</v>
      </c>
    </row>
    <row r="1926" spans="1:3" s="79" customFormat="1" ht="59.1" customHeight="1" x14ac:dyDescent="0.2">
      <c r="A1926" s="81">
        <v>20030290</v>
      </c>
      <c r="B1926" s="80" t="s">
        <v>2182</v>
      </c>
      <c r="C1926" s="82" t="s">
        <v>7464</v>
      </c>
    </row>
    <row r="1927" spans="1:3" s="79" customFormat="1" ht="49.15" customHeight="1" x14ac:dyDescent="0.2">
      <c r="A1927" s="81">
        <v>20030299</v>
      </c>
      <c r="B1927" s="80" t="s">
        <v>2183</v>
      </c>
      <c r="C1927" s="82" t="s">
        <v>7465</v>
      </c>
    </row>
    <row r="1928" spans="1:3" s="79" customFormat="1" ht="49.15" customHeight="1" x14ac:dyDescent="0.2">
      <c r="A1928" s="81">
        <v>20030300</v>
      </c>
      <c r="B1928" s="80" t="s">
        <v>2184</v>
      </c>
      <c r="C1928" s="82" t="s">
        <v>7466</v>
      </c>
    </row>
    <row r="1929" spans="1:3" s="79" customFormat="1" ht="38.85" customHeight="1" x14ac:dyDescent="0.2">
      <c r="A1929" s="81">
        <v>20030306</v>
      </c>
      <c r="B1929" s="80" t="s">
        <v>2185</v>
      </c>
      <c r="C1929" s="82" t="s">
        <v>7467</v>
      </c>
    </row>
    <row r="1930" spans="1:3" s="79" customFormat="1" ht="59.1" customHeight="1" x14ac:dyDescent="0.2">
      <c r="A1930" s="81">
        <v>20030308</v>
      </c>
      <c r="B1930" s="80" t="s">
        <v>11372</v>
      </c>
      <c r="C1930" s="82" t="s">
        <v>7468</v>
      </c>
    </row>
    <row r="1931" spans="1:3" s="79" customFormat="1" ht="28.7" customHeight="1" x14ac:dyDescent="0.2">
      <c r="A1931" s="81">
        <v>20030312</v>
      </c>
      <c r="B1931" s="80" t="s">
        <v>2186</v>
      </c>
      <c r="C1931" s="82" t="s">
        <v>7469</v>
      </c>
    </row>
    <row r="1932" spans="1:3" s="79" customFormat="1" ht="38.85" customHeight="1" x14ac:dyDescent="0.2">
      <c r="A1932" s="81">
        <v>20030313</v>
      </c>
      <c r="B1932" s="80" t="s">
        <v>2187</v>
      </c>
      <c r="C1932" s="82" t="s">
        <v>7470</v>
      </c>
    </row>
    <row r="1933" spans="1:3" s="79" customFormat="1" ht="38.85" customHeight="1" x14ac:dyDescent="0.2">
      <c r="A1933" s="81">
        <v>20030314</v>
      </c>
      <c r="B1933" s="80" t="s">
        <v>2188</v>
      </c>
      <c r="C1933" s="82" t="s">
        <v>7471</v>
      </c>
    </row>
    <row r="1934" spans="1:3" s="79" customFormat="1" ht="38.85" customHeight="1" x14ac:dyDescent="0.2">
      <c r="A1934" s="81">
        <v>20030315</v>
      </c>
      <c r="B1934" s="80" t="s">
        <v>2189</v>
      </c>
      <c r="C1934" s="82" t="s">
        <v>7472</v>
      </c>
    </row>
    <row r="1935" spans="1:3" s="79" customFormat="1" ht="38.85" customHeight="1" x14ac:dyDescent="0.2">
      <c r="A1935" s="81">
        <v>20030316</v>
      </c>
      <c r="B1935" s="80" t="s">
        <v>2190</v>
      </c>
      <c r="C1935" s="82" t="s">
        <v>7473</v>
      </c>
    </row>
    <row r="1936" spans="1:3" s="79" customFormat="1" ht="38.85" customHeight="1" x14ac:dyDescent="0.2">
      <c r="A1936" s="81">
        <v>20030324</v>
      </c>
      <c r="B1936" s="80" t="s">
        <v>2191</v>
      </c>
      <c r="C1936" s="82" t="s">
        <v>7474</v>
      </c>
    </row>
    <row r="1937" spans="1:3" s="79" customFormat="1" ht="89.1" customHeight="1" x14ac:dyDescent="0.2">
      <c r="A1937" s="81">
        <v>20030325</v>
      </c>
      <c r="B1937" s="80" t="s">
        <v>2192</v>
      </c>
      <c r="C1937" s="82" t="s">
        <v>7475</v>
      </c>
    </row>
    <row r="1938" spans="1:3" s="79" customFormat="1" ht="89.1" customHeight="1" x14ac:dyDescent="0.2">
      <c r="A1938" s="81">
        <v>20030326</v>
      </c>
      <c r="B1938" s="80" t="s">
        <v>2193</v>
      </c>
      <c r="C1938" s="82" t="s">
        <v>7476</v>
      </c>
    </row>
    <row r="1939" spans="1:3" s="79" customFormat="1" ht="89.1" customHeight="1" x14ac:dyDescent="0.2">
      <c r="A1939" s="81">
        <v>20030328</v>
      </c>
      <c r="B1939" s="80" t="s">
        <v>2194</v>
      </c>
      <c r="C1939" s="82" t="s">
        <v>7477</v>
      </c>
    </row>
    <row r="1940" spans="1:3" s="79" customFormat="1" ht="38.85" customHeight="1" x14ac:dyDescent="0.2">
      <c r="A1940" s="81">
        <v>20030344</v>
      </c>
      <c r="B1940" s="80" t="s">
        <v>2195</v>
      </c>
      <c r="C1940" s="82" t="s">
        <v>7478</v>
      </c>
    </row>
    <row r="1941" spans="1:3" s="79" customFormat="1" ht="59.1" customHeight="1" x14ac:dyDescent="0.2">
      <c r="A1941" s="81">
        <v>20030346</v>
      </c>
      <c r="B1941" s="80" t="s">
        <v>2196</v>
      </c>
      <c r="C1941" s="82" t="s">
        <v>7479</v>
      </c>
    </row>
    <row r="1942" spans="1:3" s="79" customFormat="1" ht="49.15" customHeight="1" x14ac:dyDescent="0.2">
      <c r="A1942" s="81">
        <v>20030366</v>
      </c>
      <c r="B1942" s="80" t="s">
        <v>2197</v>
      </c>
      <c r="C1942" s="82" t="s">
        <v>7480</v>
      </c>
    </row>
    <row r="1943" spans="1:3" s="79" customFormat="1" ht="89.1" customHeight="1" x14ac:dyDescent="0.2">
      <c r="A1943" s="81">
        <v>20030594</v>
      </c>
      <c r="B1943" s="80" t="s">
        <v>2198</v>
      </c>
      <c r="C1943" s="80" t="s">
        <v>7481</v>
      </c>
    </row>
    <row r="1944" spans="1:3" s="79" customFormat="1" ht="19.149999999999999" customHeight="1" x14ac:dyDescent="0.2">
      <c r="A1944" s="81">
        <v>20030600</v>
      </c>
      <c r="B1944" s="80" t="s">
        <v>2199</v>
      </c>
      <c r="C1944" s="82" t="s">
        <v>7482</v>
      </c>
    </row>
    <row r="1945" spans="1:3" s="79" customFormat="1" ht="49.15" customHeight="1" x14ac:dyDescent="0.2">
      <c r="A1945" s="81">
        <v>20030602</v>
      </c>
      <c r="B1945" s="80" t="s">
        <v>2200</v>
      </c>
      <c r="C1945" s="82" t="s">
        <v>7483</v>
      </c>
    </row>
    <row r="1946" spans="1:3" s="79" customFormat="1" ht="49.15" customHeight="1" x14ac:dyDescent="0.2">
      <c r="A1946" s="81">
        <v>20030606</v>
      </c>
      <c r="B1946" s="80" t="s">
        <v>2201</v>
      </c>
      <c r="C1946" s="82" t="s">
        <v>7484</v>
      </c>
    </row>
    <row r="1947" spans="1:3" s="79" customFormat="1" ht="38.85" customHeight="1" x14ac:dyDescent="0.2">
      <c r="A1947" s="81">
        <v>20030607</v>
      </c>
      <c r="B1947" s="80" t="s">
        <v>2202</v>
      </c>
      <c r="C1947" s="82" t="s">
        <v>7485</v>
      </c>
    </row>
    <row r="1948" spans="1:3" s="79" customFormat="1" ht="49.15" customHeight="1" x14ac:dyDescent="0.2">
      <c r="A1948" s="81">
        <v>20030617</v>
      </c>
      <c r="B1948" s="80" t="s">
        <v>2203</v>
      </c>
      <c r="C1948" s="82" t="s">
        <v>7486</v>
      </c>
    </row>
    <row r="1949" spans="1:3" s="79" customFormat="1" ht="78.95" customHeight="1" x14ac:dyDescent="0.2">
      <c r="A1949" s="81">
        <v>20030623</v>
      </c>
      <c r="B1949" s="80" t="s">
        <v>2204</v>
      </c>
      <c r="C1949" s="82" t="s">
        <v>7487</v>
      </c>
    </row>
    <row r="1950" spans="1:3" s="79" customFormat="1" ht="38.85" customHeight="1" x14ac:dyDescent="0.2">
      <c r="A1950" s="81">
        <v>20030624</v>
      </c>
      <c r="B1950" s="80" t="s">
        <v>2205</v>
      </c>
      <c r="C1950" s="82" t="s">
        <v>7488</v>
      </c>
    </row>
    <row r="1951" spans="1:3" s="79" customFormat="1" ht="49.15" customHeight="1" x14ac:dyDescent="0.2">
      <c r="A1951" s="81">
        <v>20030642</v>
      </c>
      <c r="B1951" s="80" t="s">
        <v>2206</v>
      </c>
      <c r="C1951" s="82" t="s">
        <v>7489</v>
      </c>
    </row>
    <row r="1952" spans="1:3" s="79" customFormat="1" ht="59.1" customHeight="1" x14ac:dyDescent="0.2">
      <c r="A1952" s="81">
        <v>20030643</v>
      </c>
      <c r="B1952" s="80" t="s">
        <v>2207</v>
      </c>
      <c r="C1952" s="82" t="s">
        <v>7490</v>
      </c>
    </row>
    <row r="1953" spans="1:3" s="79" customFormat="1" ht="59.1" customHeight="1" x14ac:dyDescent="0.2">
      <c r="A1953" s="81">
        <v>20030653</v>
      </c>
      <c r="B1953" s="80" t="s">
        <v>2208</v>
      </c>
      <c r="C1953" s="82" t="s">
        <v>7491</v>
      </c>
    </row>
    <row r="1954" spans="1:3" s="79" customFormat="1" ht="38.85" customHeight="1" x14ac:dyDescent="0.2">
      <c r="A1954" s="81">
        <v>20030654</v>
      </c>
      <c r="B1954" s="80" t="s">
        <v>2209</v>
      </c>
      <c r="C1954" s="82" t="s">
        <v>7492</v>
      </c>
    </row>
    <row r="1955" spans="1:3" s="79" customFormat="1" ht="49.15" customHeight="1" x14ac:dyDescent="0.2">
      <c r="A1955" s="81">
        <v>20030655</v>
      </c>
      <c r="B1955" s="80" t="s">
        <v>2210</v>
      </c>
      <c r="C1955" s="82" t="s">
        <v>7493</v>
      </c>
    </row>
    <row r="1956" spans="1:3" s="79" customFormat="1" ht="38.85" customHeight="1" x14ac:dyDescent="0.2">
      <c r="A1956" s="81">
        <v>20030656</v>
      </c>
      <c r="B1956" s="80" t="s">
        <v>2211</v>
      </c>
      <c r="C1956" s="82" t="s">
        <v>7494</v>
      </c>
    </row>
    <row r="1957" spans="1:3" s="79" customFormat="1" ht="38.85" customHeight="1" x14ac:dyDescent="0.2">
      <c r="A1957" s="81">
        <v>20030657</v>
      </c>
      <c r="B1957" s="80" t="s">
        <v>2212</v>
      </c>
      <c r="C1957" s="82" t="s">
        <v>7495</v>
      </c>
    </row>
    <row r="1958" spans="1:3" s="79" customFormat="1" ht="28.7" customHeight="1" x14ac:dyDescent="0.2">
      <c r="A1958" s="81">
        <v>20030661</v>
      </c>
      <c r="B1958" s="80" t="s">
        <v>2213</v>
      </c>
      <c r="C1958" s="82" t="s">
        <v>7496</v>
      </c>
    </row>
    <row r="1959" spans="1:3" s="79" customFormat="1" ht="78.95" customHeight="1" x14ac:dyDescent="0.2">
      <c r="A1959" s="81">
        <v>20030668</v>
      </c>
      <c r="B1959" s="80" t="s">
        <v>2214</v>
      </c>
      <c r="C1959" s="82" t="s">
        <v>7497</v>
      </c>
    </row>
    <row r="1960" spans="1:3" s="79" customFormat="1" ht="38.85" customHeight="1" x14ac:dyDescent="0.2">
      <c r="A1960" s="81">
        <v>20030735</v>
      </c>
      <c r="B1960" s="80" t="s">
        <v>2215</v>
      </c>
      <c r="C1960" s="82" t="s">
        <v>7498</v>
      </c>
    </row>
    <row r="1961" spans="1:3" s="79" customFormat="1" ht="49.15" customHeight="1" x14ac:dyDescent="0.2">
      <c r="A1961" s="81">
        <v>20030736</v>
      </c>
      <c r="B1961" s="80" t="s">
        <v>2216</v>
      </c>
      <c r="C1961" s="82" t="s">
        <v>7499</v>
      </c>
    </row>
    <row r="1962" spans="1:3" s="79" customFormat="1" ht="38.85" customHeight="1" x14ac:dyDescent="0.2">
      <c r="A1962" s="81">
        <v>20030752</v>
      </c>
      <c r="B1962" s="80" t="s">
        <v>2217</v>
      </c>
      <c r="C1962" s="82" t="s">
        <v>7500</v>
      </c>
    </row>
    <row r="1963" spans="1:3" s="79" customFormat="1" ht="28.7" customHeight="1" x14ac:dyDescent="0.2">
      <c r="A1963" s="81">
        <v>20030756</v>
      </c>
      <c r="B1963" s="80" t="s">
        <v>2218</v>
      </c>
      <c r="C1963" s="81" t="s">
        <v>7501</v>
      </c>
    </row>
    <row r="1964" spans="1:3" s="79" customFormat="1" ht="329.1" customHeight="1" x14ac:dyDescent="0.2">
      <c r="A1964" s="81">
        <v>20030757</v>
      </c>
      <c r="B1964" s="80" t="s">
        <v>2219</v>
      </c>
      <c r="C1964" s="81" t="s">
        <v>7502</v>
      </c>
    </row>
    <row r="1965" spans="1:3" s="79" customFormat="1" ht="158.85" customHeight="1" x14ac:dyDescent="0.2">
      <c r="A1965" s="81">
        <v>20030770</v>
      </c>
      <c r="B1965" s="80" t="s">
        <v>2220</v>
      </c>
      <c r="C1965" s="80" t="s">
        <v>7503</v>
      </c>
    </row>
    <row r="1966" spans="1:3" s="79" customFormat="1" ht="19.149999999999999" customHeight="1" x14ac:dyDescent="0.2">
      <c r="A1966" s="81">
        <v>20030782</v>
      </c>
      <c r="B1966" s="80" t="s">
        <v>2221</v>
      </c>
      <c r="C1966" s="82" t="s">
        <v>7504</v>
      </c>
    </row>
    <row r="1967" spans="1:3" s="79" customFormat="1" ht="68.849999999999994" customHeight="1" x14ac:dyDescent="0.2">
      <c r="A1967" s="81">
        <v>20030783</v>
      </c>
      <c r="B1967" s="80" t="s">
        <v>2222</v>
      </c>
      <c r="C1967" s="82" t="s">
        <v>7505</v>
      </c>
    </row>
    <row r="1968" spans="1:3" s="79" customFormat="1" ht="38.85" customHeight="1" x14ac:dyDescent="0.2">
      <c r="A1968" s="81">
        <v>20030784</v>
      </c>
      <c r="B1968" s="80" t="s">
        <v>2223</v>
      </c>
      <c r="C1968" s="82" t="s">
        <v>7506</v>
      </c>
    </row>
    <row r="1969" spans="1:3" s="79" customFormat="1" ht="38.85" customHeight="1" x14ac:dyDescent="0.2">
      <c r="A1969" s="81">
        <v>20030788</v>
      </c>
      <c r="B1969" s="80" t="s">
        <v>2224</v>
      </c>
      <c r="C1969" s="82" t="s">
        <v>7507</v>
      </c>
    </row>
    <row r="1970" spans="1:3" s="79" customFormat="1" ht="59.1" customHeight="1" x14ac:dyDescent="0.2">
      <c r="A1970" s="81">
        <v>20030807</v>
      </c>
      <c r="B1970" s="80" t="s">
        <v>2225</v>
      </c>
      <c r="C1970" s="82" t="s">
        <v>7508</v>
      </c>
    </row>
    <row r="1971" spans="1:3" s="79" customFormat="1" ht="38.85" customHeight="1" x14ac:dyDescent="0.2">
      <c r="A1971" s="81">
        <v>20030822</v>
      </c>
      <c r="B1971" s="80" t="s">
        <v>2226</v>
      </c>
      <c r="C1971" s="82" t="s">
        <v>7509</v>
      </c>
    </row>
    <row r="1972" spans="1:3" s="79" customFormat="1" ht="78.95" customHeight="1" x14ac:dyDescent="0.2">
      <c r="A1972" s="81">
        <v>20030823</v>
      </c>
      <c r="B1972" s="80" t="s">
        <v>2227</v>
      </c>
      <c r="C1972" s="82" t="s">
        <v>7510</v>
      </c>
    </row>
    <row r="1973" spans="1:3" s="79" customFormat="1" ht="78.95" customHeight="1" x14ac:dyDescent="0.2">
      <c r="A1973" s="81">
        <v>20030824</v>
      </c>
      <c r="B1973" s="80" t="s">
        <v>2228</v>
      </c>
      <c r="C1973" s="82" t="s">
        <v>7511</v>
      </c>
    </row>
    <row r="1974" spans="1:3" s="79" customFormat="1" ht="78.95" customHeight="1" x14ac:dyDescent="0.2">
      <c r="A1974" s="81">
        <v>20030825</v>
      </c>
      <c r="B1974" s="80" t="s">
        <v>2229</v>
      </c>
      <c r="C1974" s="82" t="s">
        <v>7512</v>
      </c>
    </row>
    <row r="1975" spans="1:3" s="79" customFormat="1" ht="78.95" customHeight="1" x14ac:dyDescent="0.2">
      <c r="A1975" s="81">
        <v>20030826</v>
      </c>
      <c r="B1975" s="80" t="s">
        <v>2230</v>
      </c>
      <c r="C1975" s="82" t="s">
        <v>7513</v>
      </c>
    </row>
    <row r="1976" spans="1:3" s="79" customFormat="1" ht="78.95" customHeight="1" x14ac:dyDescent="0.2">
      <c r="A1976" s="81">
        <v>20030827</v>
      </c>
      <c r="B1976" s="80" t="s">
        <v>2231</v>
      </c>
      <c r="C1976" s="82" t="s">
        <v>7514</v>
      </c>
    </row>
    <row r="1977" spans="1:3" s="79" customFormat="1" ht="78.95" customHeight="1" x14ac:dyDescent="0.2">
      <c r="A1977" s="81">
        <v>20030828</v>
      </c>
      <c r="B1977" s="80" t="s">
        <v>2232</v>
      </c>
      <c r="C1977" s="82" t="s">
        <v>7515</v>
      </c>
    </row>
    <row r="1978" spans="1:3" s="79" customFormat="1" ht="78.95" customHeight="1" x14ac:dyDescent="0.2">
      <c r="A1978" s="81">
        <v>20030829</v>
      </c>
      <c r="B1978" s="80" t="s">
        <v>2233</v>
      </c>
      <c r="C1978" s="82" t="s">
        <v>7516</v>
      </c>
    </row>
    <row r="1979" spans="1:3" s="79" customFormat="1" ht="78.95" customHeight="1" x14ac:dyDescent="0.2">
      <c r="A1979" s="81">
        <v>20030830</v>
      </c>
      <c r="B1979" s="80" t="s">
        <v>2234</v>
      </c>
      <c r="C1979" s="82" t="s">
        <v>7517</v>
      </c>
    </row>
    <row r="1980" spans="1:3" s="79" customFormat="1" ht="78.95" customHeight="1" x14ac:dyDescent="0.2">
      <c r="A1980" s="81">
        <v>20030831</v>
      </c>
      <c r="B1980" s="80" t="s">
        <v>2235</v>
      </c>
      <c r="C1980" s="82" t="s">
        <v>7518</v>
      </c>
    </row>
    <row r="1981" spans="1:3" s="79" customFormat="1" ht="89.1" customHeight="1" x14ac:dyDescent="0.2">
      <c r="A1981" s="81">
        <v>20030832</v>
      </c>
      <c r="B1981" s="80" t="s">
        <v>2236</v>
      </c>
      <c r="C1981" s="82" t="s">
        <v>7519</v>
      </c>
    </row>
    <row r="1982" spans="1:3" s="79" customFormat="1" ht="89.1" customHeight="1" x14ac:dyDescent="0.2">
      <c r="A1982" s="81">
        <v>20030833</v>
      </c>
      <c r="B1982" s="80" t="s">
        <v>2237</v>
      </c>
      <c r="C1982" s="82" t="s">
        <v>7520</v>
      </c>
    </row>
    <row r="1983" spans="1:3" s="79" customFormat="1" ht="89.1" customHeight="1" x14ac:dyDescent="0.2">
      <c r="A1983" s="81">
        <v>20030834</v>
      </c>
      <c r="B1983" s="80" t="s">
        <v>2238</v>
      </c>
      <c r="C1983" s="82" t="s">
        <v>7521</v>
      </c>
    </row>
    <row r="1984" spans="1:3" s="79" customFormat="1" ht="89.1" customHeight="1" x14ac:dyDescent="0.2">
      <c r="A1984" s="81">
        <v>20030835</v>
      </c>
      <c r="B1984" s="80" t="s">
        <v>2239</v>
      </c>
      <c r="C1984" s="82" t="s">
        <v>7522</v>
      </c>
    </row>
    <row r="1985" spans="1:3" s="79" customFormat="1" ht="89.1" customHeight="1" x14ac:dyDescent="0.2">
      <c r="A1985" s="81">
        <v>20030836</v>
      </c>
      <c r="B1985" s="80" t="s">
        <v>2240</v>
      </c>
      <c r="C1985" s="82" t="s">
        <v>7523</v>
      </c>
    </row>
    <row r="1986" spans="1:3" s="79" customFormat="1" ht="78.95" customHeight="1" x14ac:dyDescent="0.2">
      <c r="A1986" s="81">
        <v>20030837</v>
      </c>
      <c r="B1986" s="80" t="s">
        <v>2241</v>
      </c>
      <c r="C1986" s="82" t="s">
        <v>7524</v>
      </c>
    </row>
    <row r="1987" spans="1:3" s="79" customFormat="1" ht="78.95" customHeight="1" x14ac:dyDescent="0.2">
      <c r="A1987" s="81">
        <v>20030838</v>
      </c>
      <c r="B1987" s="80" t="s">
        <v>2242</v>
      </c>
      <c r="C1987" s="82" t="s">
        <v>7525</v>
      </c>
    </row>
    <row r="1988" spans="1:3" s="79" customFormat="1" ht="78.95" customHeight="1" x14ac:dyDescent="0.2">
      <c r="A1988" s="81">
        <v>20030839</v>
      </c>
      <c r="B1988" s="80" t="s">
        <v>2243</v>
      </c>
      <c r="C1988" s="82" t="s">
        <v>7526</v>
      </c>
    </row>
    <row r="1989" spans="1:3" s="79" customFormat="1" ht="78.95" customHeight="1" x14ac:dyDescent="0.2">
      <c r="A1989" s="81">
        <v>20030840</v>
      </c>
      <c r="B1989" s="80" t="s">
        <v>2244</v>
      </c>
      <c r="C1989" s="82" t="s">
        <v>7527</v>
      </c>
    </row>
    <row r="1990" spans="1:3" s="79" customFormat="1" ht="78.95" customHeight="1" x14ac:dyDescent="0.2">
      <c r="A1990" s="81">
        <v>20030841</v>
      </c>
      <c r="B1990" s="80" t="s">
        <v>2245</v>
      </c>
      <c r="C1990" s="82" t="s">
        <v>7528</v>
      </c>
    </row>
    <row r="1991" spans="1:3" s="79" customFormat="1" ht="78.95" customHeight="1" x14ac:dyDescent="0.2">
      <c r="A1991" s="81">
        <v>20030842</v>
      </c>
      <c r="B1991" s="80" t="s">
        <v>2246</v>
      </c>
      <c r="C1991" s="82" t="s">
        <v>7529</v>
      </c>
    </row>
    <row r="1992" spans="1:3" s="79" customFormat="1" ht="78.95" customHeight="1" x14ac:dyDescent="0.2">
      <c r="A1992" s="81">
        <v>20030843</v>
      </c>
      <c r="B1992" s="80" t="s">
        <v>2247</v>
      </c>
      <c r="C1992" s="82" t="s">
        <v>7530</v>
      </c>
    </row>
    <row r="1993" spans="1:3" s="79" customFormat="1" ht="78.95" customHeight="1" x14ac:dyDescent="0.2">
      <c r="A1993" s="81">
        <v>20030844</v>
      </c>
      <c r="B1993" s="80" t="s">
        <v>2248</v>
      </c>
      <c r="C1993" s="82" t="s">
        <v>7531</v>
      </c>
    </row>
    <row r="1994" spans="1:3" s="79" customFormat="1" ht="78.95" customHeight="1" x14ac:dyDescent="0.2">
      <c r="A1994" s="81">
        <v>20030845</v>
      </c>
      <c r="B1994" s="80" t="s">
        <v>2249</v>
      </c>
      <c r="C1994" s="82" t="s">
        <v>7532</v>
      </c>
    </row>
    <row r="1995" spans="1:3" s="79" customFormat="1" ht="78.95" customHeight="1" x14ac:dyDescent="0.2">
      <c r="A1995" s="81">
        <v>20030846</v>
      </c>
      <c r="B1995" s="80" t="s">
        <v>2250</v>
      </c>
      <c r="C1995" s="82" t="s">
        <v>7533</v>
      </c>
    </row>
    <row r="1996" spans="1:3" s="79" customFormat="1" ht="78.95" customHeight="1" x14ac:dyDescent="0.2">
      <c r="A1996" s="81">
        <v>20030847</v>
      </c>
      <c r="B1996" s="80" t="s">
        <v>2251</v>
      </c>
      <c r="C1996" s="82" t="s">
        <v>7534</v>
      </c>
    </row>
    <row r="1997" spans="1:3" s="79" customFormat="1" ht="78.95" customHeight="1" x14ac:dyDescent="0.2">
      <c r="A1997" s="81">
        <v>20030848</v>
      </c>
      <c r="B1997" s="80" t="s">
        <v>2252</v>
      </c>
      <c r="C1997" s="82" t="s">
        <v>7535</v>
      </c>
    </row>
    <row r="1998" spans="1:3" s="79" customFormat="1" ht="78.95" customHeight="1" x14ac:dyDescent="0.2">
      <c r="A1998" s="81">
        <v>20030849</v>
      </c>
      <c r="B1998" s="80" t="s">
        <v>2253</v>
      </c>
      <c r="C1998" s="82" t="s">
        <v>7536</v>
      </c>
    </row>
    <row r="1999" spans="1:3" s="79" customFormat="1" ht="78.95" customHeight="1" x14ac:dyDescent="0.2">
      <c r="A1999" s="81">
        <v>20030850</v>
      </c>
      <c r="B1999" s="80" t="s">
        <v>2254</v>
      </c>
      <c r="C1999" s="82" t="s">
        <v>7537</v>
      </c>
    </row>
    <row r="2000" spans="1:3" s="79" customFormat="1" ht="78.95" customHeight="1" x14ac:dyDescent="0.2">
      <c r="A2000" s="81">
        <v>20030851</v>
      </c>
      <c r="B2000" s="80" t="s">
        <v>2255</v>
      </c>
      <c r="C2000" s="82" t="s">
        <v>7538</v>
      </c>
    </row>
    <row r="2001" spans="1:3" s="79" customFormat="1" ht="89.1" customHeight="1" x14ac:dyDescent="0.2">
      <c r="A2001" s="81">
        <v>20030853</v>
      </c>
      <c r="B2001" s="80" t="s">
        <v>2256</v>
      </c>
      <c r="C2001" s="82" t="s">
        <v>7539</v>
      </c>
    </row>
    <row r="2002" spans="1:3" s="79" customFormat="1" ht="78.95" customHeight="1" x14ac:dyDescent="0.2">
      <c r="A2002" s="81">
        <v>20030868</v>
      </c>
      <c r="B2002" s="80" t="s">
        <v>2257</v>
      </c>
      <c r="C2002" s="82" t="s">
        <v>7540</v>
      </c>
    </row>
    <row r="2003" spans="1:3" s="79" customFormat="1" ht="89.1" customHeight="1" x14ac:dyDescent="0.2">
      <c r="A2003" s="81">
        <v>20030869</v>
      </c>
      <c r="B2003" s="80" t="s">
        <v>2258</v>
      </c>
      <c r="C2003" s="81" t="s">
        <v>7541</v>
      </c>
    </row>
    <row r="2004" spans="1:3" s="79" customFormat="1" ht="49.15" customHeight="1" x14ac:dyDescent="0.2">
      <c r="A2004" s="81">
        <v>20030870</v>
      </c>
      <c r="B2004" s="80" t="s">
        <v>2259</v>
      </c>
      <c r="C2004" s="82" t="s">
        <v>7542</v>
      </c>
    </row>
    <row r="2005" spans="1:3" s="79" customFormat="1" ht="68.849999999999994" customHeight="1" x14ac:dyDescent="0.2">
      <c r="A2005" s="81">
        <v>20030876</v>
      </c>
      <c r="B2005" s="80" t="s">
        <v>2260</v>
      </c>
      <c r="C2005" s="80" t="s">
        <v>7543</v>
      </c>
    </row>
    <row r="2006" spans="1:3" s="79" customFormat="1" ht="19.149999999999999" customHeight="1" x14ac:dyDescent="0.2">
      <c r="A2006" s="81">
        <v>20030878</v>
      </c>
      <c r="B2006" s="80" t="s">
        <v>2261</v>
      </c>
      <c r="C2006" s="82" t="s">
        <v>7544</v>
      </c>
    </row>
    <row r="2007" spans="1:3" s="79" customFormat="1" ht="49.15" customHeight="1" x14ac:dyDescent="0.2">
      <c r="A2007" s="81">
        <v>20030936</v>
      </c>
      <c r="B2007" s="80" t="s">
        <v>2262</v>
      </c>
      <c r="C2007" s="82" t="s">
        <v>7545</v>
      </c>
    </row>
    <row r="2008" spans="1:3" s="79" customFormat="1" ht="49.15" customHeight="1" x14ac:dyDescent="0.2">
      <c r="A2008" s="81">
        <v>20030962</v>
      </c>
      <c r="B2008" s="80" t="s">
        <v>2263</v>
      </c>
      <c r="C2008" s="80"/>
    </row>
    <row r="2009" spans="1:3" s="79" customFormat="1" ht="19.149999999999999" customHeight="1" x14ac:dyDescent="0.2">
      <c r="A2009" s="81">
        <v>20031008</v>
      </c>
      <c r="B2009" s="80" t="s">
        <v>2264</v>
      </c>
      <c r="C2009" s="82" t="s">
        <v>7546</v>
      </c>
    </row>
    <row r="2010" spans="1:3" s="79" customFormat="1" ht="49.15" customHeight="1" x14ac:dyDescent="0.2">
      <c r="A2010" s="81">
        <v>20031013</v>
      </c>
      <c r="B2010" s="80" t="s">
        <v>2265</v>
      </c>
      <c r="C2010" s="82" t="s">
        <v>7547</v>
      </c>
    </row>
    <row r="2011" spans="1:3" s="79" customFormat="1" ht="38.85" customHeight="1" x14ac:dyDescent="0.2">
      <c r="A2011" s="81">
        <v>20031016</v>
      </c>
      <c r="B2011" s="80" t="s">
        <v>2266</v>
      </c>
      <c r="C2011" s="82" t="s">
        <v>7548</v>
      </c>
    </row>
    <row r="2012" spans="1:3" s="79" customFormat="1" ht="38.85" customHeight="1" x14ac:dyDescent="0.2">
      <c r="A2012" s="81">
        <v>20031018</v>
      </c>
      <c r="B2012" s="80" t="s">
        <v>2267</v>
      </c>
      <c r="C2012" s="82" t="s">
        <v>7549</v>
      </c>
    </row>
    <row r="2013" spans="1:3" s="79" customFormat="1" ht="49.15" customHeight="1" x14ac:dyDescent="0.2">
      <c r="A2013" s="81">
        <v>20031024</v>
      </c>
      <c r="B2013" s="80" t="s">
        <v>2268</v>
      </c>
      <c r="C2013" s="81" t="s">
        <v>7550</v>
      </c>
    </row>
    <row r="2014" spans="1:3" s="79" customFormat="1" ht="229.35" customHeight="1" x14ac:dyDescent="0.2">
      <c r="A2014" s="81">
        <v>20031029</v>
      </c>
      <c r="B2014" s="80" t="s">
        <v>2269</v>
      </c>
      <c r="C2014" s="82" t="s">
        <v>7551</v>
      </c>
    </row>
    <row r="2015" spans="1:3" s="79" customFormat="1" ht="38.85" customHeight="1" x14ac:dyDescent="0.2">
      <c r="A2015" s="81">
        <v>20031047</v>
      </c>
      <c r="B2015" s="80" t="s">
        <v>2270</v>
      </c>
      <c r="C2015" s="82" t="s">
        <v>7552</v>
      </c>
    </row>
    <row r="2016" spans="1:3" s="79" customFormat="1" ht="19.149999999999999" customHeight="1" x14ac:dyDescent="0.2">
      <c r="A2016" s="81">
        <v>20031077</v>
      </c>
      <c r="B2016" s="80" t="s">
        <v>2271</v>
      </c>
      <c r="C2016" s="82" t="s">
        <v>7553</v>
      </c>
    </row>
    <row r="2017" spans="1:3" s="79" customFormat="1" ht="59.1" customHeight="1" x14ac:dyDescent="0.2">
      <c r="A2017" s="81">
        <v>20031362</v>
      </c>
      <c r="B2017" s="80" t="s">
        <v>2272</v>
      </c>
      <c r="C2017" s="82" t="s">
        <v>7554</v>
      </c>
    </row>
    <row r="2018" spans="1:3" s="79" customFormat="1" ht="59.1" customHeight="1" x14ac:dyDescent="0.2">
      <c r="A2018" s="81">
        <v>20031365</v>
      </c>
      <c r="B2018" s="80" t="s">
        <v>2273</v>
      </c>
      <c r="C2018" s="82" t="s">
        <v>7555</v>
      </c>
    </row>
    <row r="2019" spans="1:3" s="79" customFormat="1" ht="49.15" customHeight="1" x14ac:dyDescent="0.2">
      <c r="A2019" s="81">
        <v>20031368</v>
      </c>
      <c r="B2019" s="80" t="s">
        <v>2274</v>
      </c>
      <c r="C2019" s="82" t="s">
        <v>7556</v>
      </c>
    </row>
    <row r="2020" spans="1:3" s="79" customFormat="1" ht="38.85" customHeight="1" x14ac:dyDescent="0.2">
      <c r="A2020" s="81">
        <v>20031386</v>
      </c>
      <c r="B2020" s="80" t="s">
        <v>2275</v>
      </c>
      <c r="C2020" s="81" t="s">
        <v>7557</v>
      </c>
    </row>
    <row r="2021" spans="1:3" s="79" customFormat="1" ht="118.9" customHeight="1" x14ac:dyDescent="0.2">
      <c r="A2021" s="81">
        <v>20031392</v>
      </c>
      <c r="B2021" s="80" t="s">
        <v>2276</v>
      </c>
      <c r="C2021" s="80" t="s">
        <v>7558</v>
      </c>
    </row>
    <row r="2022" spans="1:3" s="79" customFormat="1" ht="19.149999999999999" customHeight="1" x14ac:dyDescent="0.2">
      <c r="A2022" s="81">
        <v>20031394</v>
      </c>
      <c r="B2022" s="80" t="s">
        <v>2277</v>
      </c>
      <c r="C2022" s="80" t="s">
        <v>7559</v>
      </c>
    </row>
    <row r="2023" spans="1:3" s="79" customFormat="1" ht="19.149999999999999" customHeight="1" x14ac:dyDescent="0.2">
      <c r="A2023" s="81">
        <v>20031396</v>
      </c>
      <c r="B2023" s="80" t="s">
        <v>11604</v>
      </c>
      <c r="C2023" s="82" t="s">
        <v>7560</v>
      </c>
    </row>
    <row r="2024" spans="1:3" s="79" customFormat="1" ht="38.85" customHeight="1" x14ac:dyDescent="0.2">
      <c r="A2024" s="81">
        <v>20031397</v>
      </c>
      <c r="B2024" s="80" t="s">
        <v>2278</v>
      </c>
      <c r="C2024" s="81" t="s">
        <v>7561</v>
      </c>
    </row>
    <row r="2025" spans="1:3" s="79" customFormat="1" ht="49.15" customHeight="1" x14ac:dyDescent="0.2">
      <c r="A2025" s="81">
        <v>20031425</v>
      </c>
      <c r="B2025" s="80" t="s">
        <v>2279</v>
      </c>
      <c r="C2025" s="82" t="s">
        <v>7562</v>
      </c>
    </row>
    <row r="2026" spans="1:3" s="79" customFormat="1" ht="28.7" customHeight="1" x14ac:dyDescent="0.2">
      <c r="A2026" s="81">
        <v>20031426</v>
      </c>
      <c r="B2026" s="80" t="s">
        <v>2280</v>
      </c>
      <c r="C2026" s="82" t="s">
        <v>7563</v>
      </c>
    </row>
    <row r="2027" spans="1:3" s="79" customFormat="1" ht="28.7" customHeight="1" x14ac:dyDescent="0.2">
      <c r="A2027" s="81">
        <v>20031461</v>
      </c>
      <c r="B2027" s="80" t="s">
        <v>2281</v>
      </c>
      <c r="C2027" s="82" t="s">
        <v>7564</v>
      </c>
    </row>
    <row r="2028" spans="1:3" s="79" customFormat="1" ht="38.85" customHeight="1" x14ac:dyDescent="0.2">
      <c r="A2028" s="81">
        <v>20031462</v>
      </c>
      <c r="B2028" s="80" t="s">
        <v>2282</v>
      </c>
      <c r="C2028" s="82" t="s">
        <v>7565</v>
      </c>
    </row>
    <row r="2029" spans="1:3" s="79" customFormat="1" ht="59.1" customHeight="1" x14ac:dyDescent="0.2">
      <c r="A2029" s="81">
        <v>20031463</v>
      </c>
      <c r="B2029" s="80" t="s">
        <v>2283</v>
      </c>
      <c r="C2029" s="82" t="s">
        <v>7566</v>
      </c>
    </row>
    <row r="2030" spans="1:3" s="79" customFormat="1" ht="59.1" customHeight="1" x14ac:dyDescent="0.2">
      <c r="A2030" s="81">
        <v>20031464</v>
      </c>
      <c r="B2030" s="80" t="s">
        <v>2284</v>
      </c>
      <c r="C2030" s="82" t="s">
        <v>7567</v>
      </c>
    </row>
    <row r="2031" spans="1:3" s="79" customFormat="1" ht="59.1" customHeight="1" x14ac:dyDescent="0.2">
      <c r="A2031" s="81">
        <v>20031465</v>
      </c>
      <c r="B2031" s="80" t="s">
        <v>2285</v>
      </c>
      <c r="C2031" s="82" t="s">
        <v>7568</v>
      </c>
    </row>
    <row r="2032" spans="1:3" s="79" customFormat="1" ht="59.1" customHeight="1" x14ac:dyDescent="0.2">
      <c r="A2032" s="81">
        <v>20031466</v>
      </c>
      <c r="B2032" s="80" t="s">
        <v>2286</v>
      </c>
      <c r="C2032" s="82" t="s">
        <v>7569</v>
      </c>
    </row>
    <row r="2033" spans="1:3" s="79" customFormat="1" ht="59.1" customHeight="1" x14ac:dyDescent="0.2">
      <c r="A2033" s="81">
        <v>20031467</v>
      </c>
      <c r="B2033" s="80" t="s">
        <v>2287</v>
      </c>
      <c r="C2033" s="82" t="s">
        <v>7570</v>
      </c>
    </row>
    <row r="2034" spans="1:3" s="79" customFormat="1" ht="59.1" customHeight="1" x14ac:dyDescent="0.2">
      <c r="A2034" s="81">
        <v>20031522</v>
      </c>
      <c r="B2034" s="80" t="s">
        <v>2288</v>
      </c>
      <c r="C2034" s="82" t="s">
        <v>7571</v>
      </c>
    </row>
    <row r="2035" spans="1:3" s="79" customFormat="1" ht="19.149999999999999" customHeight="1" x14ac:dyDescent="0.2">
      <c r="A2035" s="81">
        <v>20031523</v>
      </c>
      <c r="B2035" s="80" t="s">
        <v>2289</v>
      </c>
      <c r="C2035" s="82" t="s">
        <v>7572</v>
      </c>
    </row>
    <row r="2036" spans="1:3" s="79" customFormat="1" ht="19.149999999999999" customHeight="1" x14ac:dyDescent="0.2">
      <c r="A2036" s="81">
        <v>20031580</v>
      </c>
      <c r="B2036" s="80" t="s">
        <v>2290</v>
      </c>
      <c r="C2036" s="82" t="s">
        <v>7573</v>
      </c>
    </row>
    <row r="2037" spans="1:3" s="79" customFormat="1" ht="38.85" customHeight="1" x14ac:dyDescent="0.2">
      <c r="A2037" s="81">
        <v>20031581</v>
      </c>
      <c r="B2037" s="80" t="s">
        <v>2291</v>
      </c>
      <c r="C2037" s="82" t="s">
        <v>7574</v>
      </c>
    </row>
    <row r="2038" spans="1:3" s="79" customFormat="1" ht="38.85" customHeight="1" x14ac:dyDescent="0.2">
      <c r="A2038" s="81">
        <v>20031582</v>
      </c>
      <c r="B2038" s="80" t="s">
        <v>2292</v>
      </c>
      <c r="C2038" s="82" t="s">
        <v>7575</v>
      </c>
    </row>
    <row r="2039" spans="1:3" s="79" customFormat="1" ht="49.15" customHeight="1" x14ac:dyDescent="0.2">
      <c r="A2039" s="81">
        <v>20031617</v>
      </c>
      <c r="B2039" s="80" t="s">
        <v>2324</v>
      </c>
      <c r="C2039" s="82" t="s">
        <v>7576</v>
      </c>
    </row>
    <row r="2040" spans="1:3" s="79" customFormat="1" ht="49.15" customHeight="1" x14ac:dyDescent="0.2">
      <c r="A2040" s="81">
        <v>20031627</v>
      </c>
      <c r="B2040" s="80" t="s">
        <v>2293</v>
      </c>
      <c r="C2040" s="82" t="s">
        <v>7577</v>
      </c>
    </row>
    <row r="2041" spans="1:3" s="79" customFormat="1" ht="38.85" customHeight="1" x14ac:dyDescent="0.2">
      <c r="A2041" s="81">
        <v>20031628</v>
      </c>
      <c r="B2041" s="80" t="s">
        <v>2294</v>
      </c>
      <c r="C2041" s="82" t="s">
        <v>7578</v>
      </c>
    </row>
    <row r="2042" spans="1:3" s="79" customFormat="1" ht="59.1" customHeight="1" x14ac:dyDescent="0.2">
      <c r="A2042" s="81">
        <v>20031629</v>
      </c>
      <c r="B2042" s="80" t="s">
        <v>2295</v>
      </c>
      <c r="C2042" s="82" t="s">
        <v>7579</v>
      </c>
    </row>
    <row r="2043" spans="1:3" s="79" customFormat="1" ht="38.85" customHeight="1" x14ac:dyDescent="0.2">
      <c r="A2043" s="81">
        <v>20031630</v>
      </c>
      <c r="B2043" s="80" t="s">
        <v>2296</v>
      </c>
      <c r="C2043" s="82" t="s">
        <v>7580</v>
      </c>
    </row>
    <row r="2044" spans="1:3" s="79" customFormat="1" ht="38.85" customHeight="1" x14ac:dyDescent="0.2">
      <c r="A2044" s="81">
        <v>20031631</v>
      </c>
      <c r="B2044" s="80" t="s">
        <v>2297</v>
      </c>
      <c r="C2044" s="82" t="s">
        <v>7581</v>
      </c>
    </row>
    <row r="2045" spans="1:3" s="79" customFormat="1" ht="49.15" customHeight="1" x14ac:dyDescent="0.2">
      <c r="A2045" s="81">
        <v>20031632</v>
      </c>
      <c r="B2045" s="80" t="s">
        <v>2298</v>
      </c>
      <c r="C2045" s="82" t="s">
        <v>7582</v>
      </c>
    </row>
    <row r="2046" spans="1:3" s="79" customFormat="1" ht="38.85" customHeight="1" x14ac:dyDescent="0.2">
      <c r="A2046" s="81">
        <v>20031633</v>
      </c>
      <c r="B2046" s="80" t="s">
        <v>2299</v>
      </c>
      <c r="C2046" s="82" t="s">
        <v>7583</v>
      </c>
    </row>
    <row r="2047" spans="1:3" s="79" customFormat="1" ht="38.85" customHeight="1" x14ac:dyDescent="0.2">
      <c r="A2047" s="81">
        <v>20031634</v>
      </c>
      <c r="B2047" s="80" t="s">
        <v>2300</v>
      </c>
      <c r="C2047" s="82" t="s">
        <v>7584</v>
      </c>
    </row>
    <row r="2048" spans="1:3" s="79" customFormat="1" ht="49.15" customHeight="1" x14ac:dyDescent="0.2">
      <c r="A2048" s="81">
        <v>20031635</v>
      </c>
      <c r="B2048" s="80" t="s">
        <v>2301</v>
      </c>
      <c r="C2048" s="82" t="s">
        <v>7585</v>
      </c>
    </row>
    <row r="2049" spans="1:3" s="79" customFormat="1" ht="49.15" customHeight="1" x14ac:dyDescent="0.2">
      <c r="A2049" s="81">
        <v>20031636</v>
      </c>
      <c r="B2049" s="80" t="s">
        <v>2302</v>
      </c>
      <c r="C2049" s="82" t="s">
        <v>7586</v>
      </c>
    </row>
    <row r="2050" spans="1:3" s="79" customFormat="1" ht="38.85" customHeight="1" x14ac:dyDescent="0.2">
      <c r="A2050" s="81">
        <v>20031637</v>
      </c>
      <c r="B2050" s="80" t="s">
        <v>2303</v>
      </c>
      <c r="C2050" s="82" t="s">
        <v>7587</v>
      </c>
    </row>
    <row r="2051" spans="1:3" s="79" customFormat="1" ht="38.85" customHeight="1" x14ac:dyDescent="0.2">
      <c r="A2051" s="81">
        <v>20031638</v>
      </c>
      <c r="B2051" s="80" t="s">
        <v>2304</v>
      </c>
      <c r="C2051" s="82" t="s">
        <v>7588</v>
      </c>
    </row>
    <row r="2052" spans="1:3" s="79" customFormat="1" ht="49.15" customHeight="1" x14ac:dyDescent="0.2">
      <c r="A2052" s="81">
        <v>20031639</v>
      </c>
      <c r="B2052" s="80" t="s">
        <v>2305</v>
      </c>
      <c r="C2052" s="82" t="s">
        <v>7589</v>
      </c>
    </row>
    <row r="2053" spans="1:3" s="79" customFormat="1" ht="38.85" customHeight="1" x14ac:dyDescent="0.2">
      <c r="A2053" s="81">
        <v>20031640</v>
      </c>
      <c r="B2053" s="80" t="s">
        <v>2306</v>
      </c>
      <c r="C2053" s="82" t="s">
        <v>7590</v>
      </c>
    </row>
    <row r="2054" spans="1:3" s="79" customFormat="1" ht="28.7" customHeight="1" x14ac:dyDescent="0.2">
      <c r="A2054" s="81">
        <v>20031641</v>
      </c>
      <c r="B2054" s="80" t="s">
        <v>2307</v>
      </c>
      <c r="C2054" s="82" t="s">
        <v>7591</v>
      </c>
    </row>
    <row r="2055" spans="1:3" s="79" customFormat="1" ht="28.7" customHeight="1" x14ac:dyDescent="0.2">
      <c r="A2055" s="81">
        <v>20031642</v>
      </c>
      <c r="B2055" s="80" t="s">
        <v>2308</v>
      </c>
      <c r="C2055" s="82" t="s">
        <v>7592</v>
      </c>
    </row>
    <row r="2056" spans="1:3" s="79" customFormat="1" ht="28.7" customHeight="1" x14ac:dyDescent="0.2">
      <c r="A2056" s="81">
        <v>20031650</v>
      </c>
      <c r="B2056" s="80" t="s">
        <v>2309</v>
      </c>
      <c r="C2056" s="82" t="s">
        <v>7593</v>
      </c>
    </row>
    <row r="2057" spans="1:3" s="79" customFormat="1" ht="28.7" customHeight="1" x14ac:dyDescent="0.2">
      <c r="A2057" s="81">
        <v>20031653</v>
      </c>
      <c r="B2057" s="80" t="s">
        <v>2310</v>
      </c>
      <c r="C2057" s="82" t="s">
        <v>7594</v>
      </c>
    </row>
    <row r="2058" spans="1:3" s="79" customFormat="1" ht="28.7" customHeight="1" x14ac:dyDescent="0.2">
      <c r="A2058" s="81">
        <v>20031654</v>
      </c>
      <c r="B2058" s="80" t="s">
        <v>2311</v>
      </c>
      <c r="C2058" s="82" t="s">
        <v>7595</v>
      </c>
    </row>
    <row r="2059" spans="1:3" s="79" customFormat="1" ht="38.85" customHeight="1" x14ac:dyDescent="0.2">
      <c r="A2059" s="81">
        <v>20031660</v>
      </c>
      <c r="B2059" s="80" t="s">
        <v>2312</v>
      </c>
      <c r="C2059" s="82" t="s">
        <v>7596</v>
      </c>
    </row>
    <row r="2060" spans="1:3" s="79" customFormat="1" ht="38.85" customHeight="1" x14ac:dyDescent="0.2">
      <c r="A2060" s="81">
        <v>20031661</v>
      </c>
      <c r="B2060" s="80" t="s">
        <v>2313</v>
      </c>
      <c r="C2060" s="82" t="s">
        <v>7597</v>
      </c>
    </row>
    <row r="2061" spans="1:3" s="79" customFormat="1" ht="49.15" customHeight="1" x14ac:dyDescent="0.2">
      <c r="A2061" s="81">
        <v>20031662</v>
      </c>
      <c r="B2061" s="80" t="s">
        <v>2314</v>
      </c>
      <c r="C2061" s="82" t="s">
        <v>7598</v>
      </c>
    </row>
    <row r="2062" spans="1:3" s="79" customFormat="1" ht="49.15" customHeight="1" x14ac:dyDescent="0.2">
      <c r="A2062" s="81">
        <v>20031665</v>
      </c>
      <c r="B2062" s="80" t="s">
        <v>2315</v>
      </c>
      <c r="C2062" s="82" t="s">
        <v>7599</v>
      </c>
    </row>
    <row r="2063" spans="1:3" s="79" customFormat="1" ht="38.85" customHeight="1" x14ac:dyDescent="0.2">
      <c r="A2063" s="81">
        <v>20031669</v>
      </c>
      <c r="B2063" s="80" t="s">
        <v>2316</v>
      </c>
      <c r="C2063" s="82" t="s">
        <v>7600</v>
      </c>
    </row>
    <row r="2064" spans="1:3" s="79" customFormat="1" ht="38.85" customHeight="1" x14ac:dyDescent="0.2">
      <c r="A2064" s="81">
        <v>20031670</v>
      </c>
      <c r="B2064" s="80" t="s">
        <v>2317</v>
      </c>
      <c r="C2064" s="82" t="s">
        <v>7601</v>
      </c>
    </row>
    <row r="2065" spans="1:3" s="79" customFormat="1" ht="28.7" customHeight="1" x14ac:dyDescent="0.2">
      <c r="A2065" s="81">
        <v>20031680</v>
      </c>
      <c r="B2065" s="80" t="s">
        <v>2318</v>
      </c>
      <c r="C2065" s="82" t="s">
        <v>7602</v>
      </c>
    </row>
    <row r="2066" spans="1:3" s="79" customFormat="1" ht="49.15" customHeight="1" x14ac:dyDescent="0.2">
      <c r="A2066" s="81">
        <v>20031681</v>
      </c>
      <c r="B2066" s="80" t="s">
        <v>2319</v>
      </c>
      <c r="C2066" s="82" t="s">
        <v>7603</v>
      </c>
    </row>
    <row r="2067" spans="1:3" s="79" customFormat="1" ht="38.85" customHeight="1" x14ac:dyDescent="0.2">
      <c r="A2067" s="81">
        <v>20031682</v>
      </c>
      <c r="B2067" s="80" t="s">
        <v>2320</v>
      </c>
      <c r="C2067" s="82" t="s">
        <v>7604</v>
      </c>
    </row>
    <row r="2068" spans="1:3" s="79" customFormat="1" ht="49.15" customHeight="1" x14ac:dyDescent="0.2">
      <c r="A2068" s="81">
        <v>20031683</v>
      </c>
      <c r="B2068" s="80" t="s">
        <v>2321</v>
      </c>
      <c r="C2068" s="82" t="s">
        <v>7605</v>
      </c>
    </row>
    <row r="2069" spans="1:3" s="79" customFormat="1" ht="38.85" customHeight="1" x14ac:dyDescent="0.2">
      <c r="A2069" s="81">
        <v>20031684</v>
      </c>
      <c r="B2069" s="80" t="s">
        <v>2322</v>
      </c>
      <c r="C2069" s="82" t="s">
        <v>7606</v>
      </c>
    </row>
    <row r="2070" spans="1:3" s="79" customFormat="1" ht="38.85" customHeight="1" x14ac:dyDescent="0.2">
      <c r="A2070" s="81">
        <v>20031685</v>
      </c>
      <c r="B2070" s="80" t="s">
        <v>2323</v>
      </c>
      <c r="C2070" s="82" t="s">
        <v>7607</v>
      </c>
    </row>
    <row r="2071" spans="1:3" s="79" customFormat="1" ht="38.85" customHeight="1" x14ac:dyDescent="0.2">
      <c r="A2071" s="81">
        <v>20031686</v>
      </c>
      <c r="B2071" s="80" t="s">
        <v>2325</v>
      </c>
      <c r="C2071" s="82" t="s">
        <v>7608</v>
      </c>
    </row>
    <row r="2072" spans="1:3" s="79" customFormat="1" ht="68.849999999999994" customHeight="1" x14ac:dyDescent="0.2">
      <c r="A2072" s="81">
        <v>20031700</v>
      </c>
      <c r="B2072" s="80" t="s">
        <v>2326</v>
      </c>
      <c r="C2072" s="82" t="s">
        <v>7609</v>
      </c>
    </row>
    <row r="2073" spans="1:3" s="79" customFormat="1" ht="59.1" customHeight="1" x14ac:dyDescent="0.2">
      <c r="A2073" s="81">
        <v>20031703</v>
      </c>
      <c r="B2073" s="80" t="s">
        <v>2327</v>
      </c>
      <c r="C2073" s="82" t="s">
        <v>7610</v>
      </c>
    </row>
    <row r="2074" spans="1:3" s="79" customFormat="1" ht="59.1" customHeight="1" x14ac:dyDescent="0.2">
      <c r="A2074" s="81">
        <v>20031704</v>
      </c>
      <c r="B2074" s="80" t="s">
        <v>2328</v>
      </c>
      <c r="C2074" s="82" t="s">
        <v>7611</v>
      </c>
    </row>
    <row r="2075" spans="1:3" s="79" customFormat="1" ht="49.15" customHeight="1" x14ac:dyDescent="0.2">
      <c r="A2075" s="81">
        <v>20031705</v>
      </c>
      <c r="B2075" s="80" t="s">
        <v>2329</v>
      </c>
      <c r="C2075" s="82" t="s">
        <v>7612</v>
      </c>
    </row>
    <row r="2076" spans="1:3" s="79" customFormat="1" ht="49.15" customHeight="1" x14ac:dyDescent="0.2">
      <c r="A2076" s="81">
        <v>20031706</v>
      </c>
      <c r="B2076" s="80" t="s">
        <v>2330</v>
      </c>
      <c r="C2076" s="82" t="s">
        <v>7613</v>
      </c>
    </row>
    <row r="2077" spans="1:3" s="79" customFormat="1" ht="49.15" customHeight="1" x14ac:dyDescent="0.2">
      <c r="A2077" s="81">
        <v>20031718</v>
      </c>
      <c r="B2077" s="80" t="s">
        <v>2331</v>
      </c>
      <c r="C2077" s="82" t="s">
        <v>7614</v>
      </c>
    </row>
    <row r="2078" spans="1:3" s="79" customFormat="1" ht="28.7" customHeight="1" x14ac:dyDescent="0.2">
      <c r="A2078" s="81">
        <v>20031719</v>
      </c>
      <c r="B2078" s="80" t="s">
        <v>2332</v>
      </c>
      <c r="C2078" s="82" t="s">
        <v>7615</v>
      </c>
    </row>
    <row r="2079" spans="1:3" s="79" customFormat="1" ht="28.7" customHeight="1" x14ac:dyDescent="0.2">
      <c r="A2079" s="81">
        <v>20031720</v>
      </c>
      <c r="B2079" s="80" t="s">
        <v>2333</v>
      </c>
      <c r="C2079" s="82" t="s">
        <v>7616</v>
      </c>
    </row>
    <row r="2080" spans="1:3" s="79" customFormat="1" ht="89.1" customHeight="1" x14ac:dyDescent="0.2">
      <c r="A2080" s="81">
        <v>20031734</v>
      </c>
      <c r="B2080" s="80" t="s">
        <v>2334</v>
      </c>
      <c r="C2080" s="82" t="s">
        <v>7617</v>
      </c>
    </row>
    <row r="2081" spans="1:3" s="79" customFormat="1" ht="19.149999999999999" customHeight="1" x14ac:dyDescent="0.2">
      <c r="A2081" s="81">
        <v>20031735</v>
      </c>
      <c r="B2081" s="80" t="s">
        <v>2335</v>
      </c>
      <c r="C2081" s="82" t="s">
        <v>7618</v>
      </c>
    </row>
    <row r="2082" spans="1:3" s="79" customFormat="1" ht="19.149999999999999" customHeight="1" x14ac:dyDescent="0.2">
      <c r="A2082" s="81">
        <v>20031737</v>
      </c>
      <c r="B2082" s="80" t="s">
        <v>2336</v>
      </c>
      <c r="C2082" s="81" t="s">
        <v>7619</v>
      </c>
    </row>
    <row r="2083" spans="1:3" s="79" customFormat="1" ht="139.15" customHeight="1" x14ac:dyDescent="0.2">
      <c r="A2083" s="81">
        <v>20031738</v>
      </c>
      <c r="B2083" s="80" t="s">
        <v>2337</v>
      </c>
      <c r="C2083" s="81" t="s">
        <v>7620</v>
      </c>
    </row>
    <row r="2084" spans="1:3" s="79" customFormat="1" ht="139.15" customHeight="1" x14ac:dyDescent="0.2">
      <c r="A2084" s="81">
        <v>20031748</v>
      </c>
      <c r="B2084" s="80" t="s">
        <v>2338</v>
      </c>
      <c r="C2084" s="81" t="s">
        <v>7621</v>
      </c>
    </row>
    <row r="2085" spans="1:3" s="79" customFormat="1" ht="109.35" customHeight="1" x14ac:dyDescent="0.2">
      <c r="A2085" s="81">
        <v>20031761</v>
      </c>
      <c r="B2085" s="80" t="s">
        <v>2339</v>
      </c>
      <c r="C2085" s="81" t="s">
        <v>7622</v>
      </c>
    </row>
    <row r="2086" spans="1:3" s="79" customFormat="1" ht="179.1" customHeight="1" x14ac:dyDescent="0.2">
      <c r="A2086" s="81">
        <v>20031798</v>
      </c>
      <c r="B2086" s="80" t="s">
        <v>2340</v>
      </c>
      <c r="C2086" s="81" t="s">
        <v>7623</v>
      </c>
    </row>
    <row r="2087" spans="1:3" s="79" customFormat="1" ht="158.85" customHeight="1" x14ac:dyDescent="0.2">
      <c r="A2087" s="81">
        <v>20031801</v>
      </c>
      <c r="B2087" s="80" t="s">
        <v>2341</v>
      </c>
      <c r="C2087" s="82" t="s">
        <v>7624</v>
      </c>
    </row>
    <row r="2088" spans="1:3" s="79" customFormat="1" ht="49.15" customHeight="1" x14ac:dyDescent="0.2">
      <c r="A2088" s="81">
        <v>20031802</v>
      </c>
      <c r="B2088" s="80" t="s">
        <v>2342</v>
      </c>
      <c r="C2088" s="82" t="s">
        <v>7625</v>
      </c>
    </row>
    <row r="2089" spans="1:3" s="79" customFormat="1" ht="49.15" customHeight="1" x14ac:dyDescent="0.2">
      <c r="A2089" s="81">
        <v>20031803</v>
      </c>
      <c r="B2089" s="80" t="s">
        <v>2343</v>
      </c>
      <c r="C2089" s="82" t="s">
        <v>7626</v>
      </c>
    </row>
    <row r="2090" spans="1:3" s="79" customFormat="1" ht="49.15" customHeight="1" x14ac:dyDescent="0.2">
      <c r="A2090" s="81">
        <v>20031804</v>
      </c>
      <c r="B2090" s="80" t="s">
        <v>2344</v>
      </c>
      <c r="C2090" s="82" t="s">
        <v>7627</v>
      </c>
    </row>
    <row r="2091" spans="1:3" s="79" customFormat="1" ht="49.15" customHeight="1" x14ac:dyDescent="0.2">
      <c r="A2091" s="81">
        <v>20031805</v>
      </c>
      <c r="B2091" s="80" t="s">
        <v>2345</v>
      </c>
      <c r="C2091" s="82" t="s">
        <v>7628</v>
      </c>
    </row>
    <row r="2092" spans="1:3" s="79" customFormat="1" ht="49.15" customHeight="1" x14ac:dyDescent="0.2">
      <c r="A2092" s="81">
        <v>20031806</v>
      </c>
      <c r="B2092" s="80" t="s">
        <v>2346</v>
      </c>
      <c r="C2092" s="82" t="s">
        <v>7629</v>
      </c>
    </row>
    <row r="2093" spans="1:3" s="79" customFormat="1" ht="49.15" customHeight="1" x14ac:dyDescent="0.2">
      <c r="A2093" s="81">
        <v>20031852</v>
      </c>
      <c r="B2093" s="80" t="s">
        <v>2347</v>
      </c>
      <c r="C2093" s="82" t="s">
        <v>7630</v>
      </c>
    </row>
    <row r="2094" spans="1:3" s="79" customFormat="1" ht="59.1" customHeight="1" x14ac:dyDescent="0.2">
      <c r="A2094" s="81">
        <v>20031853</v>
      </c>
      <c r="B2094" s="80" t="s">
        <v>2348</v>
      </c>
      <c r="C2094" s="82" t="s">
        <v>7631</v>
      </c>
    </row>
    <row r="2095" spans="1:3" s="79" customFormat="1" ht="38.85" customHeight="1" x14ac:dyDescent="0.2">
      <c r="A2095" s="81">
        <v>20031854</v>
      </c>
      <c r="B2095" s="80" t="s">
        <v>2349</v>
      </c>
      <c r="C2095" s="82" t="s">
        <v>7632</v>
      </c>
    </row>
    <row r="2096" spans="1:3" s="79" customFormat="1" ht="38.85" customHeight="1" x14ac:dyDescent="0.2">
      <c r="A2096" s="81">
        <v>20031855</v>
      </c>
      <c r="B2096" s="80" t="s">
        <v>2350</v>
      </c>
      <c r="C2096" s="82" t="s">
        <v>7633</v>
      </c>
    </row>
    <row r="2097" spans="1:3" s="79" customFormat="1" ht="59.1" customHeight="1" x14ac:dyDescent="0.2">
      <c r="A2097" s="81">
        <v>20031856</v>
      </c>
      <c r="B2097" s="80" t="s">
        <v>2351</v>
      </c>
      <c r="C2097" s="82" t="s">
        <v>7634</v>
      </c>
    </row>
    <row r="2098" spans="1:3" s="79" customFormat="1" ht="68.849999999999994" customHeight="1" x14ac:dyDescent="0.2">
      <c r="A2098" s="81">
        <v>20031857</v>
      </c>
      <c r="B2098" s="80" t="s">
        <v>2352</v>
      </c>
      <c r="C2098" s="82" t="s">
        <v>7635</v>
      </c>
    </row>
    <row r="2099" spans="1:3" s="79" customFormat="1" ht="38.85" customHeight="1" x14ac:dyDescent="0.2">
      <c r="A2099" s="81">
        <v>20031858</v>
      </c>
      <c r="B2099" s="80" t="s">
        <v>2353</v>
      </c>
      <c r="C2099" s="82" t="s">
        <v>7636</v>
      </c>
    </row>
    <row r="2100" spans="1:3" s="79" customFormat="1" ht="38.85" customHeight="1" x14ac:dyDescent="0.2">
      <c r="A2100" s="81">
        <v>20031859</v>
      </c>
      <c r="B2100" s="80" t="s">
        <v>2354</v>
      </c>
      <c r="C2100" s="82" t="s">
        <v>7637</v>
      </c>
    </row>
    <row r="2101" spans="1:3" s="79" customFormat="1" ht="38.85" customHeight="1" x14ac:dyDescent="0.2">
      <c r="A2101" s="81">
        <v>20031860</v>
      </c>
      <c r="B2101" s="80" t="s">
        <v>2355</v>
      </c>
      <c r="C2101" s="82" t="s">
        <v>7638</v>
      </c>
    </row>
    <row r="2102" spans="1:3" s="79" customFormat="1" ht="38.85" customHeight="1" x14ac:dyDescent="0.2">
      <c r="A2102" s="81">
        <v>20031861</v>
      </c>
      <c r="B2102" s="80" t="s">
        <v>2356</v>
      </c>
      <c r="C2102" s="82" t="s">
        <v>7639</v>
      </c>
    </row>
    <row r="2103" spans="1:3" s="79" customFormat="1" ht="38.85" customHeight="1" x14ac:dyDescent="0.2">
      <c r="A2103" s="81">
        <v>20031862</v>
      </c>
      <c r="B2103" s="80" t="s">
        <v>2357</v>
      </c>
      <c r="C2103" s="82" t="s">
        <v>7640</v>
      </c>
    </row>
    <row r="2104" spans="1:3" s="79" customFormat="1" ht="38.85" customHeight="1" x14ac:dyDescent="0.2">
      <c r="A2104" s="81">
        <v>20031863</v>
      </c>
      <c r="B2104" s="80" t="s">
        <v>2358</v>
      </c>
      <c r="C2104" s="82" t="s">
        <v>7641</v>
      </c>
    </row>
    <row r="2105" spans="1:3" s="79" customFormat="1" ht="38.85" customHeight="1" x14ac:dyDescent="0.2">
      <c r="A2105" s="81">
        <v>20031864</v>
      </c>
      <c r="B2105" s="80" t="s">
        <v>2359</v>
      </c>
      <c r="C2105" s="82" t="s">
        <v>7642</v>
      </c>
    </row>
    <row r="2106" spans="1:3" s="79" customFormat="1" ht="38.85" customHeight="1" x14ac:dyDescent="0.2">
      <c r="A2106" s="81">
        <v>20031868</v>
      </c>
      <c r="B2106" s="80" t="s">
        <v>2360</v>
      </c>
      <c r="C2106" s="82" t="s">
        <v>7643</v>
      </c>
    </row>
    <row r="2107" spans="1:3" s="79" customFormat="1" ht="38.85" customHeight="1" x14ac:dyDescent="0.2">
      <c r="A2107" s="81">
        <v>20031869</v>
      </c>
      <c r="B2107" s="80" t="s">
        <v>2361</v>
      </c>
      <c r="C2107" s="82" t="s">
        <v>7644</v>
      </c>
    </row>
    <row r="2108" spans="1:3" s="79" customFormat="1" ht="38.85" customHeight="1" x14ac:dyDescent="0.2">
      <c r="A2108" s="81">
        <v>20031870</v>
      </c>
      <c r="B2108" s="80" t="s">
        <v>2362</v>
      </c>
      <c r="C2108" s="82" t="s">
        <v>7645</v>
      </c>
    </row>
    <row r="2109" spans="1:3" s="79" customFormat="1" ht="38.85" customHeight="1" x14ac:dyDescent="0.2">
      <c r="A2109" s="81">
        <v>20031871</v>
      </c>
      <c r="B2109" s="80" t="s">
        <v>2363</v>
      </c>
      <c r="C2109" s="82" t="s">
        <v>7646</v>
      </c>
    </row>
    <row r="2110" spans="1:3" s="79" customFormat="1" ht="49.15" customHeight="1" x14ac:dyDescent="0.2">
      <c r="A2110" s="81">
        <v>20031872</v>
      </c>
      <c r="B2110" s="80" t="s">
        <v>2364</v>
      </c>
      <c r="C2110" s="82" t="s">
        <v>7647</v>
      </c>
    </row>
    <row r="2111" spans="1:3" s="79" customFormat="1" ht="38.85" customHeight="1" x14ac:dyDescent="0.2">
      <c r="A2111" s="81">
        <v>20031873</v>
      </c>
      <c r="B2111" s="80" t="s">
        <v>2365</v>
      </c>
      <c r="C2111" s="82" t="s">
        <v>7648</v>
      </c>
    </row>
    <row r="2112" spans="1:3" s="79" customFormat="1" ht="38.85" customHeight="1" x14ac:dyDescent="0.2">
      <c r="A2112" s="81">
        <v>20031874</v>
      </c>
      <c r="B2112" s="80" t="s">
        <v>2366</v>
      </c>
      <c r="C2112" s="82" t="s">
        <v>7649</v>
      </c>
    </row>
    <row r="2113" spans="1:3" s="79" customFormat="1" ht="38.85" customHeight="1" x14ac:dyDescent="0.2">
      <c r="A2113" s="81">
        <v>20031875</v>
      </c>
      <c r="B2113" s="80" t="s">
        <v>2367</v>
      </c>
      <c r="C2113" s="82" t="s">
        <v>7650</v>
      </c>
    </row>
    <row r="2114" spans="1:3" s="79" customFormat="1" ht="38.85" customHeight="1" x14ac:dyDescent="0.2">
      <c r="A2114" s="81">
        <v>20031876</v>
      </c>
      <c r="B2114" s="80" t="s">
        <v>2368</v>
      </c>
      <c r="C2114" s="82" t="s">
        <v>7651</v>
      </c>
    </row>
    <row r="2115" spans="1:3" s="79" customFormat="1" ht="38.85" customHeight="1" x14ac:dyDescent="0.2">
      <c r="A2115" s="81">
        <v>20031877</v>
      </c>
      <c r="B2115" s="80" t="s">
        <v>2369</v>
      </c>
      <c r="C2115" s="82" t="s">
        <v>7652</v>
      </c>
    </row>
    <row r="2116" spans="1:3" s="79" customFormat="1" ht="38.85" customHeight="1" x14ac:dyDescent="0.2">
      <c r="A2116" s="81">
        <v>20031878</v>
      </c>
      <c r="B2116" s="80" t="s">
        <v>2370</v>
      </c>
      <c r="C2116" s="82" t="s">
        <v>7653</v>
      </c>
    </row>
    <row r="2117" spans="1:3" s="79" customFormat="1" ht="38.85" customHeight="1" x14ac:dyDescent="0.2">
      <c r="A2117" s="81">
        <v>20031879</v>
      </c>
      <c r="B2117" s="80" t="s">
        <v>2371</v>
      </c>
      <c r="C2117" s="82" t="s">
        <v>7654</v>
      </c>
    </row>
    <row r="2118" spans="1:3" s="79" customFormat="1" ht="38.85" customHeight="1" x14ac:dyDescent="0.2">
      <c r="A2118" s="81">
        <v>20031880</v>
      </c>
      <c r="B2118" s="80" t="s">
        <v>2372</v>
      </c>
      <c r="C2118" s="82" t="s">
        <v>7655</v>
      </c>
    </row>
    <row r="2119" spans="1:3" s="79" customFormat="1" ht="38.85" customHeight="1" x14ac:dyDescent="0.2">
      <c r="A2119" s="81">
        <v>20031881</v>
      </c>
      <c r="B2119" s="80" t="s">
        <v>2373</v>
      </c>
      <c r="C2119" s="82" t="s">
        <v>7656</v>
      </c>
    </row>
    <row r="2120" spans="1:3" s="79" customFormat="1" ht="38.85" customHeight="1" x14ac:dyDescent="0.2">
      <c r="A2120" s="81">
        <v>20031882</v>
      </c>
      <c r="B2120" s="80" t="s">
        <v>2374</v>
      </c>
      <c r="C2120" s="82" t="s">
        <v>7657</v>
      </c>
    </row>
    <row r="2121" spans="1:3" s="79" customFormat="1" ht="38.85" customHeight="1" x14ac:dyDescent="0.2">
      <c r="A2121" s="81">
        <v>20031883</v>
      </c>
      <c r="B2121" s="80" t="s">
        <v>2375</v>
      </c>
      <c r="C2121" s="82" t="s">
        <v>7658</v>
      </c>
    </row>
    <row r="2122" spans="1:3" s="79" customFormat="1" ht="49.15" customHeight="1" x14ac:dyDescent="0.2">
      <c r="A2122" s="81">
        <v>20031884</v>
      </c>
      <c r="B2122" s="80" t="s">
        <v>2376</v>
      </c>
      <c r="C2122" s="82" t="s">
        <v>7659</v>
      </c>
    </row>
    <row r="2123" spans="1:3" s="79" customFormat="1" ht="38.85" customHeight="1" x14ac:dyDescent="0.2">
      <c r="A2123" s="81">
        <v>20031885</v>
      </c>
      <c r="B2123" s="80" t="s">
        <v>2377</v>
      </c>
      <c r="C2123" s="82" t="s">
        <v>7660</v>
      </c>
    </row>
    <row r="2124" spans="1:3" s="79" customFormat="1" ht="59.1" customHeight="1" x14ac:dyDescent="0.2">
      <c r="A2124" s="81">
        <v>20031886</v>
      </c>
      <c r="B2124" s="80" t="s">
        <v>2378</v>
      </c>
      <c r="C2124" s="82" t="s">
        <v>7661</v>
      </c>
    </row>
    <row r="2125" spans="1:3" s="79" customFormat="1" ht="49.15" customHeight="1" x14ac:dyDescent="0.2">
      <c r="A2125" s="81">
        <v>20031887</v>
      </c>
      <c r="B2125" s="80" t="s">
        <v>2379</v>
      </c>
      <c r="C2125" s="82" t="s">
        <v>7662</v>
      </c>
    </row>
    <row r="2126" spans="1:3" s="79" customFormat="1" ht="38.85" customHeight="1" x14ac:dyDescent="0.2">
      <c r="A2126" s="81">
        <v>20031889</v>
      </c>
      <c r="B2126" s="80" t="s">
        <v>2380</v>
      </c>
      <c r="C2126" s="82" t="s">
        <v>7663</v>
      </c>
    </row>
    <row r="2127" spans="1:3" s="79" customFormat="1" ht="38.85" customHeight="1" x14ac:dyDescent="0.2">
      <c r="A2127" s="81">
        <v>20031891</v>
      </c>
      <c r="B2127" s="80" t="s">
        <v>2381</v>
      </c>
      <c r="C2127" s="82" t="s">
        <v>7664</v>
      </c>
    </row>
    <row r="2128" spans="1:3" s="79" customFormat="1" ht="38.85" customHeight="1" x14ac:dyDescent="0.2">
      <c r="A2128" s="81">
        <v>20031894</v>
      </c>
      <c r="B2128" s="80" t="s">
        <v>2382</v>
      </c>
      <c r="C2128" s="82" t="s">
        <v>7665</v>
      </c>
    </row>
    <row r="2129" spans="1:3" s="79" customFormat="1" ht="49.15" customHeight="1" x14ac:dyDescent="0.2">
      <c r="A2129" s="81">
        <v>20031928</v>
      </c>
      <c r="B2129" s="80" t="s">
        <v>2383</v>
      </c>
      <c r="C2129" s="82" t="s">
        <v>7666</v>
      </c>
    </row>
    <row r="2130" spans="1:3" s="79" customFormat="1" ht="38.85" customHeight="1" x14ac:dyDescent="0.2">
      <c r="A2130" s="81">
        <v>20031929</v>
      </c>
      <c r="B2130" s="80" t="s">
        <v>2384</v>
      </c>
      <c r="C2130" s="82" t="s">
        <v>7667</v>
      </c>
    </row>
    <row r="2131" spans="1:3" s="79" customFormat="1" ht="38.85" customHeight="1" x14ac:dyDescent="0.2">
      <c r="A2131" s="81">
        <v>20031930</v>
      </c>
      <c r="B2131" s="80" t="s">
        <v>2385</v>
      </c>
      <c r="C2131" s="82" t="s">
        <v>7668</v>
      </c>
    </row>
    <row r="2132" spans="1:3" s="79" customFormat="1" ht="38.85" customHeight="1" x14ac:dyDescent="0.2">
      <c r="A2132" s="81">
        <v>20031931</v>
      </c>
      <c r="B2132" s="80" t="s">
        <v>2386</v>
      </c>
      <c r="C2132" s="82" t="s">
        <v>7669</v>
      </c>
    </row>
    <row r="2133" spans="1:3" s="79" customFormat="1" ht="49.15" customHeight="1" x14ac:dyDescent="0.2">
      <c r="A2133" s="81">
        <v>20031932</v>
      </c>
      <c r="B2133" s="80" t="s">
        <v>2387</v>
      </c>
      <c r="C2133" s="82" t="s">
        <v>7670</v>
      </c>
    </row>
    <row r="2134" spans="1:3" s="79" customFormat="1" ht="38.85" customHeight="1" x14ac:dyDescent="0.2">
      <c r="A2134" s="81">
        <v>20031986</v>
      </c>
      <c r="B2134" s="80" t="s">
        <v>2388</v>
      </c>
      <c r="C2134" s="82" t="s">
        <v>7671</v>
      </c>
    </row>
    <row r="2135" spans="1:3" s="79" customFormat="1" ht="38.85" customHeight="1" x14ac:dyDescent="0.2">
      <c r="A2135" s="81">
        <v>20031987</v>
      </c>
      <c r="B2135" s="80" t="s">
        <v>2389</v>
      </c>
      <c r="C2135" s="82" t="s">
        <v>7672</v>
      </c>
    </row>
    <row r="2136" spans="1:3" s="79" customFormat="1" ht="68.849999999999994" customHeight="1" x14ac:dyDescent="0.2">
      <c r="A2136" s="81">
        <v>20031992</v>
      </c>
      <c r="B2136" s="80" t="s">
        <v>2390</v>
      </c>
      <c r="C2136" s="82" t="s">
        <v>7673</v>
      </c>
    </row>
    <row r="2137" spans="1:3" s="79" customFormat="1" ht="38.85" customHeight="1" x14ac:dyDescent="0.2">
      <c r="A2137" s="81">
        <v>20031996</v>
      </c>
      <c r="B2137" s="80" t="s">
        <v>2391</v>
      </c>
      <c r="C2137" s="82" t="s">
        <v>7674</v>
      </c>
    </row>
    <row r="2138" spans="1:3" s="79" customFormat="1" ht="68.849999999999994" customHeight="1" x14ac:dyDescent="0.2">
      <c r="A2138" s="81">
        <v>20031997</v>
      </c>
      <c r="B2138" s="80" t="s">
        <v>2392</v>
      </c>
      <c r="C2138" s="82" t="s">
        <v>7675</v>
      </c>
    </row>
    <row r="2139" spans="1:3" s="79" customFormat="1" ht="59.1" customHeight="1" x14ac:dyDescent="0.2">
      <c r="A2139" s="81">
        <v>20032003</v>
      </c>
      <c r="B2139" s="80" t="s">
        <v>2393</v>
      </c>
      <c r="C2139" s="82" t="s">
        <v>7676</v>
      </c>
    </row>
    <row r="2140" spans="1:3" s="79" customFormat="1" ht="49.15" customHeight="1" x14ac:dyDescent="0.2">
      <c r="A2140" s="81">
        <v>20032004</v>
      </c>
      <c r="B2140" s="80" t="s">
        <v>2394</v>
      </c>
      <c r="C2140" s="82" t="s">
        <v>7677</v>
      </c>
    </row>
    <row r="2141" spans="1:3" s="79" customFormat="1" ht="68.849999999999994" customHeight="1" x14ac:dyDescent="0.2">
      <c r="A2141" s="81">
        <v>20032020</v>
      </c>
      <c r="B2141" s="80" t="s">
        <v>2395</v>
      </c>
      <c r="C2141" s="82" t="s">
        <v>7678</v>
      </c>
    </row>
    <row r="2142" spans="1:3" s="79" customFormat="1" ht="49.15" customHeight="1" x14ac:dyDescent="0.2">
      <c r="A2142" s="81">
        <v>20032021</v>
      </c>
      <c r="B2142" s="80" t="s">
        <v>2396</v>
      </c>
      <c r="C2142" s="82" t="s">
        <v>7679</v>
      </c>
    </row>
    <row r="2143" spans="1:3" s="79" customFormat="1" ht="49.15" customHeight="1" x14ac:dyDescent="0.2">
      <c r="A2143" s="81">
        <v>20032022</v>
      </c>
      <c r="B2143" s="80" t="s">
        <v>2397</v>
      </c>
      <c r="C2143" s="82" t="s">
        <v>7680</v>
      </c>
    </row>
    <row r="2144" spans="1:3" s="79" customFormat="1" ht="49.15" customHeight="1" x14ac:dyDescent="0.2">
      <c r="A2144" s="81">
        <v>20032024</v>
      </c>
      <c r="B2144" s="80" t="s">
        <v>2398</v>
      </c>
      <c r="C2144" s="82" t="s">
        <v>7681</v>
      </c>
    </row>
    <row r="2145" spans="1:3" s="79" customFormat="1" ht="68.849999999999994" customHeight="1" x14ac:dyDescent="0.2">
      <c r="A2145" s="81">
        <v>20032026</v>
      </c>
      <c r="B2145" s="80" t="s">
        <v>2399</v>
      </c>
      <c r="C2145" s="82" t="s">
        <v>7682</v>
      </c>
    </row>
    <row r="2146" spans="1:3" s="79" customFormat="1" ht="68.849999999999994" customHeight="1" x14ac:dyDescent="0.2">
      <c r="A2146" s="81">
        <v>20032028</v>
      </c>
      <c r="B2146" s="80" t="s">
        <v>2400</v>
      </c>
      <c r="C2146" s="82" t="s">
        <v>7683</v>
      </c>
    </row>
    <row r="2147" spans="1:3" s="79" customFormat="1" ht="49.15" customHeight="1" x14ac:dyDescent="0.2">
      <c r="A2147" s="81">
        <v>20032033</v>
      </c>
      <c r="B2147" s="80" t="s">
        <v>2401</v>
      </c>
      <c r="C2147" s="82" t="s">
        <v>7684</v>
      </c>
    </row>
    <row r="2148" spans="1:3" s="79" customFormat="1" ht="78.95" customHeight="1" x14ac:dyDescent="0.2">
      <c r="A2148" s="81">
        <v>20032054</v>
      </c>
      <c r="B2148" s="80" t="s">
        <v>2402</v>
      </c>
      <c r="C2148" s="81" t="s">
        <v>7685</v>
      </c>
    </row>
    <row r="2149" spans="1:3" s="79" customFormat="1" ht="78.95" customHeight="1" x14ac:dyDescent="0.2">
      <c r="A2149" s="81">
        <v>20032055</v>
      </c>
      <c r="B2149" s="80" t="s">
        <v>2403</v>
      </c>
      <c r="C2149" s="81" t="s">
        <v>7686</v>
      </c>
    </row>
    <row r="2150" spans="1:3" s="79" customFormat="1" ht="68.849999999999994" customHeight="1" x14ac:dyDescent="0.2">
      <c r="A2150" s="81">
        <v>20032086</v>
      </c>
      <c r="B2150" s="80" t="s">
        <v>2404</v>
      </c>
      <c r="C2150" s="82" t="s">
        <v>7687</v>
      </c>
    </row>
    <row r="2151" spans="1:3" s="79" customFormat="1" ht="68.849999999999994" customHeight="1" x14ac:dyDescent="0.2">
      <c r="A2151" s="81">
        <v>20032093</v>
      </c>
      <c r="B2151" s="80" t="s">
        <v>2405</v>
      </c>
      <c r="C2151" s="82" t="s">
        <v>7688</v>
      </c>
    </row>
    <row r="2152" spans="1:3" s="79" customFormat="1" ht="49.15" customHeight="1" x14ac:dyDescent="0.2">
      <c r="A2152" s="81">
        <v>20032095</v>
      </c>
      <c r="B2152" s="80" t="s">
        <v>2406</v>
      </c>
      <c r="C2152" s="81" t="s">
        <v>7689</v>
      </c>
    </row>
    <row r="2153" spans="1:3" s="79" customFormat="1" ht="68.849999999999994" customHeight="1" x14ac:dyDescent="0.2">
      <c r="A2153" s="81">
        <v>20032100</v>
      </c>
      <c r="B2153" s="80" t="s">
        <v>2408</v>
      </c>
      <c r="C2153" s="82" t="s">
        <v>7690</v>
      </c>
    </row>
    <row r="2154" spans="1:3" s="79" customFormat="1" ht="28.7" customHeight="1" x14ac:dyDescent="0.2">
      <c r="A2154" s="81">
        <v>20032101</v>
      </c>
      <c r="B2154" s="80" t="s">
        <v>2409</v>
      </c>
      <c r="C2154" s="81" t="s">
        <v>7691</v>
      </c>
    </row>
    <row r="2155" spans="1:3" s="79" customFormat="1" ht="89.1" customHeight="1" x14ac:dyDescent="0.2">
      <c r="A2155" s="81">
        <v>20032102</v>
      </c>
      <c r="B2155" s="80" t="s">
        <v>2410</v>
      </c>
      <c r="C2155" s="82" t="s">
        <v>7692</v>
      </c>
    </row>
    <row r="2156" spans="1:3" s="79" customFormat="1" ht="59.1" customHeight="1" x14ac:dyDescent="0.2">
      <c r="A2156" s="81">
        <v>20032104</v>
      </c>
      <c r="B2156" s="80" t="s">
        <v>2411</v>
      </c>
      <c r="C2156" s="82" t="s">
        <v>7693</v>
      </c>
    </row>
    <row r="2157" spans="1:3" s="79" customFormat="1" ht="49.15" customHeight="1" x14ac:dyDescent="0.2">
      <c r="A2157" s="81">
        <v>20032106</v>
      </c>
      <c r="B2157" s="80" t="s">
        <v>2412</v>
      </c>
      <c r="C2157" s="81" t="s">
        <v>7694</v>
      </c>
    </row>
    <row r="2158" spans="1:3" s="79" customFormat="1" ht="158.85" customHeight="1" x14ac:dyDescent="0.2">
      <c r="A2158" s="81">
        <v>20032107</v>
      </c>
      <c r="B2158" s="80" t="s">
        <v>2413</v>
      </c>
      <c r="C2158" s="81" t="s">
        <v>7695</v>
      </c>
    </row>
    <row r="2159" spans="1:3" s="79" customFormat="1" ht="158.85" customHeight="1" x14ac:dyDescent="0.2">
      <c r="A2159" s="81">
        <v>20032108</v>
      </c>
      <c r="B2159" s="80" t="s">
        <v>2414</v>
      </c>
      <c r="C2159" s="81" t="s">
        <v>7696</v>
      </c>
    </row>
    <row r="2160" spans="1:3" s="79" customFormat="1" ht="158.85" customHeight="1" x14ac:dyDescent="0.2">
      <c r="A2160" s="81">
        <v>20032115</v>
      </c>
      <c r="B2160" s="80" t="s">
        <v>2415</v>
      </c>
      <c r="C2160" s="81" t="s">
        <v>7697</v>
      </c>
    </row>
    <row r="2161" spans="1:3" s="79" customFormat="1" ht="129" customHeight="1" x14ac:dyDescent="0.2">
      <c r="A2161" s="81">
        <v>20032122</v>
      </c>
      <c r="B2161" s="80" t="s">
        <v>2416</v>
      </c>
      <c r="C2161" s="82" t="s">
        <v>7698</v>
      </c>
    </row>
    <row r="2162" spans="1:3" s="79" customFormat="1" ht="38.85" customHeight="1" x14ac:dyDescent="0.2">
      <c r="A2162" s="81">
        <v>20032124</v>
      </c>
      <c r="B2162" s="80" t="s">
        <v>2417</v>
      </c>
      <c r="C2162" s="82" t="s">
        <v>7699</v>
      </c>
    </row>
    <row r="2163" spans="1:3" s="79" customFormat="1" ht="38.85" customHeight="1" x14ac:dyDescent="0.2">
      <c r="A2163" s="81">
        <v>20032136</v>
      </c>
      <c r="B2163" s="80" t="s">
        <v>2418</v>
      </c>
      <c r="C2163" s="82" t="s">
        <v>7700</v>
      </c>
    </row>
    <row r="2164" spans="1:3" s="79" customFormat="1" ht="38.85" customHeight="1" x14ac:dyDescent="0.2">
      <c r="A2164" s="81">
        <v>20032138</v>
      </c>
      <c r="B2164" s="80" t="s">
        <v>2419</v>
      </c>
      <c r="C2164" s="82" t="s">
        <v>7701</v>
      </c>
    </row>
    <row r="2165" spans="1:3" s="79" customFormat="1" ht="38.85" customHeight="1" x14ac:dyDescent="0.2">
      <c r="A2165" s="81">
        <v>20032141</v>
      </c>
      <c r="B2165" s="80" t="s">
        <v>2420</v>
      </c>
      <c r="C2165" s="82" t="s">
        <v>7702</v>
      </c>
    </row>
    <row r="2166" spans="1:3" s="79" customFormat="1" ht="109.35" customHeight="1" x14ac:dyDescent="0.2">
      <c r="A2166" s="81">
        <v>20032144</v>
      </c>
      <c r="B2166" s="80" t="s">
        <v>2421</v>
      </c>
      <c r="C2166" s="82" t="s">
        <v>7703</v>
      </c>
    </row>
    <row r="2167" spans="1:3" s="79" customFormat="1" ht="38.85" customHeight="1" x14ac:dyDescent="0.2">
      <c r="A2167" s="81">
        <v>20032148</v>
      </c>
      <c r="B2167" s="80" t="s">
        <v>2422</v>
      </c>
      <c r="C2167" s="81" t="s">
        <v>7704</v>
      </c>
    </row>
    <row r="2168" spans="1:3" s="79" customFormat="1" ht="78.95" customHeight="1" x14ac:dyDescent="0.2">
      <c r="A2168" s="81">
        <v>20032150</v>
      </c>
      <c r="B2168" s="80" t="s">
        <v>2423</v>
      </c>
      <c r="C2168" s="81" t="s">
        <v>7705</v>
      </c>
    </row>
    <row r="2169" spans="1:3" s="79" customFormat="1" ht="78.95" customHeight="1" x14ac:dyDescent="0.2">
      <c r="A2169" s="81">
        <v>20032154</v>
      </c>
      <c r="B2169" s="80" t="s">
        <v>2424</v>
      </c>
      <c r="C2169" s="82" t="s">
        <v>7706</v>
      </c>
    </row>
    <row r="2170" spans="1:3" s="79" customFormat="1" ht="89.1" customHeight="1" x14ac:dyDescent="0.2">
      <c r="A2170" s="81">
        <v>20032160</v>
      </c>
      <c r="B2170" s="80" t="s">
        <v>2425</v>
      </c>
      <c r="C2170" s="80" t="s">
        <v>7707</v>
      </c>
    </row>
    <row r="2171" spans="1:3" s="79" customFormat="1" ht="19.149999999999999" customHeight="1" x14ac:dyDescent="0.2">
      <c r="A2171" s="81">
        <v>20032171</v>
      </c>
      <c r="B2171" s="80" t="s">
        <v>11330</v>
      </c>
      <c r="C2171" s="82" t="s">
        <v>7708</v>
      </c>
    </row>
    <row r="2172" spans="1:3" s="79" customFormat="1" ht="89.1" customHeight="1" x14ac:dyDescent="0.2">
      <c r="A2172" s="81">
        <v>20032183</v>
      </c>
      <c r="B2172" s="80" t="s">
        <v>2426</v>
      </c>
      <c r="C2172" s="80" t="s">
        <v>7709</v>
      </c>
    </row>
    <row r="2173" spans="1:3" s="79" customFormat="1" ht="19.149999999999999" customHeight="1" x14ac:dyDescent="0.2">
      <c r="A2173" s="81">
        <v>20032184</v>
      </c>
      <c r="B2173" s="80" t="s">
        <v>2427</v>
      </c>
      <c r="C2173" s="82" t="s">
        <v>7710</v>
      </c>
    </row>
    <row r="2174" spans="1:3" s="79" customFormat="1" ht="38.85" customHeight="1" x14ac:dyDescent="0.2">
      <c r="A2174" s="81">
        <v>20032186</v>
      </c>
      <c r="B2174" s="80" t="s">
        <v>2428</v>
      </c>
      <c r="C2174" s="81" t="s">
        <v>7711</v>
      </c>
    </row>
    <row r="2175" spans="1:3" s="79" customFormat="1" ht="99.2" customHeight="1" x14ac:dyDescent="0.2">
      <c r="A2175" s="81">
        <v>20032268</v>
      </c>
      <c r="B2175" s="80" t="s">
        <v>2429</v>
      </c>
      <c r="C2175" s="82" t="s">
        <v>7712</v>
      </c>
    </row>
    <row r="2176" spans="1:3" s="79" customFormat="1" ht="49.15" customHeight="1" x14ac:dyDescent="0.2">
      <c r="A2176" s="81">
        <v>20032273</v>
      </c>
      <c r="B2176" s="80" t="s">
        <v>2431</v>
      </c>
      <c r="C2176" s="81" t="s">
        <v>7713</v>
      </c>
    </row>
    <row r="2177" spans="1:3" s="79" customFormat="1" ht="158.85" customHeight="1" x14ac:dyDescent="0.2">
      <c r="A2177" s="81">
        <v>20032274</v>
      </c>
      <c r="B2177" s="80" t="s">
        <v>2432</v>
      </c>
      <c r="C2177" s="82" t="s">
        <v>7714</v>
      </c>
    </row>
    <row r="2178" spans="1:3" s="79" customFormat="1" ht="59.1" customHeight="1" x14ac:dyDescent="0.2">
      <c r="A2178" s="81">
        <v>20032276</v>
      </c>
      <c r="B2178" s="80" t="s">
        <v>2433</v>
      </c>
      <c r="C2178" s="80" t="s">
        <v>7715</v>
      </c>
    </row>
    <row r="2179" spans="1:3" s="79" customFormat="1" ht="19.149999999999999" customHeight="1" x14ac:dyDescent="0.2">
      <c r="A2179" s="81">
        <v>20032283</v>
      </c>
      <c r="B2179" s="80" t="s">
        <v>2434</v>
      </c>
      <c r="C2179" s="82" t="s">
        <v>7716</v>
      </c>
    </row>
    <row r="2180" spans="1:3" s="79" customFormat="1" ht="59.1" customHeight="1" x14ac:dyDescent="0.2">
      <c r="A2180" s="81">
        <v>20032476</v>
      </c>
      <c r="B2180" s="80" t="s">
        <v>2435</v>
      </c>
      <c r="C2180" s="82" t="s">
        <v>7717</v>
      </c>
    </row>
    <row r="2181" spans="1:3" s="79" customFormat="1" ht="49.15" customHeight="1" x14ac:dyDescent="0.2">
      <c r="A2181" s="81">
        <v>20032477</v>
      </c>
      <c r="B2181" s="80" t="s">
        <v>2436</v>
      </c>
      <c r="C2181" s="82" t="s">
        <v>7718</v>
      </c>
    </row>
    <row r="2182" spans="1:3" s="79" customFormat="1" ht="49.15" customHeight="1" x14ac:dyDescent="0.2">
      <c r="A2182" s="81">
        <v>20032478</v>
      </c>
      <c r="B2182" s="80" t="s">
        <v>2437</v>
      </c>
      <c r="C2182" s="82" t="s">
        <v>7719</v>
      </c>
    </row>
    <row r="2183" spans="1:3" s="79" customFormat="1" ht="49.15" customHeight="1" x14ac:dyDescent="0.2">
      <c r="A2183" s="81">
        <v>20032479</v>
      </c>
      <c r="B2183" s="80" t="s">
        <v>2438</v>
      </c>
      <c r="C2183" s="82" t="s">
        <v>7720</v>
      </c>
    </row>
    <row r="2184" spans="1:3" s="79" customFormat="1" ht="49.15" customHeight="1" x14ac:dyDescent="0.2">
      <c r="A2184" s="81">
        <v>20032518</v>
      </c>
      <c r="B2184" s="80" t="s">
        <v>2439</v>
      </c>
      <c r="C2184" s="82" t="s">
        <v>7721</v>
      </c>
    </row>
    <row r="2185" spans="1:3" s="79" customFormat="1" ht="59.1" customHeight="1" x14ac:dyDescent="0.2">
      <c r="A2185" s="81">
        <v>20032520</v>
      </c>
      <c r="B2185" s="80" t="s">
        <v>2440</v>
      </c>
      <c r="C2185" s="82" t="s">
        <v>7722</v>
      </c>
    </row>
    <row r="2186" spans="1:3" s="79" customFormat="1" ht="59.1" customHeight="1" x14ac:dyDescent="0.2">
      <c r="A2186" s="81">
        <v>20032524</v>
      </c>
      <c r="B2186" s="80" t="s">
        <v>2441</v>
      </c>
      <c r="C2186" s="82" t="s">
        <v>7723</v>
      </c>
    </row>
    <row r="2187" spans="1:3" s="79" customFormat="1" ht="59.1" customHeight="1" x14ac:dyDescent="0.2">
      <c r="A2187" s="81">
        <v>20032530</v>
      </c>
      <c r="B2187" s="80" t="s">
        <v>2442</v>
      </c>
      <c r="C2187" s="82" t="s">
        <v>7724</v>
      </c>
    </row>
    <row r="2188" spans="1:3" s="79" customFormat="1" ht="28.7" customHeight="1" x14ac:dyDescent="0.2">
      <c r="A2188" s="81">
        <v>20032532</v>
      </c>
      <c r="B2188" s="80" t="s">
        <v>2443</v>
      </c>
      <c r="C2188" s="82" t="s">
        <v>7725</v>
      </c>
    </row>
    <row r="2189" spans="1:3" s="79" customFormat="1" ht="38.85" customHeight="1" x14ac:dyDescent="0.2">
      <c r="A2189" s="81">
        <v>20032539</v>
      </c>
      <c r="B2189" s="80" t="s">
        <v>2444</v>
      </c>
      <c r="C2189" s="82" t="s">
        <v>7726</v>
      </c>
    </row>
    <row r="2190" spans="1:3" s="79" customFormat="1" ht="38.85" customHeight="1" x14ac:dyDescent="0.2">
      <c r="A2190" s="81">
        <v>20032541</v>
      </c>
      <c r="B2190" s="80" t="s">
        <v>2445</v>
      </c>
      <c r="C2190" s="82" t="s">
        <v>7727</v>
      </c>
    </row>
    <row r="2191" spans="1:3" s="79" customFormat="1" ht="38.85" customHeight="1" x14ac:dyDescent="0.2">
      <c r="A2191" s="81">
        <v>20032547</v>
      </c>
      <c r="B2191" s="80" t="s">
        <v>2446</v>
      </c>
      <c r="C2191" s="82" t="s">
        <v>7728</v>
      </c>
    </row>
    <row r="2192" spans="1:3" s="79" customFormat="1" ht="28.7" customHeight="1" x14ac:dyDescent="0.2">
      <c r="A2192" s="81">
        <v>20032548</v>
      </c>
      <c r="B2192" s="80" t="s">
        <v>2447</v>
      </c>
      <c r="C2192" s="82" t="s">
        <v>7729</v>
      </c>
    </row>
    <row r="2193" spans="1:3" s="79" customFormat="1" ht="49.15" customHeight="1" x14ac:dyDescent="0.2">
      <c r="A2193" s="81">
        <v>20032550</v>
      </c>
      <c r="B2193" s="80" t="s">
        <v>2448</v>
      </c>
      <c r="C2193" s="82" t="s">
        <v>7730</v>
      </c>
    </row>
    <row r="2194" spans="1:3" s="79" customFormat="1" ht="28.7" customHeight="1" x14ac:dyDescent="0.2">
      <c r="A2194" s="81">
        <v>20032552</v>
      </c>
      <c r="B2194" s="80" t="s">
        <v>2449</v>
      </c>
      <c r="C2194" s="82" t="s">
        <v>7731</v>
      </c>
    </row>
    <row r="2195" spans="1:3" s="79" customFormat="1" ht="28.7" customHeight="1" x14ac:dyDescent="0.2">
      <c r="A2195" s="81">
        <v>20032553</v>
      </c>
      <c r="B2195" s="80" t="s">
        <v>2450</v>
      </c>
      <c r="C2195" s="82" t="s">
        <v>7732</v>
      </c>
    </row>
    <row r="2196" spans="1:3" s="79" customFormat="1" ht="28.7" customHeight="1" x14ac:dyDescent="0.2">
      <c r="A2196" s="81">
        <v>20032554</v>
      </c>
      <c r="B2196" s="80" t="s">
        <v>2451</v>
      </c>
      <c r="C2196" s="82" t="s">
        <v>7733</v>
      </c>
    </row>
    <row r="2197" spans="1:3" s="79" customFormat="1" ht="28.7" customHeight="1" x14ac:dyDescent="0.2">
      <c r="A2197" s="81">
        <v>20032555</v>
      </c>
      <c r="B2197" s="80" t="s">
        <v>2452</v>
      </c>
      <c r="C2197" s="82" t="s">
        <v>7734</v>
      </c>
    </row>
    <row r="2198" spans="1:3" s="79" customFormat="1" ht="28.7" customHeight="1" x14ac:dyDescent="0.2">
      <c r="A2198" s="81">
        <v>20032556</v>
      </c>
      <c r="B2198" s="80" t="s">
        <v>2453</v>
      </c>
      <c r="C2198" s="82" t="s">
        <v>7735</v>
      </c>
    </row>
    <row r="2199" spans="1:3" s="79" customFormat="1" ht="28.7" customHeight="1" x14ac:dyDescent="0.2">
      <c r="A2199" s="81">
        <v>20032557</v>
      </c>
      <c r="B2199" s="80" t="s">
        <v>2454</v>
      </c>
      <c r="C2199" s="82" t="s">
        <v>7736</v>
      </c>
    </row>
    <row r="2200" spans="1:3" s="79" customFormat="1" ht="28.7" customHeight="1" x14ac:dyDescent="0.2">
      <c r="A2200" s="81">
        <v>20032558</v>
      </c>
      <c r="B2200" s="80" t="s">
        <v>2455</v>
      </c>
      <c r="C2200" s="82" t="s">
        <v>7737</v>
      </c>
    </row>
    <row r="2201" spans="1:3" s="79" customFormat="1" ht="28.7" customHeight="1" x14ac:dyDescent="0.2">
      <c r="A2201" s="81">
        <v>20032559</v>
      </c>
      <c r="B2201" s="80" t="s">
        <v>2456</v>
      </c>
      <c r="C2201" s="82" t="s">
        <v>7738</v>
      </c>
    </row>
    <row r="2202" spans="1:3" s="79" customFormat="1" ht="28.7" customHeight="1" x14ac:dyDescent="0.2">
      <c r="A2202" s="81">
        <v>20032560</v>
      </c>
      <c r="B2202" s="80" t="s">
        <v>2457</v>
      </c>
      <c r="C2202" s="82" t="s">
        <v>7739</v>
      </c>
    </row>
    <row r="2203" spans="1:3" s="79" customFormat="1" ht="28.7" customHeight="1" x14ac:dyDescent="0.2">
      <c r="A2203" s="81">
        <v>20032562</v>
      </c>
      <c r="B2203" s="80" t="s">
        <v>2458</v>
      </c>
      <c r="C2203" s="82" t="s">
        <v>7740</v>
      </c>
    </row>
    <row r="2204" spans="1:3" s="79" customFormat="1" ht="28.7" customHeight="1" x14ac:dyDescent="0.2">
      <c r="A2204" s="81">
        <v>20032563</v>
      </c>
      <c r="B2204" s="80" t="s">
        <v>2459</v>
      </c>
      <c r="C2204" s="82" t="s">
        <v>7741</v>
      </c>
    </row>
    <row r="2205" spans="1:3" s="79" customFormat="1" ht="28.7" customHeight="1" x14ac:dyDescent="0.2">
      <c r="A2205" s="81">
        <v>20032564</v>
      </c>
      <c r="B2205" s="80" t="s">
        <v>2460</v>
      </c>
      <c r="C2205" s="82" t="s">
        <v>7742</v>
      </c>
    </row>
    <row r="2206" spans="1:3" s="79" customFormat="1" ht="28.7" customHeight="1" x14ac:dyDescent="0.2">
      <c r="A2206" s="81">
        <v>20032565</v>
      </c>
      <c r="B2206" s="80" t="s">
        <v>2461</v>
      </c>
      <c r="C2206" s="82" t="s">
        <v>7743</v>
      </c>
    </row>
    <row r="2207" spans="1:3" s="79" customFormat="1" ht="28.7" customHeight="1" x14ac:dyDescent="0.2">
      <c r="A2207" s="81">
        <v>20032566</v>
      </c>
      <c r="B2207" s="80" t="s">
        <v>2462</v>
      </c>
      <c r="C2207" s="82" t="s">
        <v>7744</v>
      </c>
    </row>
    <row r="2208" spans="1:3" s="79" customFormat="1" ht="28.7" customHeight="1" x14ac:dyDescent="0.2">
      <c r="A2208" s="81">
        <v>20032567</v>
      </c>
      <c r="B2208" s="80" t="s">
        <v>2463</v>
      </c>
      <c r="C2208" s="82" t="s">
        <v>7745</v>
      </c>
    </row>
    <row r="2209" spans="1:3" s="79" customFormat="1" ht="28.7" customHeight="1" x14ac:dyDescent="0.2">
      <c r="A2209" s="81">
        <v>20032568</v>
      </c>
      <c r="B2209" s="80" t="s">
        <v>2464</v>
      </c>
      <c r="C2209" s="82" t="s">
        <v>7746</v>
      </c>
    </row>
    <row r="2210" spans="1:3" s="79" customFormat="1" ht="28.7" customHeight="1" x14ac:dyDescent="0.2">
      <c r="A2210" s="81">
        <v>20032569</v>
      </c>
      <c r="B2210" s="80" t="s">
        <v>2465</v>
      </c>
      <c r="C2210" s="82" t="s">
        <v>7747</v>
      </c>
    </row>
    <row r="2211" spans="1:3" s="79" customFormat="1" ht="28.7" customHeight="1" x14ac:dyDescent="0.2">
      <c r="A2211" s="81">
        <v>20032570</v>
      </c>
      <c r="B2211" s="80" t="s">
        <v>2466</v>
      </c>
      <c r="C2211" s="82" t="s">
        <v>7748</v>
      </c>
    </row>
    <row r="2212" spans="1:3" s="79" customFormat="1" ht="28.7" customHeight="1" x14ac:dyDescent="0.2">
      <c r="A2212" s="81">
        <v>20032571</v>
      </c>
      <c r="B2212" s="80" t="s">
        <v>2467</v>
      </c>
      <c r="C2212" s="82" t="s">
        <v>7749</v>
      </c>
    </row>
    <row r="2213" spans="1:3" s="79" customFormat="1" ht="38.85" customHeight="1" x14ac:dyDescent="0.2">
      <c r="A2213" s="81">
        <v>20032572</v>
      </c>
      <c r="B2213" s="80" t="s">
        <v>2468</v>
      </c>
      <c r="C2213" s="80" t="s">
        <v>7750</v>
      </c>
    </row>
    <row r="2214" spans="1:3" s="79" customFormat="1" ht="19.149999999999999" customHeight="1" x14ac:dyDescent="0.2">
      <c r="A2214" s="81">
        <v>20032612</v>
      </c>
      <c r="B2214" s="80" t="s">
        <v>2469</v>
      </c>
      <c r="C2214" s="82" t="s">
        <v>7751</v>
      </c>
    </row>
    <row r="2215" spans="1:3" s="79" customFormat="1" ht="38.85" customHeight="1" x14ac:dyDescent="0.2">
      <c r="A2215" s="81">
        <v>20032615</v>
      </c>
      <c r="B2215" s="80" t="s">
        <v>2472</v>
      </c>
      <c r="C2215" s="82" t="s">
        <v>7752</v>
      </c>
    </row>
    <row r="2216" spans="1:3" s="79" customFormat="1" ht="59.1" customHeight="1" x14ac:dyDescent="0.2">
      <c r="A2216" s="81">
        <v>20032618</v>
      </c>
      <c r="B2216" s="80" t="s">
        <v>2470</v>
      </c>
      <c r="C2216" s="82" t="s">
        <v>7753</v>
      </c>
    </row>
    <row r="2217" spans="1:3" s="79" customFormat="1" ht="28.7" customHeight="1" x14ac:dyDescent="0.2">
      <c r="A2217" s="81">
        <v>20032620</v>
      </c>
      <c r="B2217" s="80" t="s">
        <v>2471</v>
      </c>
      <c r="C2217" s="82" t="s">
        <v>7754</v>
      </c>
    </row>
    <row r="2218" spans="1:3" s="79" customFormat="1" ht="28.7" customHeight="1" x14ac:dyDescent="0.2">
      <c r="A2218" s="81">
        <v>20032646</v>
      </c>
      <c r="B2218" s="80" t="s">
        <v>2473</v>
      </c>
      <c r="C2218" s="82" t="s">
        <v>7755</v>
      </c>
    </row>
    <row r="2219" spans="1:3" s="79" customFormat="1" ht="28.7" customHeight="1" x14ac:dyDescent="0.2">
      <c r="A2219" s="81">
        <v>20032650</v>
      </c>
      <c r="B2219" s="80" t="s">
        <v>2474</v>
      </c>
      <c r="C2219" s="82" t="s">
        <v>7756</v>
      </c>
    </row>
    <row r="2220" spans="1:3" s="79" customFormat="1" ht="59.1" customHeight="1" x14ac:dyDescent="0.2">
      <c r="A2220" s="81">
        <v>20032772</v>
      </c>
      <c r="B2220" s="80" t="s">
        <v>2475</v>
      </c>
      <c r="C2220" s="81" t="s">
        <v>7757</v>
      </c>
    </row>
    <row r="2221" spans="1:3" s="79" customFormat="1" ht="139.15" customHeight="1" x14ac:dyDescent="0.2">
      <c r="A2221" s="81">
        <v>20032773</v>
      </c>
      <c r="B2221" s="80" t="s">
        <v>2476</v>
      </c>
      <c r="C2221" s="82" t="s">
        <v>7758</v>
      </c>
    </row>
    <row r="2222" spans="1:3" s="79" customFormat="1" ht="38.85" customHeight="1" x14ac:dyDescent="0.2">
      <c r="A2222" s="81">
        <v>20032774</v>
      </c>
      <c r="B2222" s="80" t="s">
        <v>2477</v>
      </c>
      <c r="C2222" s="82" t="s">
        <v>7759</v>
      </c>
    </row>
    <row r="2223" spans="1:3" s="79" customFormat="1" ht="38.85" customHeight="1" x14ac:dyDescent="0.2">
      <c r="A2223" s="81">
        <v>20032775</v>
      </c>
      <c r="B2223" s="80" t="s">
        <v>2478</v>
      </c>
      <c r="C2223" s="82" t="s">
        <v>7760</v>
      </c>
    </row>
    <row r="2224" spans="1:3" s="79" customFormat="1" ht="38.85" customHeight="1" x14ac:dyDescent="0.2">
      <c r="A2224" s="81">
        <v>20032777</v>
      </c>
      <c r="B2224" s="80" t="s">
        <v>2479</v>
      </c>
      <c r="C2224" s="82" t="s">
        <v>7761</v>
      </c>
    </row>
    <row r="2225" spans="1:3" s="79" customFormat="1" ht="59.1" customHeight="1" x14ac:dyDescent="0.2">
      <c r="A2225" s="81">
        <v>20032778</v>
      </c>
      <c r="B2225" s="80" t="s">
        <v>2480</v>
      </c>
      <c r="C2225" s="81" t="s">
        <v>7762</v>
      </c>
    </row>
    <row r="2226" spans="1:3" s="79" customFormat="1" ht="89.1" customHeight="1" x14ac:dyDescent="0.2">
      <c r="A2226" s="81">
        <v>20032780</v>
      </c>
      <c r="B2226" s="80" t="s">
        <v>2481</v>
      </c>
      <c r="C2226" s="82" t="s">
        <v>7763</v>
      </c>
    </row>
    <row r="2227" spans="1:3" s="79" customFormat="1" ht="28.7" customHeight="1" x14ac:dyDescent="0.2">
      <c r="A2227" s="81">
        <v>20032781</v>
      </c>
      <c r="B2227" s="80" t="s">
        <v>2482</v>
      </c>
      <c r="C2227" s="82" t="s">
        <v>7764</v>
      </c>
    </row>
    <row r="2228" spans="1:3" s="79" customFormat="1" ht="59.1" customHeight="1" x14ac:dyDescent="0.2">
      <c r="A2228" s="81">
        <v>20032782</v>
      </c>
      <c r="B2228" s="80" t="s">
        <v>2483</v>
      </c>
      <c r="C2228" s="82" t="s">
        <v>7765</v>
      </c>
    </row>
    <row r="2229" spans="1:3" s="79" customFormat="1" ht="59.1" customHeight="1" x14ac:dyDescent="0.2">
      <c r="A2229" s="81">
        <v>20032783</v>
      </c>
      <c r="B2229" s="80" t="s">
        <v>2484</v>
      </c>
      <c r="C2229" s="82" t="s">
        <v>7766</v>
      </c>
    </row>
    <row r="2230" spans="1:3" s="79" customFormat="1" ht="59.1" customHeight="1" x14ac:dyDescent="0.2">
      <c r="A2230" s="81">
        <v>20032784</v>
      </c>
      <c r="B2230" s="80" t="s">
        <v>2485</v>
      </c>
      <c r="C2230" s="82" t="s">
        <v>7767</v>
      </c>
    </row>
    <row r="2231" spans="1:3" s="79" customFormat="1" ht="59.1" customHeight="1" x14ac:dyDescent="0.2">
      <c r="A2231" s="81">
        <v>20032786</v>
      </c>
      <c r="B2231" s="80" t="s">
        <v>2486</v>
      </c>
      <c r="C2231" s="82" t="s">
        <v>7768</v>
      </c>
    </row>
    <row r="2232" spans="1:3" s="79" customFormat="1" ht="59.1" customHeight="1" x14ac:dyDescent="0.2">
      <c r="A2232" s="81">
        <v>20032787</v>
      </c>
      <c r="B2232" s="80" t="s">
        <v>2487</v>
      </c>
      <c r="C2232" s="82" t="s">
        <v>7769</v>
      </c>
    </row>
    <row r="2233" spans="1:3" s="79" customFormat="1" ht="59.1" customHeight="1" x14ac:dyDescent="0.2">
      <c r="A2233" s="81">
        <v>20032788</v>
      </c>
      <c r="B2233" s="80" t="s">
        <v>2488</v>
      </c>
      <c r="C2233" s="82" t="s">
        <v>7770</v>
      </c>
    </row>
    <row r="2234" spans="1:3" s="79" customFormat="1" ht="59.1" customHeight="1" x14ac:dyDescent="0.2">
      <c r="A2234" s="81">
        <v>20032790</v>
      </c>
      <c r="B2234" s="80" t="s">
        <v>2489</v>
      </c>
      <c r="C2234" s="82" t="s">
        <v>7771</v>
      </c>
    </row>
    <row r="2235" spans="1:3" s="79" customFormat="1" ht="59.1" customHeight="1" x14ac:dyDescent="0.2">
      <c r="A2235" s="81">
        <v>20032791</v>
      </c>
      <c r="B2235" s="80" t="s">
        <v>2490</v>
      </c>
      <c r="C2235" s="82" t="s">
        <v>7772</v>
      </c>
    </row>
    <row r="2236" spans="1:3" s="79" customFormat="1" ht="59.1" customHeight="1" x14ac:dyDescent="0.2">
      <c r="A2236" s="81">
        <v>20032820</v>
      </c>
      <c r="B2236" s="80" t="s">
        <v>2491</v>
      </c>
      <c r="C2236" s="82" t="s">
        <v>7773</v>
      </c>
    </row>
    <row r="2237" spans="1:3" s="79" customFormat="1" ht="49.15" customHeight="1" x14ac:dyDescent="0.2">
      <c r="A2237" s="81">
        <v>20032821</v>
      </c>
      <c r="B2237" s="80" t="s">
        <v>2492</v>
      </c>
      <c r="C2237" s="82" t="s">
        <v>7774</v>
      </c>
    </row>
    <row r="2238" spans="1:3" s="79" customFormat="1" ht="28.7" customHeight="1" x14ac:dyDescent="0.2">
      <c r="A2238" s="81">
        <v>20032894</v>
      </c>
      <c r="B2238" s="80" t="s">
        <v>2493</v>
      </c>
      <c r="C2238" s="82" t="s">
        <v>7775</v>
      </c>
    </row>
    <row r="2239" spans="1:3" s="79" customFormat="1" ht="68.849999999999994" customHeight="1" x14ac:dyDescent="0.2">
      <c r="A2239" s="81">
        <v>20032895</v>
      </c>
      <c r="B2239" s="80" t="s">
        <v>2494</v>
      </c>
      <c r="C2239" s="82" t="s">
        <v>7776</v>
      </c>
    </row>
    <row r="2240" spans="1:3" s="79" customFormat="1" ht="68.849999999999994" customHeight="1" x14ac:dyDescent="0.2">
      <c r="A2240" s="81">
        <v>20032915</v>
      </c>
      <c r="B2240" s="80" t="s">
        <v>2495</v>
      </c>
      <c r="C2240" s="82" t="s">
        <v>7777</v>
      </c>
    </row>
    <row r="2241" spans="1:3" s="79" customFormat="1" ht="59.1" customHeight="1" x14ac:dyDescent="0.2">
      <c r="A2241" s="81">
        <v>20032927</v>
      </c>
      <c r="B2241" s="80" t="s">
        <v>2496</v>
      </c>
      <c r="C2241" s="81" t="s">
        <v>7778</v>
      </c>
    </row>
    <row r="2242" spans="1:3" s="79" customFormat="1" ht="118.9" customHeight="1" x14ac:dyDescent="0.2">
      <c r="A2242" s="81">
        <v>20032929</v>
      </c>
      <c r="B2242" s="80" t="s">
        <v>2497</v>
      </c>
      <c r="C2242" s="81" t="s">
        <v>7779</v>
      </c>
    </row>
    <row r="2243" spans="1:3" s="79" customFormat="1" ht="68.849999999999994" customHeight="1" x14ac:dyDescent="0.2">
      <c r="A2243" s="81">
        <v>20032941</v>
      </c>
      <c r="B2243" s="80" t="s">
        <v>2498</v>
      </c>
      <c r="C2243" s="82" t="s">
        <v>7780</v>
      </c>
    </row>
    <row r="2244" spans="1:3" s="79" customFormat="1" ht="38.85" customHeight="1" x14ac:dyDescent="0.2">
      <c r="A2244" s="81">
        <v>20032942</v>
      </c>
      <c r="B2244" s="80" t="s">
        <v>2499</v>
      </c>
      <c r="C2244" s="82" t="s">
        <v>7781</v>
      </c>
    </row>
    <row r="2245" spans="1:3" s="79" customFormat="1" ht="38.85" customHeight="1" x14ac:dyDescent="0.2">
      <c r="A2245" s="81">
        <v>20032946</v>
      </c>
      <c r="B2245" s="80" t="s">
        <v>2500</v>
      </c>
      <c r="C2245" s="81" t="s">
        <v>7782</v>
      </c>
    </row>
    <row r="2246" spans="1:3" s="79" customFormat="1" ht="229.35" customHeight="1" x14ac:dyDescent="0.2">
      <c r="A2246" s="81">
        <v>20032948</v>
      </c>
      <c r="B2246" s="80" t="s">
        <v>2501</v>
      </c>
      <c r="C2246" s="82" t="s">
        <v>7783</v>
      </c>
    </row>
    <row r="2247" spans="1:3" s="79" customFormat="1" ht="68.849999999999994" customHeight="1" x14ac:dyDescent="0.2">
      <c r="A2247" s="81">
        <v>20032951</v>
      </c>
      <c r="B2247" s="80" t="s">
        <v>2502</v>
      </c>
      <c r="C2247" s="82" t="s">
        <v>7784</v>
      </c>
    </row>
    <row r="2248" spans="1:3" s="79" customFormat="1" ht="49.15" customHeight="1" x14ac:dyDescent="0.2">
      <c r="A2248" s="81">
        <v>20033042</v>
      </c>
      <c r="B2248" s="80" t="s">
        <v>2503</v>
      </c>
      <c r="C2248" s="82" t="s">
        <v>7785</v>
      </c>
    </row>
    <row r="2249" spans="1:3" s="79" customFormat="1" ht="59.1" customHeight="1" x14ac:dyDescent="0.2">
      <c r="A2249" s="81">
        <v>20033048</v>
      </c>
      <c r="B2249" s="80" t="s">
        <v>11667</v>
      </c>
      <c r="C2249" s="81" t="s">
        <v>11668</v>
      </c>
    </row>
    <row r="2250" spans="1:3" s="79" customFormat="1" ht="279.39999999999998" customHeight="1" x14ac:dyDescent="0.2">
      <c r="A2250" s="81">
        <v>20033050</v>
      </c>
      <c r="B2250" s="80" t="s">
        <v>2504</v>
      </c>
      <c r="C2250" s="80" t="s">
        <v>7786</v>
      </c>
    </row>
    <row r="2251" spans="1:3" s="79" customFormat="1" ht="19.149999999999999" customHeight="1" x14ac:dyDescent="0.2">
      <c r="A2251" s="81">
        <v>20033107</v>
      </c>
      <c r="B2251" s="80" t="s">
        <v>2505</v>
      </c>
      <c r="C2251" s="81" t="s">
        <v>7787</v>
      </c>
    </row>
    <row r="2252" spans="1:3" s="79" customFormat="1" ht="78.95" customHeight="1" x14ac:dyDescent="0.2">
      <c r="A2252" s="81">
        <v>20033126</v>
      </c>
      <c r="B2252" s="80" t="s">
        <v>2506</v>
      </c>
      <c r="C2252" s="82" t="s">
        <v>7788</v>
      </c>
    </row>
    <row r="2253" spans="1:3" s="79" customFormat="1" ht="28.7" customHeight="1" x14ac:dyDescent="0.2">
      <c r="A2253" s="81">
        <v>20033127</v>
      </c>
      <c r="B2253" s="80" t="s">
        <v>2507</v>
      </c>
      <c r="C2253" s="82" t="s">
        <v>7789</v>
      </c>
    </row>
    <row r="2254" spans="1:3" s="79" customFormat="1" ht="28.7" customHeight="1" x14ac:dyDescent="0.2">
      <c r="A2254" s="81">
        <v>20033141</v>
      </c>
      <c r="B2254" s="80" t="s">
        <v>2508</v>
      </c>
      <c r="C2254" s="81" t="s">
        <v>7790</v>
      </c>
    </row>
    <row r="2255" spans="1:3" s="79" customFormat="1" ht="189.4" customHeight="1" x14ac:dyDescent="0.2">
      <c r="A2255" s="81">
        <v>20033168</v>
      </c>
      <c r="B2255" s="80" t="s">
        <v>2509</v>
      </c>
      <c r="C2255" s="82" t="s">
        <v>7791</v>
      </c>
    </row>
    <row r="2256" spans="1:3" s="79" customFormat="1" ht="49.15" customHeight="1" x14ac:dyDescent="0.2">
      <c r="A2256" s="81">
        <v>20033221</v>
      </c>
      <c r="B2256" s="80" t="s">
        <v>2510</v>
      </c>
      <c r="C2256" s="82" t="s">
        <v>7792</v>
      </c>
    </row>
    <row r="2257" spans="1:3" s="79" customFormat="1" ht="78.95" customHeight="1" x14ac:dyDescent="0.2">
      <c r="A2257" s="81">
        <v>20033222</v>
      </c>
      <c r="B2257" s="80" t="s">
        <v>2511</v>
      </c>
      <c r="C2257" s="82" t="s">
        <v>7793</v>
      </c>
    </row>
    <row r="2258" spans="1:3" s="79" customFormat="1" ht="78.95" customHeight="1" x14ac:dyDescent="0.2">
      <c r="A2258" s="81">
        <v>20033223</v>
      </c>
      <c r="B2258" s="80" t="s">
        <v>2512</v>
      </c>
      <c r="C2258" s="82" t="s">
        <v>7794</v>
      </c>
    </row>
    <row r="2259" spans="1:3" s="79" customFormat="1" ht="59.1" customHeight="1" x14ac:dyDescent="0.2">
      <c r="A2259" s="81">
        <v>20033226</v>
      </c>
      <c r="B2259" s="80" t="s">
        <v>2513</v>
      </c>
      <c r="C2259" s="82" t="s">
        <v>7795</v>
      </c>
    </row>
    <row r="2260" spans="1:3" s="79" customFormat="1" ht="28.7" customHeight="1" x14ac:dyDescent="0.2">
      <c r="A2260" s="81">
        <v>20033234</v>
      </c>
      <c r="B2260" s="80" t="s">
        <v>2514</v>
      </c>
      <c r="C2260" s="81" t="s">
        <v>7796</v>
      </c>
    </row>
    <row r="2261" spans="1:3" s="79" customFormat="1" ht="118.9" customHeight="1" x14ac:dyDescent="0.2">
      <c r="A2261" s="81">
        <v>20033235</v>
      </c>
      <c r="B2261" s="80" t="s">
        <v>2515</v>
      </c>
      <c r="C2261" s="81" t="s">
        <v>7797</v>
      </c>
    </row>
    <row r="2262" spans="1:3" s="79" customFormat="1" ht="118.9" customHeight="1" x14ac:dyDescent="0.2">
      <c r="A2262" s="81">
        <v>20033237</v>
      </c>
      <c r="B2262" s="80" t="s">
        <v>2516</v>
      </c>
      <c r="C2262" s="81" t="s">
        <v>7798</v>
      </c>
    </row>
    <row r="2263" spans="1:3" s="79" customFormat="1" ht="118.9" customHeight="1" x14ac:dyDescent="0.2">
      <c r="A2263" s="81">
        <v>20033238</v>
      </c>
      <c r="B2263" s="80" t="s">
        <v>2517</v>
      </c>
      <c r="C2263" s="81" t="s">
        <v>7799</v>
      </c>
    </row>
    <row r="2264" spans="1:3" s="79" customFormat="1" ht="118.9" customHeight="1" x14ac:dyDescent="0.2">
      <c r="A2264" s="81">
        <v>20033239</v>
      </c>
      <c r="B2264" s="80" t="s">
        <v>2518</v>
      </c>
      <c r="C2264" s="81" t="s">
        <v>7800</v>
      </c>
    </row>
    <row r="2265" spans="1:3" s="79" customFormat="1" ht="118.9" customHeight="1" x14ac:dyDescent="0.2">
      <c r="A2265" s="81">
        <v>20033240</v>
      </c>
      <c r="B2265" s="80" t="s">
        <v>2519</v>
      </c>
      <c r="C2265" s="81" t="s">
        <v>7801</v>
      </c>
    </row>
    <row r="2266" spans="1:3" s="79" customFormat="1" ht="109.35" customHeight="1" x14ac:dyDescent="0.2">
      <c r="A2266" s="81">
        <v>20033241</v>
      </c>
      <c r="B2266" s="80" t="s">
        <v>2520</v>
      </c>
      <c r="C2266" s="81" t="s">
        <v>7802</v>
      </c>
    </row>
    <row r="2267" spans="1:3" s="79" customFormat="1" ht="118.9" customHeight="1" x14ac:dyDescent="0.2">
      <c r="A2267" s="81">
        <v>20033242</v>
      </c>
      <c r="B2267" s="80" t="s">
        <v>2521</v>
      </c>
      <c r="C2267" s="81" t="s">
        <v>7803</v>
      </c>
    </row>
    <row r="2268" spans="1:3" s="79" customFormat="1" ht="109.35" customHeight="1" x14ac:dyDescent="0.2">
      <c r="A2268" s="81">
        <v>20033243</v>
      </c>
      <c r="B2268" s="80" t="s">
        <v>2522</v>
      </c>
      <c r="C2268" s="81" t="s">
        <v>7804</v>
      </c>
    </row>
    <row r="2269" spans="1:3" s="79" customFormat="1" ht="109.35" customHeight="1" x14ac:dyDescent="0.2">
      <c r="A2269" s="81">
        <v>20033244</v>
      </c>
      <c r="B2269" s="80" t="s">
        <v>2523</v>
      </c>
      <c r="C2269" s="81" t="s">
        <v>7805</v>
      </c>
    </row>
    <row r="2270" spans="1:3" s="79" customFormat="1" ht="109.35" customHeight="1" x14ac:dyDescent="0.2">
      <c r="A2270" s="81">
        <v>20033245</v>
      </c>
      <c r="B2270" s="80" t="s">
        <v>2524</v>
      </c>
      <c r="C2270" s="81" t="s">
        <v>7806</v>
      </c>
    </row>
    <row r="2271" spans="1:3" s="79" customFormat="1" ht="118.9" customHeight="1" x14ac:dyDescent="0.2">
      <c r="A2271" s="81">
        <v>20033247</v>
      </c>
      <c r="B2271" s="80" t="s">
        <v>2525</v>
      </c>
      <c r="C2271" s="81" t="s">
        <v>7807</v>
      </c>
    </row>
    <row r="2272" spans="1:3" s="79" customFormat="1" ht="109.35" customHeight="1" x14ac:dyDescent="0.2">
      <c r="A2272" s="81">
        <v>20033258</v>
      </c>
      <c r="B2272" s="80" t="s">
        <v>2526</v>
      </c>
      <c r="C2272" s="82" t="s">
        <v>7808</v>
      </c>
    </row>
    <row r="2273" spans="1:3" s="79" customFormat="1" ht="28.7" customHeight="1" x14ac:dyDescent="0.2">
      <c r="A2273" s="81">
        <v>20033261</v>
      </c>
      <c r="B2273" s="80" t="s">
        <v>2527</v>
      </c>
      <c r="C2273" s="81" t="s">
        <v>7809</v>
      </c>
    </row>
    <row r="2274" spans="1:3" s="79" customFormat="1" ht="78.95" customHeight="1" x14ac:dyDescent="0.2">
      <c r="A2274" s="81">
        <v>20033268</v>
      </c>
      <c r="B2274" s="80" t="s">
        <v>2528</v>
      </c>
      <c r="C2274" s="82" t="s">
        <v>7810</v>
      </c>
    </row>
    <row r="2275" spans="1:3" s="79" customFormat="1" ht="38.85" customHeight="1" x14ac:dyDescent="0.2">
      <c r="A2275" s="81">
        <v>20033293</v>
      </c>
      <c r="B2275" s="80" t="s">
        <v>2529</v>
      </c>
      <c r="C2275" s="82" t="s">
        <v>7811</v>
      </c>
    </row>
    <row r="2276" spans="1:3" s="79" customFormat="1" ht="49.15" customHeight="1" x14ac:dyDescent="0.2">
      <c r="A2276" s="81">
        <v>20033350</v>
      </c>
      <c r="B2276" s="80" t="s">
        <v>2530</v>
      </c>
      <c r="C2276" s="80" t="s">
        <v>7812</v>
      </c>
    </row>
    <row r="2277" spans="1:3" s="79" customFormat="1" ht="19.149999999999999" customHeight="1" x14ac:dyDescent="0.2">
      <c r="A2277" s="81">
        <v>20033351</v>
      </c>
      <c r="B2277" s="80" t="s">
        <v>2531</v>
      </c>
      <c r="C2277" s="82" t="s">
        <v>7813</v>
      </c>
    </row>
    <row r="2278" spans="1:3" s="79" customFormat="1" ht="49.15" customHeight="1" x14ac:dyDescent="0.2">
      <c r="A2278" s="81">
        <v>20033353</v>
      </c>
      <c r="B2278" s="80" t="s">
        <v>2532</v>
      </c>
      <c r="C2278" s="80" t="s">
        <v>7814</v>
      </c>
    </row>
    <row r="2279" spans="1:3" s="79" customFormat="1" ht="19.149999999999999" customHeight="1" x14ac:dyDescent="0.2">
      <c r="A2279" s="81">
        <v>20033362</v>
      </c>
      <c r="B2279" s="80" t="s">
        <v>2533</v>
      </c>
      <c r="C2279" s="82" t="s">
        <v>7815</v>
      </c>
    </row>
    <row r="2280" spans="1:3" s="79" customFormat="1" ht="68.849999999999994" customHeight="1" x14ac:dyDescent="0.2">
      <c r="A2280" s="81">
        <v>20033363</v>
      </c>
      <c r="B2280" s="80" t="s">
        <v>2534</v>
      </c>
      <c r="C2280" s="82" t="s">
        <v>7816</v>
      </c>
    </row>
    <row r="2281" spans="1:3" s="79" customFormat="1" ht="19.149999999999999" customHeight="1" x14ac:dyDescent="0.2">
      <c r="A2281" s="81">
        <v>20033365</v>
      </c>
      <c r="B2281" s="80" t="s">
        <v>2535</v>
      </c>
      <c r="C2281" s="82" t="s">
        <v>7817</v>
      </c>
    </row>
    <row r="2282" spans="1:3" s="79" customFormat="1" ht="68.849999999999994" customHeight="1" x14ac:dyDescent="0.2">
      <c r="A2282" s="81">
        <v>20033378</v>
      </c>
      <c r="B2282" s="80" t="s">
        <v>2536</v>
      </c>
      <c r="C2282" s="81" t="s">
        <v>7818</v>
      </c>
    </row>
    <row r="2283" spans="1:3" s="79" customFormat="1" ht="149.25" customHeight="1" x14ac:dyDescent="0.2">
      <c r="A2283" s="81">
        <v>20033422</v>
      </c>
      <c r="B2283" s="80" t="s">
        <v>2537</v>
      </c>
      <c r="C2283" s="80" t="s">
        <v>7819</v>
      </c>
    </row>
    <row r="2284" spans="1:3" s="79" customFormat="1" ht="19.149999999999999" customHeight="1" x14ac:dyDescent="0.2">
      <c r="A2284" s="81">
        <v>20033424</v>
      </c>
      <c r="B2284" s="80" t="s">
        <v>2538</v>
      </c>
      <c r="C2284" s="80"/>
    </row>
    <row r="2285" spans="1:3" s="79" customFormat="1" ht="19.149999999999999" customHeight="1" x14ac:dyDescent="0.2">
      <c r="A2285" s="81">
        <v>20033425</v>
      </c>
      <c r="B2285" s="80" t="s">
        <v>2539</v>
      </c>
      <c r="C2285" s="80" t="s">
        <v>7819</v>
      </c>
    </row>
    <row r="2286" spans="1:3" s="79" customFormat="1" ht="19.149999999999999" customHeight="1" x14ac:dyDescent="0.2">
      <c r="A2286" s="81">
        <v>20033490</v>
      </c>
      <c r="B2286" s="80" t="s">
        <v>2540</v>
      </c>
      <c r="C2286" s="82" t="s">
        <v>7820</v>
      </c>
    </row>
    <row r="2287" spans="1:3" s="79" customFormat="1" ht="59.1" customHeight="1" x14ac:dyDescent="0.2">
      <c r="A2287" s="81">
        <v>20033496</v>
      </c>
      <c r="B2287" s="80" t="s">
        <v>2541</v>
      </c>
      <c r="C2287" s="82" t="s">
        <v>7821</v>
      </c>
    </row>
    <row r="2288" spans="1:3" s="79" customFormat="1" ht="49.15" customHeight="1" x14ac:dyDescent="0.2">
      <c r="A2288" s="81">
        <v>20033504</v>
      </c>
      <c r="B2288" s="80" t="s">
        <v>2542</v>
      </c>
      <c r="C2288" s="80" t="s">
        <v>7819</v>
      </c>
    </row>
    <row r="2289" spans="1:3" s="79" customFormat="1" ht="19.149999999999999" customHeight="1" x14ac:dyDescent="0.2">
      <c r="A2289" s="81">
        <v>20033505</v>
      </c>
      <c r="B2289" s="80" t="s">
        <v>2543</v>
      </c>
      <c r="C2289" s="81" t="s">
        <v>7822</v>
      </c>
    </row>
    <row r="2290" spans="1:3" s="79" customFormat="1" ht="99.2" customHeight="1" x14ac:dyDescent="0.2">
      <c r="A2290" s="81">
        <v>20033506</v>
      </c>
      <c r="B2290" s="80" t="s">
        <v>2544</v>
      </c>
      <c r="C2290" s="81" t="s">
        <v>7823</v>
      </c>
    </row>
    <row r="2291" spans="1:3" s="79" customFormat="1" ht="99.2" customHeight="1" x14ac:dyDescent="0.2">
      <c r="A2291" s="81">
        <v>20033508</v>
      </c>
      <c r="B2291" s="80" t="s">
        <v>2545</v>
      </c>
      <c r="C2291" s="81" t="s">
        <v>7824</v>
      </c>
    </row>
    <row r="2292" spans="1:3" s="79" customFormat="1" ht="109.35" customHeight="1" x14ac:dyDescent="0.2">
      <c r="A2292" s="81">
        <v>20033519</v>
      </c>
      <c r="B2292" s="80" t="s">
        <v>2546</v>
      </c>
      <c r="C2292" s="82" t="s">
        <v>7825</v>
      </c>
    </row>
    <row r="2293" spans="1:3" s="79" customFormat="1" ht="28.7" customHeight="1" x14ac:dyDescent="0.2">
      <c r="A2293" s="81">
        <v>20033577</v>
      </c>
      <c r="B2293" s="80" t="s">
        <v>2547</v>
      </c>
      <c r="C2293" s="82" t="s">
        <v>7826</v>
      </c>
    </row>
    <row r="2294" spans="1:3" s="79" customFormat="1" ht="38.85" customHeight="1" x14ac:dyDescent="0.2">
      <c r="A2294" s="81">
        <v>20033584</v>
      </c>
      <c r="B2294" s="80" t="s">
        <v>2548</v>
      </c>
      <c r="C2294" s="82" t="s">
        <v>7827</v>
      </c>
    </row>
    <row r="2295" spans="1:3" s="79" customFormat="1" ht="38.85" customHeight="1" x14ac:dyDescent="0.2">
      <c r="A2295" s="81">
        <v>20033585</v>
      </c>
      <c r="B2295" s="80" t="s">
        <v>2549</v>
      </c>
      <c r="C2295" s="82" t="s">
        <v>7828</v>
      </c>
    </row>
    <row r="2296" spans="1:3" s="79" customFormat="1" ht="38.85" customHeight="1" x14ac:dyDescent="0.2">
      <c r="A2296" s="81">
        <v>20033592</v>
      </c>
      <c r="B2296" s="80" t="s">
        <v>2550</v>
      </c>
      <c r="C2296" s="82" t="s">
        <v>7829</v>
      </c>
    </row>
    <row r="2297" spans="1:3" s="79" customFormat="1" ht="78.95" customHeight="1" x14ac:dyDescent="0.2">
      <c r="A2297" s="81">
        <v>20033593</v>
      </c>
      <c r="B2297" s="80" t="s">
        <v>2551</v>
      </c>
      <c r="C2297" s="82" t="s">
        <v>7830</v>
      </c>
    </row>
    <row r="2298" spans="1:3" s="79" customFormat="1" ht="59.1" customHeight="1" x14ac:dyDescent="0.2">
      <c r="A2298" s="81">
        <v>20033610</v>
      </c>
      <c r="B2298" s="80" t="s">
        <v>2552</v>
      </c>
      <c r="C2298" s="82" t="s">
        <v>7831</v>
      </c>
    </row>
    <row r="2299" spans="1:3" s="79" customFormat="1" ht="99.2" customHeight="1" x14ac:dyDescent="0.2">
      <c r="A2299" s="81">
        <v>20033614</v>
      </c>
      <c r="B2299" s="80" t="s">
        <v>2553</v>
      </c>
      <c r="C2299" s="81" t="s">
        <v>7832</v>
      </c>
    </row>
    <row r="2300" spans="1:3" s="79" customFormat="1" ht="158.85" customHeight="1" x14ac:dyDescent="0.2">
      <c r="A2300" s="81">
        <v>20033618</v>
      </c>
      <c r="B2300" s="80" t="s">
        <v>2554</v>
      </c>
      <c r="C2300" s="82" t="s">
        <v>7833</v>
      </c>
    </row>
    <row r="2301" spans="1:3" s="79" customFormat="1" ht="99.2" customHeight="1" x14ac:dyDescent="0.2">
      <c r="A2301" s="81">
        <v>20033619</v>
      </c>
      <c r="B2301" s="80" t="s">
        <v>2555</v>
      </c>
      <c r="C2301" s="82" t="s">
        <v>7834</v>
      </c>
    </row>
    <row r="2302" spans="1:3" s="79" customFormat="1" ht="99.2" customHeight="1" x14ac:dyDescent="0.2">
      <c r="A2302" s="81">
        <v>20033640</v>
      </c>
      <c r="B2302" s="80" t="s">
        <v>10952</v>
      </c>
      <c r="C2302" s="82" t="s">
        <v>10953</v>
      </c>
    </row>
    <row r="2303" spans="1:3" s="79" customFormat="1" ht="38.85" customHeight="1" x14ac:dyDescent="0.2">
      <c r="A2303" s="81">
        <v>20033644</v>
      </c>
      <c r="B2303" s="80" t="s">
        <v>2556</v>
      </c>
      <c r="C2303" s="82" t="s">
        <v>7835</v>
      </c>
    </row>
    <row r="2304" spans="1:3" s="79" customFormat="1" ht="38.85" customHeight="1" x14ac:dyDescent="0.2">
      <c r="A2304" s="81">
        <v>20033656</v>
      </c>
      <c r="B2304" s="80" t="s">
        <v>2557</v>
      </c>
      <c r="C2304" s="80" t="s">
        <v>7836</v>
      </c>
    </row>
    <row r="2305" spans="1:3" s="79" customFormat="1" ht="19.149999999999999" customHeight="1" x14ac:dyDescent="0.2">
      <c r="A2305" s="81">
        <v>20033670</v>
      </c>
      <c r="B2305" s="80" t="s">
        <v>2558</v>
      </c>
      <c r="C2305" s="82" t="s">
        <v>7837</v>
      </c>
    </row>
    <row r="2306" spans="1:3" s="79" customFormat="1" ht="78.95" customHeight="1" x14ac:dyDescent="0.2">
      <c r="A2306" s="81">
        <v>20033673</v>
      </c>
      <c r="B2306" s="80" t="s">
        <v>2559</v>
      </c>
      <c r="C2306" s="81" t="s">
        <v>7838</v>
      </c>
    </row>
    <row r="2307" spans="1:3" s="79" customFormat="1" ht="109.35" customHeight="1" x14ac:dyDescent="0.2">
      <c r="A2307" s="81">
        <v>20033695</v>
      </c>
      <c r="B2307" s="80" t="s">
        <v>2560</v>
      </c>
      <c r="C2307" s="82" t="s">
        <v>7839</v>
      </c>
    </row>
    <row r="2308" spans="1:3" s="79" customFormat="1" ht="59.1" customHeight="1" x14ac:dyDescent="0.2">
      <c r="A2308" s="81">
        <v>20033700</v>
      </c>
      <c r="B2308" s="80" t="s">
        <v>2561</v>
      </c>
      <c r="C2308" s="82" t="s">
        <v>7840</v>
      </c>
    </row>
    <row r="2309" spans="1:3" s="79" customFormat="1" ht="78.95" customHeight="1" x14ac:dyDescent="0.2">
      <c r="A2309" s="81">
        <v>20033701</v>
      </c>
      <c r="B2309" s="80" t="s">
        <v>2562</v>
      </c>
      <c r="C2309" s="82" t="s">
        <v>7841</v>
      </c>
    </row>
    <row r="2310" spans="1:3" s="79" customFormat="1" ht="78.95" customHeight="1" x14ac:dyDescent="0.2">
      <c r="A2310" s="81">
        <v>20033702</v>
      </c>
      <c r="B2310" s="80" t="s">
        <v>2563</v>
      </c>
      <c r="C2310" s="81" t="s">
        <v>7842</v>
      </c>
    </row>
    <row r="2311" spans="1:3" s="79" customFormat="1" ht="89.1" customHeight="1" x14ac:dyDescent="0.2">
      <c r="A2311" s="81">
        <v>20033703</v>
      </c>
      <c r="B2311" s="80" t="s">
        <v>2564</v>
      </c>
      <c r="C2311" s="81" t="s">
        <v>7843</v>
      </c>
    </row>
    <row r="2312" spans="1:3" s="79" customFormat="1" ht="89.1" customHeight="1" x14ac:dyDescent="0.2">
      <c r="A2312" s="81">
        <v>20033709</v>
      </c>
      <c r="B2312" s="80" t="s">
        <v>2565</v>
      </c>
      <c r="C2312" s="80" t="s">
        <v>2565</v>
      </c>
    </row>
    <row r="2313" spans="1:3" s="79" customFormat="1" ht="19.149999999999999" customHeight="1" x14ac:dyDescent="0.2">
      <c r="A2313" s="81">
        <v>20033718</v>
      </c>
      <c r="B2313" s="80" t="s">
        <v>2566</v>
      </c>
      <c r="C2313" s="82" t="s">
        <v>7844</v>
      </c>
    </row>
    <row r="2314" spans="1:3" s="79" customFormat="1" ht="19.149999999999999" customHeight="1" x14ac:dyDescent="0.2">
      <c r="A2314" s="81">
        <v>20033719</v>
      </c>
      <c r="B2314" s="80" t="s">
        <v>2567</v>
      </c>
      <c r="C2314" s="80" t="s">
        <v>7845</v>
      </c>
    </row>
    <row r="2315" spans="1:3" s="79" customFormat="1" ht="19.149999999999999" customHeight="1" x14ac:dyDescent="0.2">
      <c r="A2315" s="81">
        <v>20033732</v>
      </c>
      <c r="B2315" s="80" t="s">
        <v>2568</v>
      </c>
      <c r="C2315" s="82" t="s">
        <v>7846</v>
      </c>
    </row>
    <row r="2316" spans="1:3" s="79" customFormat="1" ht="19.149999999999999" customHeight="1" x14ac:dyDescent="0.2">
      <c r="A2316" s="81">
        <v>20033733</v>
      </c>
      <c r="B2316" s="80" t="s">
        <v>2569</v>
      </c>
      <c r="C2316" s="82" t="s">
        <v>7847</v>
      </c>
    </row>
    <row r="2317" spans="1:3" s="79" customFormat="1" ht="19.149999999999999" customHeight="1" x14ac:dyDescent="0.2">
      <c r="A2317" s="81">
        <v>20033734</v>
      </c>
      <c r="B2317" s="80" t="s">
        <v>2570</v>
      </c>
      <c r="C2317" s="82" t="s">
        <v>7848</v>
      </c>
    </row>
    <row r="2318" spans="1:3" s="79" customFormat="1" ht="28.7" customHeight="1" x14ac:dyDescent="0.2">
      <c r="A2318" s="81">
        <v>20033735</v>
      </c>
      <c r="B2318" s="80" t="s">
        <v>2571</v>
      </c>
      <c r="C2318" s="82" t="s">
        <v>7849</v>
      </c>
    </row>
    <row r="2319" spans="1:3" s="79" customFormat="1" ht="19.149999999999999" customHeight="1" x14ac:dyDescent="0.2">
      <c r="A2319" s="81">
        <v>20033739</v>
      </c>
      <c r="B2319" s="80" t="s">
        <v>2572</v>
      </c>
      <c r="C2319" s="82" t="s">
        <v>7850</v>
      </c>
    </row>
    <row r="2320" spans="1:3" s="79" customFormat="1" ht="38.85" customHeight="1" x14ac:dyDescent="0.2">
      <c r="A2320" s="81">
        <v>20033740</v>
      </c>
      <c r="B2320" s="80" t="s">
        <v>2573</v>
      </c>
      <c r="C2320" s="82" t="s">
        <v>7851</v>
      </c>
    </row>
    <row r="2321" spans="1:3" s="79" customFormat="1" ht="38.85" customHeight="1" x14ac:dyDescent="0.2">
      <c r="A2321" s="81">
        <v>20033741</v>
      </c>
      <c r="B2321" s="80" t="s">
        <v>2574</v>
      </c>
      <c r="C2321" s="82" t="s">
        <v>7852</v>
      </c>
    </row>
    <row r="2322" spans="1:3" s="79" customFormat="1" ht="38.85" customHeight="1" x14ac:dyDescent="0.2">
      <c r="A2322" s="81">
        <v>20033742</v>
      </c>
      <c r="B2322" s="80" t="s">
        <v>2575</v>
      </c>
      <c r="C2322" s="82" t="s">
        <v>7853</v>
      </c>
    </row>
    <row r="2323" spans="1:3" s="79" customFormat="1" ht="38.85" customHeight="1" x14ac:dyDescent="0.2">
      <c r="A2323" s="81">
        <v>20033743</v>
      </c>
      <c r="B2323" s="80" t="s">
        <v>2576</v>
      </c>
      <c r="C2323" s="82" t="s">
        <v>7854</v>
      </c>
    </row>
    <row r="2324" spans="1:3" s="79" customFormat="1" ht="38.85" customHeight="1" x14ac:dyDescent="0.2">
      <c r="A2324" s="81">
        <v>20033744</v>
      </c>
      <c r="B2324" s="80" t="s">
        <v>2577</v>
      </c>
      <c r="C2324" s="82" t="s">
        <v>7855</v>
      </c>
    </row>
    <row r="2325" spans="1:3" s="79" customFormat="1" ht="38.85" customHeight="1" x14ac:dyDescent="0.2">
      <c r="A2325" s="81">
        <v>20033745</v>
      </c>
      <c r="B2325" s="80" t="s">
        <v>2578</v>
      </c>
      <c r="C2325" s="82" t="s">
        <v>7856</v>
      </c>
    </row>
    <row r="2326" spans="1:3" s="79" customFormat="1" ht="38.85" customHeight="1" x14ac:dyDescent="0.2">
      <c r="A2326" s="81">
        <v>20033746</v>
      </c>
      <c r="B2326" s="80" t="s">
        <v>2579</v>
      </c>
      <c r="C2326" s="82" t="s">
        <v>7857</v>
      </c>
    </row>
    <row r="2327" spans="1:3" s="79" customFormat="1" ht="38.85" customHeight="1" x14ac:dyDescent="0.2">
      <c r="A2327" s="81">
        <v>20033747</v>
      </c>
      <c r="B2327" s="80" t="s">
        <v>2580</v>
      </c>
      <c r="C2327" s="82" t="s">
        <v>7858</v>
      </c>
    </row>
    <row r="2328" spans="1:3" s="79" customFormat="1" ht="38.85" customHeight="1" x14ac:dyDescent="0.2">
      <c r="A2328" s="81">
        <v>20033748</v>
      </c>
      <c r="B2328" s="80" t="s">
        <v>2581</v>
      </c>
      <c r="C2328" s="82" t="s">
        <v>7859</v>
      </c>
    </row>
    <row r="2329" spans="1:3" s="79" customFormat="1" ht="38.85" customHeight="1" x14ac:dyDescent="0.2">
      <c r="A2329" s="81">
        <v>20033749</v>
      </c>
      <c r="B2329" s="80" t="s">
        <v>2582</v>
      </c>
      <c r="C2329" s="82" t="s">
        <v>7860</v>
      </c>
    </row>
    <row r="2330" spans="1:3" s="79" customFormat="1" ht="19.149999999999999" customHeight="1" x14ac:dyDescent="0.2">
      <c r="A2330" s="81">
        <v>20033750</v>
      </c>
      <c r="B2330" s="80" t="s">
        <v>2583</v>
      </c>
      <c r="C2330" s="82" t="s">
        <v>7861</v>
      </c>
    </row>
    <row r="2331" spans="1:3" s="79" customFormat="1" ht="38.85" customHeight="1" x14ac:dyDescent="0.2">
      <c r="A2331" s="81">
        <v>20033751</v>
      </c>
      <c r="B2331" s="80" t="s">
        <v>2584</v>
      </c>
      <c r="C2331" s="82" t="s">
        <v>7862</v>
      </c>
    </row>
    <row r="2332" spans="1:3" s="79" customFormat="1" ht="38.85" customHeight="1" x14ac:dyDescent="0.2">
      <c r="A2332" s="81">
        <v>20033752</v>
      </c>
      <c r="B2332" s="80" t="s">
        <v>2585</v>
      </c>
      <c r="C2332" s="82" t="s">
        <v>7863</v>
      </c>
    </row>
    <row r="2333" spans="1:3" s="79" customFormat="1" ht="28.7" customHeight="1" x14ac:dyDescent="0.2">
      <c r="A2333" s="81">
        <v>20033753</v>
      </c>
      <c r="B2333" s="80" t="s">
        <v>2586</v>
      </c>
      <c r="C2333" s="82" t="s">
        <v>7864</v>
      </c>
    </row>
    <row r="2334" spans="1:3" s="79" customFormat="1" ht="28.7" customHeight="1" x14ac:dyDescent="0.2">
      <c r="A2334" s="81">
        <v>20033754</v>
      </c>
      <c r="B2334" s="80" t="s">
        <v>2587</v>
      </c>
      <c r="C2334" s="82" t="s">
        <v>7865</v>
      </c>
    </row>
    <row r="2335" spans="1:3" s="79" customFormat="1" ht="38.85" customHeight="1" x14ac:dyDescent="0.2">
      <c r="A2335" s="81">
        <v>20033755</v>
      </c>
      <c r="B2335" s="80" t="s">
        <v>2588</v>
      </c>
      <c r="C2335" s="82" t="s">
        <v>7866</v>
      </c>
    </row>
    <row r="2336" spans="1:3" s="79" customFormat="1" ht="19.149999999999999" customHeight="1" x14ac:dyDescent="0.2">
      <c r="A2336" s="81">
        <v>20033756</v>
      </c>
      <c r="B2336" s="80" t="s">
        <v>2589</v>
      </c>
      <c r="C2336" s="82" t="s">
        <v>7867</v>
      </c>
    </row>
    <row r="2337" spans="1:3" s="79" customFormat="1" ht="19.149999999999999" customHeight="1" x14ac:dyDescent="0.2">
      <c r="A2337" s="81">
        <v>20033757</v>
      </c>
      <c r="B2337" s="80" t="s">
        <v>2590</v>
      </c>
      <c r="C2337" s="82" t="s">
        <v>7868</v>
      </c>
    </row>
    <row r="2338" spans="1:3" s="79" customFormat="1" ht="19.149999999999999" customHeight="1" x14ac:dyDescent="0.2">
      <c r="A2338" s="81">
        <v>20033772</v>
      </c>
      <c r="B2338" s="80" t="s">
        <v>2591</v>
      </c>
      <c r="C2338" s="81" t="s">
        <v>7869</v>
      </c>
    </row>
    <row r="2339" spans="1:3" s="79" customFormat="1" ht="89.1" customHeight="1" x14ac:dyDescent="0.2">
      <c r="A2339" s="81">
        <v>20033773</v>
      </c>
      <c r="B2339" s="80" t="s">
        <v>2592</v>
      </c>
      <c r="C2339" s="82" t="s">
        <v>7870</v>
      </c>
    </row>
    <row r="2340" spans="1:3" s="79" customFormat="1" ht="99.2" customHeight="1" x14ac:dyDescent="0.2">
      <c r="A2340" s="81">
        <v>20033774</v>
      </c>
      <c r="B2340" s="80" t="s">
        <v>2593</v>
      </c>
      <c r="C2340" s="82" t="s">
        <v>7871</v>
      </c>
    </row>
    <row r="2341" spans="1:3" s="79" customFormat="1" ht="38.85" customHeight="1" x14ac:dyDescent="0.2">
      <c r="A2341" s="81">
        <v>20033778</v>
      </c>
      <c r="B2341" s="80" t="s">
        <v>2594</v>
      </c>
      <c r="C2341" s="82" t="s">
        <v>7872</v>
      </c>
    </row>
    <row r="2342" spans="1:3" s="79" customFormat="1" ht="49.15" customHeight="1" x14ac:dyDescent="0.2">
      <c r="A2342" s="81">
        <v>20033788</v>
      </c>
      <c r="B2342" s="80" t="s">
        <v>2595</v>
      </c>
      <c r="C2342" s="82" t="s">
        <v>7873</v>
      </c>
    </row>
    <row r="2343" spans="1:3" s="79" customFormat="1" ht="19.149999999999999" customHeight="1" x14ac:dyDescent="0.2">
      <c r="A2343" s="81">
        <v>20033789</v>
      </c>
      <c r="B2343" s="80" t="s">
        <v>2596</v>
      </c>
      <c r="C2343" s="82" t="s">
        <v>7874</v>
      </c>
    </row>
    <row r="2344" spans="1:3" s="79" customFormat="1" ht="59.1" customHeight="1" x14ac:dyDescent="0.2">
      <c r="A2344" s="81">
        <v>20033790</v>
      </c>
      <c r="B2344" s="80" t="s">
        <v>2597</v>
      </c>
      <c r="C2344" s="82" t="s">
        <v>7875</v>
      </c>
    </row>
    <row r="2345" spans="1:3" s="79" customFormat="1" ht="59.1" customHeight="1" x14ac:dyDescent="0.2">
      <c r="A2345" s="81">
        <v>20033793</v>
      </c>
      <c r="B2345" s="80" t="s">
        <v>2598</v>
      </c>
      <c r="C2345" s="82" t="s">
        <v>7876</v>
      </c>
    </row>
    <row r="2346" spans="1:3" s="79" customFormat="1" ht="59.1" customHeight="1" x14ac:dyDescent="0.2">
      <c r="A2346" s="81">
        <v>20033794</v>
      </c>
      <c r="B2346" s="80" t="s">
        <v>2599</v>
      </c>
      <c r="C2346" s="82" t="s">
        <v>7877</v>
      </c>
    </row>
    <row r="2347" spans="1:3" s="79" customFormat="1" ht="59.1" customHeight="1" x14ac:dyDescent="0.2">
      <c r="A2347" s="81">
        <v>20033795</v>
      </c>
      <c r="B2347" s="80" t="s">
        <v>2600</v>
      </c>
      <c r="C2347" s="82" t="s">
        <v>7878</v>
      </c>
    </row>
    <row r="2348" spans="1:3" s="79" customFormat="1" ht="59.1" customHeight="1" x14ac:dyDescent="0.2">
      <c r="A2348" s="81">
        <v>20033798</v>
      </c>
      <c r="B2348" s="80" t="s">
        <v>2601</v>
      </c>
      <c r="C2348" s="82" t="s">
        <v>7879</v>
      </c>
    </row>
    <row r="2349" spans="1:3" s="79" customFormat="1" ht="99.2" customHeight="1" x14ac:dyDescent="0.2">
      <c r="A2349" s="81">
        <v>20033799</v>
      </c>
      <c r="B2349" s="80" t="s">
        <v>2602</v>
      </c>
      <c r="C2349" s="82" t="s">
        <v>7880</v>
      </c>
    </row>
    <row r="2350" spans="1:3" s="79" customFormat="1" ht="99.2" customHeight="1" x14ac:dyDescent="0.2">
      <c r="A2350" s="81">
        <v>20033800</v>
      </c>
      <c r="B2350" s="80" t="s">
        <v>2603</v>
      </c>
      <c r="C2350" s="82" t="s">
        <v>7881</v>
      </c>
    </row>
    <row r="2351" spans="1:3" s="79" customFormat="1" ht="99.2" customHeight="1" x14ac:dyDescent="0.2">
      <c r="A2351" s="81">
        <v>20033801</v>
      </c>
      <c r="B2351" s="80" t="s">
        <v>2604</v>
      </c>
      <c r="C2351" s="82" t="s">
        <v>7882</v>
      </c>
    </row>
    <row r="2352" spans="1:3" s="79" customFormat="1" ht="99.2" customHeight="1" x14ac:dyDescent="0.2">
      <c r="A2352" s="81">
        <v>20033802</v>
      </c>
      <c r="B2352" s="80" t="s">
        <v>2605</v>
      </c>
      <c r="C2352" s="82" t="s">
        <v>7883</v>
      </c>
    </row>
    <row r="2353" spans="1:3" s="79" customFormat="1" ht="78.95" customHeight="1" x14ac:dyDescent="0.2">
      <c r="A2353" s="81">
        <v>20033803</v>
      </c>
      <c r="B2353" s="80" t="s">
        <v>2606</v>
      </c>
      <c r="C2353" s="82" t="s">
        <v>7884</v>
      </c>
    </row>
    <row r="2354" spans="1:3" s="79" customFormat="1" ht="78.95" customHeight="1" x14ac:dyDescent="0.2">
      <c r="A2354" s="81">
        <v>20033804</v>
      </c>
      <c r="B2354" s="80" t="s">
        <v>2607</v>
      </c>
      <c r="C2354" s="82" t="s">
        <v>7885</v>
      </c>
    </row>
    <row r="2355" spans="1:3" s="79" customFormat="1" ht="78.95" customHeight="1" x14ac:dyDescent="0.2">
      <c r="A2355" s="81">
        <v>20033805</v>
      </c>
      <c r="B2355" s="80" t="s">
        <v>2608</v>
      </c>
      <c r="C2355" s="82" t="s">
        <v>7886</v>
      </c>
    </row>
    <row r="2356" spans="1:3" s="79" customFormat="1" ht="78.95" customHeight="1" x14ac:dyDescent="0.2">
      <c r="A2356" s="81">
        <v>20033806</v>
      </c>
      <c r="B2356" s="80" t="s">
        <v>2609</v>
      </c>
      <c r="C2356" s="82" t="s">
        <v>7887</v>
      </c>
    </row>
    <row r="2357" spans="1:3" s="79" customFormat="1" ht="89.1" customHeight="1" x14ac:dyDescent="0.2">
      <c r="A2357" s="81">
        <v>20033808</v>
      </c>
      <c r="B2357" s="80" t="s">
        <v>2610</v>
      </c>
      <c r="C2357" s="82" t="s">
        <v>7888</v>
      </c>
    </row>
    <row r="2358" spans="1:3" s="79" customFormat="1" ht="28.7" customHeight="1" x14ac:dyDescent="0.2">
      <c r="A2358" s="81">
        <v>20033809</v>
      </c>
      <c r="B2358" s="80" t="s">
        <v>2611</v>
      </c>
      <c r="C2358" s="81" t="s">
        <v>7889</v>
      </c>
    </row>
    <row r="2359" spans="1:3" s="79" customFormat="1" ht="78.95" customHeight="1" x14ac:dyDescent="0.2">
      <c r="A2359" s="81">
        <v>20033818</v>
      </c>
      <c r="B2359" s="80" t="s">
        <v>2612</v>
      </c>
      <c r="C2359" s="82" t="s">
        <v>7890</v>
      </c>
    </row>
    <row r="2360" spans="1:3" s="79" customFormat="1" ht="49.15" customHeight="1" x14ac:dyDescent="0.2">
      <c r="A2360" s="81">
        <v>20033878</v>
      </c>
      <c r="B2360" s="80" t="s">
        <v>2613</v>
      </c>
      <c r="C2360" s="80" t="s">
        <v>7891</v>
      </c>
    </row>
    <row r="2361" spans="1:3" s="79" customFormat="1" ht="19.149999999999999" customHeight="1" x14ac:dyDescent="0.2">
      <c r="A2361" s="81">
        <v>20033898</v>
      </c>
      <c r="B2361" s="80" t="s">
        <v>11605</v>
      </c>
      <c r="C2361" s="82" t="s">
        <v>7892</v>
      </c>
    </row>
    <row r="2362" spans="1:3" s="79" customFormat="1" ht="28.7" customHeight="1" x14ac:dyDescent="0.2">
      <c r="A2362" s="81">
        <v>20033918</v>
      </c>
      <c r="B2362" s="80" t="s">
        <v>2614</v>
      </c>
      <c r="C2362" s="82" t="s">
        <v>7893</v>
      </c>
    </row>
    <row r="2363" spans="1:3" s="79" customFormat="1" ht="59.1" customHeight="1" x14ac:dyDescent="0.2">
      <c r="A2363" s="81">
        <v>20033928</v>
      </c>
      <c r="B2363" s="80" t="s">
        <v>2615</v>
      </c>
      <c r="C2363" s="82" t="s">
        <v>7894</v>
      </c>
    </row>
    <row r="2364" spans="1:3" s="79" customFormat="1" ht="78.95" customHeight="1" x14ac:dyDescent="0.2">
      <c r="A2364" s="81">
        <v>20033929</v>
      </c>
      <c r="B2364" s="80" t="s">
        <v>2616</v>
      </c>
      <c r="C2364" s="82" t="s">
        <v>7895</v>
      </c>
    </row>
    <row r="2365" spans="1:3" s="79" customFormat="1" ht="78.95" customHeight="1" x14ac:dyDescent="0.2">
      <c r="A2365" s="81">
        <v>20033930</v>
      </c>
      <c r="B2365" s="80" t="s">
        <v>2617</v>
      </c>
      <c r="C2365" s="82" t="s">
        <v>7896</v>
      </c>
    </row>
    <row r="2366" spans="1:3" s="79" customFormat="1" ht="78.95" customHeight="1" x14ac:dyDescent="0.2">
      <c r="A2366" s="81">
        <v>20033931</v>
      </c>
      <c r="B2366" s="80" t="s">
        <v>2618</v>
      </c>
      <c r="C2366" s="82" t="s">
        <v>7897</v>
      </c>
    </row>
    <row r="2367" spans="1:3" s="79" customFormat="1" ht="78.95" customHeight="1" x14ac:dyDescent="0.2">
      <c r="A2367" s="81">
        <v>20033932</v>
      </c>
      <c r="B2367" s="80" t="s">
        <v>2619</v>
      </c>
      <c r="C2367" s="82" t="s">
        <v>7898</v>
      </c>
    </row>
    <row r="2368" spans="1:3" s="79" customFormat="1" ht="78.95" customHeight="1" x14ac:dyDescent="0.2">
      <c r="A2368" s="81">
        <v>20033933</v>
      </c>
      <c r="B2368" s="80" t="s">
        <v>2620</v>
      </c>
      <c r="C2368" s="82" t="s">
        <v>7899</v>
      </c>
    </row>
    <row r="2369" spans="1:3" s="79" customFormat="1" ht="78.95" customHeight="1" x14ac:dyDescent="0.2">
      <c r="A2369" s="81">
        <v>20033934</v>
      </c>
      <c r="B2369" s="80" t="s">
        <v>2621</v>
      </c>
      <c r="C2369" s="82" t="s">
        <v>7900</v>
      </c>
    </row>
    <row r="2370" spans="1:3" s="79" customFormat="1" ht="78.95" customHeight="1" x14ac:dyDescent="0.2">
      <c r="A2370" s="81">
        <v>20033935</v>
      </c>
      <c r="B2370" s="80" t="s">
        <v>2622</v>
      </c>
      <c r="C2370" s="82" t="s">
        <v>7901</v>
      </c>
    </row>
    <row r="2371" spans="1:3" s="79" customFormat="1" ht="78.95" customHeight="1" x14ac:dyDescent="0.2">
      <c r="A2371" s="81">
        <v>20033936</v>
      </c>
      <c r="B2371" s="80" t="s">
        <v>2623</v>
      </c>
      <c r="C2371" s="82" t="s">
        <v>7902</v>
      </c>
    </row>
    <row r="2372" spans="1:3" s="79" customFormat="1" ht="78.95" customHeight="1" x14ac:dyDescent="0.2">
      <c r="A2372" s="81">
        <v>20033937</v>
      </c>
      <c r="B2372" s="80" t="s">
        <v>2624</v>
      </c>
      <c r="C2372" s="82" t="s">
        <v>7903</v>
      </c>
    </row>
    <row r="2373" spans="1:3" s="79" customFormat="1" ht="78.95" customHeight="1" x14ac:dyDescent="0.2">
      <c r="A2373" s="81">
        <v>20033938</v>
      </c>
      <c r="B2373" s="80" t="s">
        <v>2625</v>
      </c>
      <c r="C2373" s="82" t="s">
        <v>7904</v>
      </c>
    </row>
    <row r="2374" spans="1:3" s="79" customFormat="1" ht="78.95" customHeight="1" x14ac:dyDescent="0.2">
      <c r="A2374" s="81">
        <v>20033939</v>
      </c>
      <c r="B2374" s="80" t="s">
        <v>2626</v>
      </c>
      <c r="C2374" s="82" t="s">
        <v>7905</v>
      </c>
    </row>
    <row r="2375" spans="1:3" s="79" customFormat="1" ht="78.95" customHeight="1" x14ac:dyDescent="0.2">
      <c r="A2375" s="81">
        <v>20033940</v>
      </c>
      <c r="B2375" s="80" t="s">
        <v>2627</v>
      </c>
      <c r="C2375" s="82" t="s">
        <v>7906</v>
      </c>
    </row>
    <row r="2376" spans="1:3" s="79" customFormat="1" ht="78.95" customHeight="1" x14ac:dyDescent="0.2">
      <c r="A2376" s="81">
        <v>20033941</v>
      </c>
      <c r="B2376" s="80" t="s">
        <v>2628</v>
      </c>
      <c r="C2376" s="82" t="s">
        <v>7907</v>
      </c>
    </row>
    <row r="2377" spans="1:3" s="79" customFormat="1" ht="89.1" customHeight="1" x14ac:dyDescent="0.2">
      <c r="A2377" s="81">
        <v>20033942</v>
      </c>
      <c r="B2377" s="80" t="s">
        <v>2629</v>
      </c>
      <c r="C2377" s="82" t="s">
        <v>7908</v>
      </c>
    </row>
    <row r="2378" spans="1:3" s="79" customFormat="1" ht="89.1" customHeight="1" x14ac:dyDescent="0.2">
      <c r="A2378" s="81">
        <v>20033948</v>
      </c>
      <c r="B2378" s="80" t="s">
        <v>2630</v>
      </c>
      <c r="C2378" s="82" t="s">
        <v>7909</v>
      </c>
    </row>
    <row r="2379" spans="1:3" s="79" customFormat="1" ht="89.1" customHeight="1" x14ac:dyDescent="0.2">
      <c r="A2379" s="81">
        <v>20033949</v>
      </c>
      <c r="B2379" s="80" t="s">
        <v>2631</v>
      </c>
      <c r="C2379" s="82" t="s">
        <v>7910</v>
      </c>
    </row>
    <row r="2380" spans="1:3" s="79" customFormat="1" ht="78.95" customHeight="1" x14ac:dyDescent="0.2">
      <c r="A2380" s="81">
        <v>20033950</v>
      </c>
      <c r="B2380" s="80" t="s">
        <v>2632</v>
      </c>
      <c r="C2380" s="82" t="s">
        <v>7911</v>
      </c>
    </row>
    <row r="2381" spans="1:3" s="79" customFormat="1" ht="78.95" customHeight="1" x14ac:dyDescent="0.2">
      <c r="A2381" s="81">
        <v>20033951</v>
      </c>
      <c r="B2381" s="80" t="s">
        <v>2633</v>
      </c>
      <c r="C2381" s="82" t="s">
        <v>7912</v>
      </c>
    </row>
    <row r="2382" spans="1:3" s="79" customFormat="1" ht="78.95" customHeight="1" x14ac:dyDescent="0.2">
      <c r="A2382" s="81">
        <v>20033958</v>
      </c>
      <c r="B2382" s="80" t="s">
        <v>2634</v>
      </c>
      <c r="C2382" s="82" t="s">
        <v>7913</v>
      </c>
    </row>
    <row r="2383" spans="1:3" s="79" customFormat="1" ht="78.95" customHeight="1" x14ac:dyDescent="0.2">
      <c r="A2383" s="81">
        <v>20033959</v>
      </c>
      <c r="B2383" s="80" t="s">
        <v>2635</v>
      </c>
      <c r="C2383" s="82" t="s">
        <v>7914</v>
      </c>
    </row>
    <row r="2384" spans="1:3" s="79" customFormat="1" ht="78.95" customHeight="1" x14ac:dyDescent="0.2">
      <c r="A2384" s="81">
        <v>20033960</v>
      </c>
      <c r="B2384" s="80" t="s">
        <v>2636</v>
      </c>
      <c r="C2384" s="82" t="s">
        <v>7915</v>
      </c>
    </row>
    <row r="2385" spans="1:3" s="79" customFormat="1" ht="78.95" customHeight="1" x14ac:dyDescent="0.2">
      <c r="A2385" s="81">
        <v>20033961</v>
      </c>
      <c r="B2385" s="80" t="s">
        <v>2637</v>
      </c>
      <c r="C2385" s="82" t="s">
        <v>7916</v>
      </c>
    </row>
    <row r="2386" spans="1:3" s="79" customFormat="1" ht="78.95" customHeight="1" x14ac:dyDescent="0.2">
      <c r="A2386" s="81">
        <v>20033962</v>
      </c>
      <c r="B2386" s="80" t="s">
        <v>2638</v>
      </c>
      <c r="C2386" s="82" t="s">
        <v>7917</v>
      </c>
    </row>
    <row r="2387" spans="1:3" s="79" customFormat="1" ht="78.95" customHeight="1" x14ac:dyDescent="0.2">
      <c r="A2387" s="81">
        <v>20033963</v>
      </c>
      <c r="B2387" s="80" t="s">
        <v>2639</v>
      </c>
      <c r="C2387" s="82" t="s">
        <v>7918</v>
      </c>
    </row>
    <row r="2388" spans="1:3" s="79" customFormat="1" ht="78.95" customHeight="1" x14ac:dyDescent="0.2">
      <c r="A2388" s="81">
        <v>20033964</v>
      </c>
      <c r="B2388" s="80" t="s">
        <v>2640</v>
      </c>
      <c r="C2388" s="82" t="s">
        <v>7919</v>
      </c>
    </row>
    <row r="2389" spans="1:3" s="79" customFormat="1" ht="78.95" customHeight="1" x14ac:dyDescent="0.2">
      <c r="A2389" s="81">
        <v>20033965</v>
      </c>
      <c r="B2389" s="80" t="s">
        <v>2641</v>
      </c>
      <c r="C2389" s="82" t="s">
        <v>7920</v>
      </c>
    </row>
    <row r="2390" spans="1:3" s="79" customFormat="1" ht="78.95" customHeight="1" x14ac:dyDescent="0.2">
      <c r="A2390" s="81">
        <v>20033966</v>
      </c>
      <c r="B2390" s="80" t="s">
        <v>2642</v>
      </c>
      <c r="C2390" s="82" t="s">
        <v>7921</v>
      </c>
    </row>
    <row r="2391" spans="1:3" s="79" customFormat="1" ht="89.1" customHeight="1" x14ac:dyDescent="0.2">
      <c r="A2391" s="81">
        <v>20033967</v>
      </c>
      <c r="B2391" s="80" t="s">
        <v>2643</v>
      </c>
      <c r="C2391" s="82" t="s">
        <v>7922</v>
      </c>
    </row>
    <row r="2392" spans="1:3" s="79" customFormat="1" ht="89.1" customHeight="1" x14ac:dyDescent="0.2">
      <c r="A2392" s="81">
        <v>20033968</v>
      </c>
      <c r="B2392" s="80" t="s">
        <v>2644</v>
      </c>
      <c r="C2392" s="82" t="s">
        <v>7923</v>
      </c>
    </row>
    <row r="2393" spans="1:3" s="79" customFormat="1" ht="89.1" customHeight="1" x14ac:dyDescent="0.2">
      <c r="A2393" s="81">
        <v>20033969</v>
      </c>
      <c r="B2393" s="80" t="s">
        <v>2645</v>
      </c>
      <c r="C2393" s="82" t="s">
        <v>7924</v>
      </c>
    </row>
    <row r="2394" spans="1:3" s="79" customFormat="1" ht="89.1" customHeight="1" x14ac:dyDescent="0.2">
      <c r="A2394" s="81">
        <v>20033970</v>
      </c>
      <c r="B2394" s="80" t="s">
        <v>2646</v>
      </c>
      <c r="C2394" s="82" t="s">
        <v>7925</v>
      </c>
    </row>
    <row r="2395" spans="1:3" s="79" customFormat="1" ht="89.1" customHeight="1" x14ac:dyDescent="0.2">
      <c r="A2395" s="81">
        <v>20033971</v>
      </c>
      <c r="B2395" s="80" t="s">
        <v>2647</v>
      </c>
      <c r="C2395" s="82" t="s">
        <v>7926</v>
      </c>
    </row>
    <row r="2396" spans="1:3" s="79" customFormat="1" ht="78.95" customHeight="1" x14ac:dyDescent="0.2">
      <c r="A2396" s="81">
        <v>20033972</v>
      </c>
      <c r="B2396" s="80" t="s">
        <v>2648</v>
      </c>
      <c r="C2396" s="82" t="s">
        <v>7927</v>
      </c>
    </row>
    <row r="2397" spans="1:3" s="79" customFormat="1" ht="78.95" customHeight="1" x14ac:dyDescent="0.2">
      <c r="A2397" s="81">
        <v>20033973</v>
      </c>
      <c r="B2397" s="80" t="s">
        <v>2649</v>
      </c>
      <c r="C2397" s="82" t="s">
        <v>7928</v>
      </c>
    </row>
    <row r="2398" spans="1:3" s="79" customFormat="1" ht="78.95" customHeight="1" x14ac:dyDescent="0.2">
      <c r="A2398" s="81">
        <v>20033974</v>
      </c>
      <c r="B2398" s="80" t="s">
        <v>2650</v>
      </c>
      <c r="C2398" s="82" t="s">
        <v>7929</v>
      </c>
    </row>
    <row r="2399" spans="1:3" s="79" customFormat="1" ht="78.95" customHeight="1" x14ac:dyDescent="0.2">
      <c r="A2399" s="81">
        <v>20033975</v>
      </c>
      <c r="B2399" s="80" t="s">
        <v>2651</v>
      </c>
      <c r="C2399" s="82" t="s">
        <v>7930</v>
      </c>
    </row>
    <row r="2400" spans="1:3" s="79" customFormat="1" ht="78.95" customHeight="1" x14ac:dyDescent="0.2">
      <c r="A2400" s="81">
        <v>20033976</v>
      </c>
      <c r="B2400" s="80" t="s">
        <v>2652</v>
      </c>
      <c r="C2400" s="82" t="s">
        <v>7931</v>
      </c>
    </row>
    <row r="2401" spans="1:3" s="79" customFormat="1" ht="78.95" customHeight="1" x14ac:dyDescent="0.2">
      <c r="A2401" s="81">
        <v>20033977</v>
      </c>
      <c r="B2401" s="80" t="s">
        <v>2653</v>
      </c>
      <c r="C2401" s="82" t="s">
        <v>7932</v>
      </c>
    </row>
    <row r="2402" spans="1:3" s="79" customFormat="1" ht="78.95" customHeight="1" x14ac:dyDescent="0.2">
      <c r="A2402" s="81">
        <v>20033978</v>
      </c>
      <c r="B2402" s="80" t="s">
        <v>2654</v>
      </c>
      <c r="C2402" s="82" t="s">
        <v>7933</v>
      </c>
    </row>
    <row r="2403" spans="1:3" s="79" customFormat="1" ht="78.95" customHeight="1" x14ac:dyDescent="0.2">
      <c r="A2403" s="81">
        <v>20033999</v>
      </c>
      <c r="B2403" s="80" t="s">
        <v>2655</v>
      </c>
      <c r="C2403" s="82" t="s">
        <v>7934</v>
      </c>
    </row>
    <row r="2404" spans="1:3" s="79" customFormat="1" ht="59.1" customHeight="1" x14ac:dyDescent="0.2">
      <c r="A2404" s="81">
        <v>20034009</v>
      </c>
      <c r="B2404" s="80" t="s">
        <v>2656</v>
      </c>
      <c r="C2404" s="82" t="s">
        <v>7935</v>
      </c>
    </row>
    <row r="2405" spans="1:3" s="79" customFormat="1" ht="49.15" customHeight="1" x14ac:dyDescent="0.2">
      <c r="A2405" s="81">
        <v>20034018</v>
      </c>
      <c r="B2405" s="80" t="s">
        <v>2657</v>
      </c>
      <c r="C2405" s="80" t="s">
        <v>7936</v>
      </c>
    </row>
    <row r="2406" spans="1:3" s="79" customFormat="1" ht="19.149999999999999" customHeight="1" x14ac:dyDescent="0.2">
      <c r="A2406" s="81">
        <v>20034019</v>
      </c>
      <c r="B2406" s="80" t="s">
        <v>2658</v>
      </c>
      <c r="C2406" s="82" t="s">
        <v>7937</v>
      </c>
    </row>
    <row r="2407" spans="1:3" s="79" customFormat="1" ht="19.149999999999999" customHeight="1" x14ac:dyDescent="0.2">
      <c r="A2407" s="81">
        <v>20034020</v>
      </c>
      <c r="B2407" s="80" t="s">
        <v>2659</v>
      </c>
      <c r="C2407" s="81" t="s">
        <v>7938</v>
      </c>
    </row>
    <row r="2408" spans="1:3" s="79" customFormat="1" ht="279.39999999999998" customHeight="1" x14ac:dyDescent="0.2">
      <c r="A2408" s="81">
        <v>20034022</v>
      </c>
      <c r="B2408" s="80" t="s">
        <v>2660</v>
      </c>
      <c r="C2408" s="82" t="s">
        <v>7939</v>
      </c>
    </row>
    <row r="2409" spans="1:3" s="79" customFormat="1" ht="38.85" customHeight="1" x14ac:dyDescent="0.2">
      <c r="A2409" s="81">
        <v>20034079</v>
      </c>
      <c r="B2409" s="80" t="s">
        <v>2661</v>
      </c>
      <c r="C2409" s="82" t="s">
        <v>7940</v>
      </c>
    </row>
    <row r="2410" spans="1:3" s="79" customFormat="1" ht="28.7" customHeight="1" x14ac:dyDescent="0.2">
      <c r="A2410" s="81">
        <v>20034090</v>
      </c>
      <c r="B2410" s="80" t="s">
        <v>2662</v>
      </c>
      <c r="C2410" s="82" t="s">
        <v>7941</v>
      </c>
    </row>
    <row r="2411" spans="1:3" s="79" customFormat="1" ht="38.85" customHeight="1" x14ac:dyDescent="0.2">
      <c r="A2411" s="81">
        <v>20034098</v>
      </c>
      <c r="B2411" s="80" t="s">
        <v>2663</v>
      </c>
      <c r="C2411" s="81" t="s">
        <v>7942</v>
      </c>
    </row>
    <row r="2412" spans="1:3" s="79" customFormat="1" ht="68.849999999999994" customHeight="1" x14ac:dyDescent="0.2">
      <c r="A2412" s="81">
        <v>20034108</v>
      </c>
      <c r="B2412" s="80" t="s">
        <v>2664</v>
      </c>
      <c r="C2412" s="82" t="s">
        <v>7943</v>
      </c>
    </row>
    <row r="2413" spans="1:3" s="79" customFormat="1" ht="89.1" customHeight="1" x14ac:dyDescent="0.2">
      <c r="A2413" s="81">
        <v>20034109</v>
      </c>
      <c r="B2413" s="80" t="s">
        <v>2665</v>
      </c>
      <c r="C2413" s="82" t="s">
        <v>7944</v>
      </c>
    </row>
    <row r="2414" spans="1:3" s="79" customFormat="1" ht="78.95" customHeight="1" x14ac:dyDescent="0.2">
      <c r="A2414" s="81">
        <v>20034120</v>
      </c>
      <c r="B2414" s="80" t="s">
        <v>2666</v>
      </c>
      <c r="C2414" s="82" t="s">
        <v>7945</v>
      </c>
    </row>
    <row r="2415" spans="1:3" s="79" customFormat="1" ht="28.7" customHeight="1" x14ac:dyDescent="0.2">
      <c r="A2415" s="81">
        <v>20034121</v>
      </c>
      <c r="B2415" s="80" t="s">
        <v>2667</v>
      </c>
      <c r="C2415" s="82" t="s">
        <v>7946</v>
      </c>
    </row>
    <row r="2416" spans="1:3" s="79" customFormat="1" ht="28.7" customHeight="1" x14ac:dyDescent="0.2">
      <c r="A2416" s="81">
        <v>20034122</v>
      </c>
      <c r="B2416" s="80" t="s">
        <v>2668</v>
      </c>
      <c r="C2416" s="82" t="s">
        <v>7947</v>
      </c>
    </row>
    <row r="2417" spans="1:3" s="79" customFormat="1" ht="28.7" customHeight="1" x14ac:dyDescent="0.2">
      <c r="A2417" s="81">
        <v>20034123</v>
      </c>
      <c r="B2417" s="80" t="s">
        <v>2669</v>
      </c>
      <c r="C2417" s="82" t="s">
        <v>7948</v>
      </c>
    </row>
    <row r="2418" spans="1:3" s="79" customFormat="1" ht="28.7" customHeight="1" x14ac:dyDescent="0.2">
      <c r="A2418" s="81">
        <v>20034124</v>
      </c>
      <c r="B2418" s="80" t="s">
        <v>2670</v>
      </c>
      <c r="C2418" s="82" t="s">
        <v>7949</v>
      </c>
    </row>
    <row r="2419" spans="1:3" s="79" customFormat="1" ht="59.1" customHeight="1" x14ac:dyDescent="0.2">
      <c r="A2419" s="81">
        <v>20034128</v>
      </c>
      <c r="B2419" s="80" t="s">
        <v>2671</v>
      </c>
      <c r="C2419" s="82" t="s">
        <v>7950</v>
      </c>
    </row>
    <row r="2420" spans="1:3" s="79" customFormat="1" ht="49.15" customHeight="1" x14ac:dyDescent="0.2">
      <c r="A2420" s="81">
        <v>20034130</v>
      </c>
      <c r="B2420" s="80" t="s">
        <v>2672</v>
      </c>
      <c r="C2420" s="82" t="s">
        <v>7951</v>
      </c>
    </row>
    <row r="2421" spans="1:3" s="79" customFormat="1" ht="49.15" customHeight="1" x14ac:dyDescent="0.2">
      <c r="A2421" s="81">
        <v>20034137</v>
      </c>
      <c r="B2421" s="80" t="s">
        <v>2673</v>
      </c>
      <c r="C2421" s="82" t="s">
        <v>7952</v>
      </c>
    </row>
    <row r="2422" spans="1:3" s="79" customFormat="1" ht="99.2" customHeight="1" x14ac:dyDescent="0.2">
      <c r="A2422" s="81">
        <v>20034138</v>
      </c>
      <c r="B2422" s="80" t="s">
        <v>2674</v>
      </c>
      <c r="C2422" s="82" t="s">
        <v>7953</v>
      </c>
    </row>
    <row r="2423" spans="1:3" s="79" customFormat="1" ht="89.1" customHeight="1" x14ac:dyDescent="0.2">
      <c r="A2423" s="81">
        <v>20034198</v>
      </c>
      <c r="B2423" s="80" t="s">
        <v>2675</v>
      </c>
      <c r="C2423" s="82" t="s">
        <v>7954</v>
      </c>
    </row>
    <row r="2424" spans="1:3" s="79" customFormat="1" ht="59.1" customHeight="1" x14ac:dyDescent="0.2">
      <c r="A2424" s="81">
        <v>20034203</v>
      </c>
      <c r="B2424" s="80" t="s">
        <v>2679</v>
      </c>
      <c r="C2424" s="82" t="s">
        <v>7955</v>
      </c>
    </row>
    <row r="2425" spans="1:3" s="79" customFormat="1" ht="78.95" customHeight="1" x14ac:dyDescent="0.2">
      <c r="A2425" s="81">
        <v>20034204</v>
      </c>
      <c r="B2425" s="80" t="s">
        <v>2681</v>
      </c>
      <c r="C2425" s="82" t="s">
        <v>7956</v>
      </c>
    </row>
    <row r="2426" spans="1:3" s="79" customFormat="1" ht="49.15" customHeight="1" x14ac:dyDescent="0.2">
      <c r="A2426" s="81">
        <v>20034205</v>
      </c>
      <c r="B2426" s="80" t="s">
        <v>2683</v>
      </c>
      <c r="C2426" s="82" t="s">
        <v>7957</v>
      </c>
    </row>
    <row r="2427" spans="1:3" s="79" customFormat="1" ht="19.149999999999999" customHeight="1" x14ac:dyDescent="0.2">
      <c r="A2427" s="81">
        <v>20034208</v>
      </c>
      <c r="B2427" s="80" t="s">
        <v>2676</v>
      </c>
      <c r="C2427" s="82" t="s">
        <v>7958</v>
      </c>
    </row>
    <row r="2428" spans="1:3" s="79" customFormat="1" ht="49.15" customHeight="1" x14ac:dyDescent="0.2">
      <c r="A2428" s="81">
        <v>20034209</v>
      </c>
      <c r="B2428" s="80" t="s">
        <v>2677</v>
      </c>
      <c r="C2428" s="81" t="s">
        <v>7959</v>
      </c>
    </row>
    <row r="2429" spans="1:3" s="79" customFormat="1" ht="99.2" customHeight="1" x14ac:dyDescent="0.2">
      <c r="A2429" s="81">
        <v>20034210</v>
      </c>
      <c r="B2429" s="80" t="s">
        <v>2678</v>
      </c>
      <c r="C2429" s="81" t="s">
        <v>11024</v>
      </c>
    </row>
    <row r="2430" spans="1:3" s="79" customFormat="1" ht="99.2" customHeight="1" x14ac:dyDescent="0.2">
      <c r="A2430" s="81">
        <v>20034211</v>
      </c>
      <c r="B2430" s="80" t="s">
        <v>2680</v>
      </c>
      <c r="C2430" s="81" t="s">
        <v>7960</v>
      </c>
    </row>
    <row r="2431" spans="1:3" s="79" customFormat="1" ht="129" customHeight="1" x14ac:dyDescent="0.2">
      <c r="A2431" s="81">
        <v>20034212</v>
      </c>
      <c r="B2431" s="80" t="s">
        <v>2682</v>
      </c>
      <c r="C2431" s="82" t="s">
        <v>7961</v>
      </c>
    </row>
    <row r="2432" spans="1:3" s="79" customFormat="1" ht="28.7" customHeight="1" x14ac:dyDescent="0.2">
      <c r="A2432" s="81">
        <v>20034214</v>
      </c>
      <c r="B2432" s="80" t="s">
        <v>2684</v>
      </c>
      <c r="C2432" s="81" t="s">
        <v>7962</v>
      </c>
    </row>
    <row r="2433" spans="1:3" s="79" customFormat="1" ht="59.1" customHeight="1" x14ac:dyDescent="0.2">
      <c r="A2433" s="81">
        <v>20034241</v>
      </c>
      <c r="B2433" s="80" t="s">
        <v>2685</v>
      </c>
      <c r="C2433" s="82" t="s">
        <v>7963</v>
      </c>
    </row>
    <row r="2434" spans="1:3" s="79" customFormat="1" ht="28.7" customHeight="1" x14ac:dyDescent="0.2">
      <c r="A2434" s="81">
        <v>20034246</v>
      </c>
      <c r="B2434" s="80" t="s">
        <v>2686</v>
      </c>
      <c r="C2434" s="82" t="s">
        <v>7964</v>
      </c>
    </row>
    <row r="2435" spans="1:3" s="79" customFormat="1" ht="68.849999999999994" customHeight="1" x14ac:dyDescent="0.2">
      <c r="A2435" s="81">
        <v>20034253</v>
      </c>
      <c r="B2435" s="80" t="s">
        <v>2694</v>
      </c>
      <c r="C2435" s="80"/>
    </row>
    <row r="2436" spans="1:3" s="79" customFormat="1" ht="19.149999999999999" customHeight="1" x14ac:dyDescent="0.2">
      <c r="A2436" s="81">
        <v>20034256</v>
      </c>
      <c r="B2436" s="80" t="s">
        <v>2695</v>
      </c>
      <c r="C2436" s="80"/>
    </row>
    <row r="2437" spans="1:3" s="79" customFormat="1" ht="19.149999999999999" customHeight="1" x14ac:dyDescent="0.2">
      <c r="A2437" s="81">
        <v>20034257</v>
      </c>
      <c r="B2437" s="80" t="s">
        <v>2696</v>
      </c>
      <c r="C2437" s="80"/>
    </row>
    <row r="2438" spans="1:3" s="79" customFormat="1" ht="19.149999999999999" customHeight="1" x14ac:dyDescent="0.2">
      <c r="A2438" s="81">
        <v>20034269</v>
      </c>
      <c r="B2438" s="80" t="s">
        <v>2687</v>
      </c>
      <c r="C2438" s="81" t="s">
        <v>7965</v>
      </c>
    </row>
    <row r="2439" spans="1:3" s="79" customFormat="1" ht="129" customHeight="1" x14ac:dyDescent="0.2">
      <c r="A2439" s="81">
        <v>20034271</v>
      </c>
      <c r="B2439" s="80" t="s">
        <v>2688</v>
      </c>
      <c r="C2439" s="82" t="s">
        <v>7966</v>
      </c>
    </row>
    <row r="2440" spans="1:3" s="79" customFormat="1" ht="28.7" customHeight="1" x14ac:dyDescent="0.2">
      <c r="A2440" s="81">
        <v>20034272</v>
      </c>
      <c r="B2440" s="80" t="s">
        <v>2689</v>
      </c>
      <c r="C2440" s="82" t="s">
        <v>7967</v>
      </c>
    </row>
    <row r="2441" spans="1:3" s="79" customFormat="1" ht="38.85" customHeight="1" x14ac:dyDescent="0.2">
      <c r="A2441" s="81">
        <v>20034274</v>
      </c>
      <c r="B2441" s="80" t="s">
        <v>2690</v>
      </c>
      <c r="C2441" s="82" t="s">
        <v>7968</v>
      </c>
    </row>
    <row r="2442" spans="1:3" s="79" customFormat="1" ht="28.7" customHeight="1" x14ac:dyDescent="0.2">
      <c r="A2442" s="81">
        <v>20034276</v>
      </c>
      <c r="B2442" s="80" t="s">
        <v>2691</v>
      </c>
      <c r="C2442" s="82" t="s">
        <v>7969</v>
      </c>
    </row>
    <row r="2443" spans="1:3" s="79" customFormat="1" ht="28.7" customHeight="1" x14ac:dyDescent="0.2">
      <c r="A2443" s="81">
        <v>20034278</v>
      </c>
      <c r="B2443" s="80" t="s">
        <v>2692</v>
      </c>
      <c r="C2443" s="82" t="s">
        <v>7970</v>
      </c>
    </row>
    <row r="2444" spans="1:3" s="79" customFormat="1" ht="28.7" customHeight="1" x14ac:dyDescent="0.2">
      <c r="A2444" s="81">
        <v>20034283</v>
      </c>
      <c r="B2444" s="80" t="s">
        <v>2693</v>
      </c>
      <c r="C2444" s="81" t="s">
        <v>7971</v>
      </c>
    </row>
    <row r="2445" spans="1:3" s="79" customFormat="1" ht="179.1" customHeight="1" x14ac:dyDescent="0.2">
      <c r="A2445" s="81">
        <v>20034288</v>
      </c>
      <c r="B2445" s="80" t="s">
        <v>2697</v>
      </c>
      <c r="C2445" s="80"/>
    </row>
    <row r="2446" spans="1:3" s="79" customFormat="1" ht="19.149999999999999" customHeight="1" x14ac:dyDescent="0.2">
      <c r="A2446" s="81">
        <v>20034300</v>
      </c>
      <c r="B2446" s="80" t="s">
        <v>2698</v>
      </c>
      <c r="C2446" s="81" t="s">
        <v>7972</v>
      </c>
    </row>
    <row r="2447" spans="1:3" s="79" customFormat="1" ht="158.85" customHeight="1" x14ac:dyDescent="0.2">
      <c r="A2447" s="81">
        <v>20034301</v>
      </c>
      <c r="B2447" s="80" t="s">
        <v>2702</v>
      </c>
      <c r="C2447" s="82" t="s">
        <v>7973</v>
      </c>
    </row>
    <row r="2448" spans="1:3" s="79" customFormat="1" ht="28.7" customHeight="1" x14ac:dyDescent="0.2">
      <c r="A2448" s="81">
        <v>20034315</v>
      </c>
      <c r="B2448" s="80" t="s">
        <v>2701</v>
      </c>
      <c r="C2448" s="81" t="s">
        <v>7974</v>
      </c>
    </row>
    <row r="2449" spans="1:3" s="79" customFormat="1" ht="239.45" customHeight="1" x14ac:dyDescent="0.2">
      <c r="A2449" s="81">
        <v>20034319</v>
      </c>
      <c r="B2449" s="80" t="s">
        <v>2699</v>
      </c>
      <c r="C2449" s="82" t="s">
        <v>7975</v>
      </c>
    </row>
    <row r="2450" spans="1:3" s="79" customFormat="1" ht="68.849999999999994" customHeight="1" x14ac:dyDescent="0.2">
      <c r="A2450" s="81">
        <v>20034320</v>
      </c>
      <c r="B2450" s="80" t="s">
        <v>2700</v>
      </c>
      <c r="C2450" s="82" t="s">
        <v>7976</v>
      </c>
    </row>
    <row r="2451" spans="1:3" s="79" customFormat="1" ht="59.1" customHeight="1" x14ac:dyDescent="0.2">
      <c r="A2451" s="81">
        <v>20034378</v>
      </c>
      <c r="B2451" s="80" t="s">
        <v>2703</v>
      </c>
      <c r="C2451" s="82" t="s">
        <v>7977</v>
      </c>
    </row>
    <row r="2452" spans="1:3" s="79" customFormat="1" ht="19.149999999999999" customHeight="1" x14ac:dyDescent="0.2">
      <c r="A2452" s="81">
        <v>20034389</v>
      </c>
      <c r="B2452" s="80" t="s">
        <v>2704</v>
      </c>
      <c r="C2452" s="82" t="s">
        <v>7978</v>
      </c>
    </row>
    <row r="2453" spans="1:3" s="79" customFormat="1" ht="28.7" customHeight="1" x14ac:dyDescent="0.2">
      <c r="A2453" s="81">
        <v>20034390</v>
      </c>
      <c r="B2453" s="80" t="s">
        <v>2705</v>
      </c>
      <c r="C2453" s="82" t="s">
        <v>7979</v>
      </c>
    </row>
    <row r="2454" spans="1:3" s="79" customFormat="1" ht="28.7" customHeight="1" x14ac:dyDescent="0.2">
      <c r="A2454" s="81">
        <v>20034391</v>
      </c>
      <c r="B2454" s="80" t="s">
        <v>2706</v>
      </c>
      <c r="C2454" s="82" t="s">
        <v>7980</v>
      </c>
    </row>
    <row r="2455" spans="1:3" s="79" customFormat="1" ht="28.7" customHeight="1" x14ac:dyDescent="0.2">
      <c r="A2455" s="81">
        <v>20034408</v>
      </c>
      <c r="B2455" s="80" t="s">
        <v>2707</v>
      </c>
      <c r="C2455" s="82" t="s">
        <v>7981</v>
      </c>
    </row>
    <row r="2456" spans="1:3" s="79" customFormat="1" ht="59.1" customHeight="1" x14ac:dyDescent="0.2">
      <c r="A2456" s="81">
        <v>20034409</v>
      </c>
      <c r="B2456" s="80" t="s">
        <v>2708</v>
      </c>
      <c r="C2456" s="82" t="s">
        <v>7982</v>
      </c>
    </row>
    <row r="2457" spans="1:3" s="79" customFormat="1" ht="28.7" customHeight="1" x14ac:dyDescent="0.2">
      <c r="A2457" s="81">
        <v>20034410</v>
      </c>
      <c r="B2457" s="80" t="s">
        <v>2709</v>
      </c>
      <c r="C2457" s="82" t="s">
        <v>7983</v>
      </c>
    </row>
    <row r="2458" spans="1:3" s="79" customFormat="1" ht="49.15" customHeight="1" x14ac:dyDescent="0.2">
      <c r="A2458" s="81">
        <v>20034411</v>
      </c>
      <c r="B2458" s="80" t="s">
        <v>2710</v>
      </c>
      <c r="C2458" s="82" t="s">
        <v>7984</v>
      </c>
    </row>
    <row r="2459" spans="1:3" s="79" customFormat="1" ht="49.15" customHeight="1" x14ac:dyDescent="0.2">
      <c r="A2459" s="81">
        <v>20034412</v>
      </c>
      <c r="B2459" s="80" t="s">
        <v>2711</v>
      </c>
      <c r="C2459" s="81" t="s">
        <v>7985</v>
      </c>
    </row>
    <row r="2460" spans="1:3" s="79" customFormat="1" ht="129" customHeight="1" x14ac:dyDescent="0.2">
      <c r="A2460" s="81">
        <v>20034420</v>
      </c>
      <c r="B2460" s="80" t="s">
        <v>2712</v>
      </c>
      <c r="C2460" s="82" t="s">
        <v>7986</v>
      </c>
    </row>
    <row r="2461" spans="1:3" s="79" customFormat="1" ht="59.1" customHeight="1" x14ac:dyDescent="0.2">
      <c r="A2461" s="81">
        <v>20034421</v>
      </c>
      <c r="B2461" s="80" t="s">
        <v>2713</v>
      </c>
      <c r="C2461" s="82" t="s">
        <v>7987</v>
      </c>
    </row>
    <row r="2462" spans="1:3" s="79" customFormat="1" ht="59.1" customHeight="1" x14ac:dyDescent="0.2">
      <c r="A2462" s="81">
        <v>20034424</v>
      </c>
      <c r="B2462" s="80" t="s">
        <v>2714</v>
      </c>
      <c r="C2462" s="82" t="s">
        <v>7988</v>
      </c>
    </row>
    <row r="2463" spans="1:3" s="79" customFormat="1" ht="68.849999999999994" customHeight="1" x14ac:dyDescent="0.2">
      <c r="A2463" s="81">
        <v>20034425</v>
      </c>
      <c r="B2463" s="80" t="s">
        <v>2715</v>
      </c>
      <c r="C2463" s="82" t="s">
        <v>7989</v>
      </c>
    </row>
    <row r="2464" spans="1:3" s="79" customFormat="1" ht="68.849999999999994" customHeight="1" x14ac:dyDescent="0.2">
      <c r="A2464" s="81">
        <v>20034426</v>
      </c>
      <c r="B2464" s="80" t="s">
        <v>2716</v>
      </c>
      <c r="C2464" s="82" t="s">
        <v>7990</v>
      </c>
    </row>
    <row r="2465" spans="1:3" s="79" customFormat="1" ht="59.1" customHeight="1" x14ac:dyDescent="0.2">
      <c r="A2465" s="81">
        <v>20034427</v>
      </c>
      <c r="B2465" s="80" t="s">
        <v>2717</v>
      </c>
      <c r="C2465" s="82" t="s">
        <v>7991</v>
      </c>
    </row>
    <row r="2466" spans="1:3" s="79" customFormat="1" ht="49.15" customHeight="1" x14ac:dyDescent="0.2">
      <c r="A2466" s="81">
        <v>20034428</v>
      </c>
      <c r="B2466" s="80" t="s">
        <v>2718</v>
      </c>
      <c r="C2466" s="82" t="s">
        <v>7992</v>
      </c>
    </row>
    <row r="2467" spans="1:3" s="79" customFormat="1" ht="49.15" customHeight="1" x14ac:dyDescent="0.2">
      <c r="A2467" s="81">
        <v>20034439</v>
      </c>
      <c r="B2467" s="80" t="s">
        <v>2719</v>
      </c>
      <c r="C2467" s="82" t="s">
        <v>7993</v>
      </c>
    </row>
    <row r="2468" spans="1:3" s="79" customFormat="1" ht="78.95" customHeight="1" x14ac:dyDescent="0.2">
      <c r="A2468" s="81">
        <v>20034453</v>
      </c>
      <c r="B2468" s="80" t="s">
        <v>2720</v>
      </c>
      <c r="C2468" s="80"/>
    </row>
    <row r="2469" spans="1:3" s="79" customFormat="1" ht="19.149999999999999" customHeight="1" x14ac:dyDescent="0.2">
      <c r="A2469" s="81">
        <v>20034464</v>
      </c>
      <c r="B2469" s="80" t="s">
        <v>2721</v>
      </c>
      <c r="C2469" s="82" t="s">
        <v>7994</v>
      </c>
    </row>
    <row r="2470" spans="1:3" s="79" customFormat="1" ht="68.849999999999994" customHeight="1" x14ac:dyDescent="0.2">
      <c r="A2470" s="81">
        <v>20034498</v>
      </c>
      <c r="B2470" s="80" t="s">
        <v>2722</v>
      </c>
      <c r="C2470" s="82" t="s">
        <v>7995</v>
      </c>
    </row>
    <row r="2471" spans="1:3" s="79" customFormat="1" ht="49.15" customHeight="1" x14ac:dyDescent="0.2">
      <c r="A2471" s="81">
        <v>20034499</v>
      </c>
      <c r="B2471" s="80" t="s">
        <v>2723</v>
      </c>
      <c r="C2471" s="82" t="s">
        <v>7996</v>
      </c>
    </row>
    <row r="2472" spans="1:3" s="79" customFormat="1" ht="49.15" customHeight="1" x14ac:dyDescent="0.2">
      <c r="A2472" s="81">
        <v>20034501</v>
      </c>
      <c r="B2472" s="80" t="s">
        <v>2725</v>
      </c>
      <c r="C2472" s="82" t="s">
        <v>7997</v>
      </c>
    </row>
    <row r="2473" spans="1:3" s="79" customFormat="1" ht="38.85" customHeight="1" x14ac:dyDescent="0.2">
      <c r="A2473" s="81">
        <v>20034508</v>
      </c>
      <c r="B2473" s="80" t="s">
        <v>2724</v>
      </c>
      <c r="C2473" s="81" t="s">
        <v>7998</v>
      </c>
    </row>
    <row r="2474" spans="1:3" s="79" customFormat="1" ht="109.35" customHeight="1" x14ac:dyDescent="0.2">
      <c r="A2474" s="81">
        <v>20034534</v>
      </c>
      <c r="B2474" s="80" t="s">
        <v>2726</v>
      </c>
      <c r="C2474" s="81" t="s">
        <v>7999</v>
      </c>
    </row>
    <row r="2475" spans="1:3" s="79" customFormat="1" ht="59.1" customHeight="1" x14ac:dyDescent="0.2">
      <c r="A2475" s="81">
        <v>20034539</v>
      </c>
      <c r="B2475" s="80" t="s">
        <v>2727</v>
      </c>
      <c r="C2475" s="82" t="s">
        <v>8000</v>
      </c>
    </row>
    <row r="2476" spans="1:3" s="79" customFormat="1" ht="49.15" customHeight="1" x14ac:dyDescent="0.2">
      <c r="A2476" s="81">
        <v>20034548</v>
      </c>
      <c r="B2476" s="80" t="s">
        <v>2728</v>
      </c>
      <c r="C2476" s="81" t="s">
        <v>8001</v>
      </c>
    </row>
    <row r="2477" spans="1:3" s="79" customFormat="1" ht="109.35" customHeight="1" x14ac:dyDescent="0.2">
      <c r="A2477" s="81">
        <v>20034558</v>
      </c>
      <c r="B2477" s="80" t="s">
        <v>2729</v>
      </c>
      <c r="C2477" s="81" t="s">
        <v>8002</v>
      </c>
    </row>
    <row r="2478" spans="1:3" s="79" customFormat="1" ht="89.1" customHeight="1" x14ac:dyDescent="0.2">
      <c r="A2478" s="81">
        <v>20034559</v>
      </c>
      <c r="B2478" s="80" t="s">
        <v>2730</v>
      </c>
      <c r="C2478" s="81" t="s">
        <v>8003</v>
      </c>
    </row>
    <row r="2479" spans="1:3" s="79" customFormat="1" ht="158.85" customHeight="1" x14ac:dyDescent="0.2">
      <c r="A2479" s="81">
        <v>20034560</v>
      </c>
      <c r="B2479" s="80" t="s">
        <v>2735</v>
      </c>
      <c r="C2479" s="82" t="s">
        <v>8004</v>
      </c>
    </row>
    <row r="2480" spans="1:3" s="79" customFormat="1" ht="49.15" customHeight="1" x14ac:dyDescent="0.2">
      <c r="A2480" s="81">
        <v>20034561</v>
      </c>
      <c r="B2480" s="80" t="s">
        <v>2736</v>
      </c>
      <c r="C2480" s="82" t="s">
        <v>8005</v>
      </c>
    </row>
    <row r="2481" spans="1:3" s="79" customFormat="1" ht="28.7" customHeight="1" x14ac:dyDescent="0.2">
      <c r="A2481" s="81">
        <v>20034578</v>
      </c>
      <c r="B2481" s="80" t="s">
        <v>2731</v>
      </c>
      <c r="C2481" s="82" t="s">
        <v>8006</v>
      </c>
    </row>
    <row r="2482" spans="1:3" s="79" customFormat="1" ht="109.35" customHeight="1" x14ac:dyDescent="0.2">
      <c r="A2482" s="81">
        <v>20034579</v>
      </c>
      <c r="B2482" s="80" t="s">
        <v>2732</v>
      </c>
      <c r="C2482" s="82" t="s">
        <v>8007</v>
      </c>
    </row>
    <row r="2483" spans="1:3" s="79" customFormat="1" ht="109.35" customHeight="1" x14ac:dyDescent="0.2">
      <c r="A2483" s="81">
        <v>20034580</v>
      </c>
      <c r="B2483" s="80" t="s">
        <v>2733</v>
      </c>
      <c r="C2483" s="82" t="s">
        <v>8008</v>
      </c>
    </row>
    <row r="2484" spans="1:3" s="79" customFormat="1" ht="129" customHeight="1" x14ac:dyDescent="0.2">
      <c r="A2484" s="81">
        <v>20034581</v>
      </c>
      <c r="B2484" s="80" t="s">
        <v>2734</v>
      </c>
      <c r="C2484" s="82" t="s">
        <v>8009</v>
      </c>
    </row>
    <row r="2485" spans="1:3" s="79" customFormat="1" ht="129" customHeight="1" x14ac:dyDescent="0.2">
      <c r="A2485" s="81">
        <v>20034598</v>
      </c>
      <c r="B2485" s="80" t="s">
        <v>2737</v>
      </c>
      <c r="C2485" s="81" t="s">
        <v>8010</v>
      </c>
    </row>
    <row r="2486" spans="1:3" s="79" customFormat="1" ht="139.15" customHeight="1" x14ac:dyDescent="0.2">
      <c r="A2486" s="81">
        <v>20034599</v>
      </c>
      <c r="B2486" s="80" t="s">
        <v>2738</v>
      </c>
      <c r="C2486" s="82" t="s">
        <v>8011</v>
      </c>
    </row>
    <row r="2487" spans="1:3" s="79" customFormat="1" ht="28.7" customHeight="1" x14ac:dyDescent="0.2">
      <c r="A2487" s="81">
        <v>20034649</v>
      </c>
      <c r="B2487" s="80" t="s">
        <v>2739</v>
      </c>
      <c r="C2487" s="81" t="s">
        <v>8012</v>
      </c>
    </row>
    <row r="2488" spans="1:3" s="79" customFormat="1" ht="139.15" customHeight="1" x14ac:dyDescent="0.2">
      <c r="A2488" s="81">
        <v>20034661</v>
      </c>
      <c r="B2488" s="80" t="s">
        <v>2740</v>
      </c>
      <c r="C2488" s="82" t="s">
        <v>8013</v>
      </c>
    </row>
    <row r="2489" spans="1:3" s="79" customFormat="1" ht="28.7" customHeight="1" x14ac:dyDescent="0.2">
      <c r="A2489" s="81">
        <v>20034678</v>
      </c>
      <c r="B2489" s="80" t="s">
        <v>2741</v>
      </c>
      <c r="C2489" s="82" t="s">
        <v>8014</v>
      </c>
    </row>
    <row r="2490" spans="1:3" s="79" customFormat="1" ht="28.7" customHeight="1" x14ac:dyDescent="0.2">
      <c r="A2490" s="81">
        <v>20034692</v>
      </c>
      <c r="B2490" s="80" t="s">
        <v>2742</v>
      </c>
      <c r="C2490" s="81" t="s">
        <v>8015</v>
      </c>
    </row>
    <row r="2491" spans="1:3" s="79" customFormat="1" ht="129" customHeight="1" x14ac:dyDescent="0.2">
      <c r="A2491" s="81">
        <v>20034708</v>
      </c>
      <c r="B2491" s="80" t="s">
        <v>2743</v>
      </c>
      <c r="C2491" s="82" t="s">
        <v>8016</v>
      </c>
    </row>
    <row r="2492" spans="1:3" s="79" customFormat="1" ht="68.849999999999994" customHeight="1" x14ac:dyDescent="0.2">
      <c r="A2492" s="81">
        <v>20034719</v>
      </c>
      <c r="B2492" s="80" t="s">
        <v>2747</v>
      </c>
      <c r="C2492" s="82" t="s">
        <v>8017</v>
      </c>
    </row>
    <row r="2493" spans="1:3" s="79" customFormat="1" ht="118.9" customHeight="1" x14ac:dyDescent="0.2">
      <c r="A2493" s="81">
        <v>20034729</v>
      </c>
      <c r="B2493" s="80" t="s">
        <v>2745</v>
      </c>
      <c r="C2493" s="82" t="s">
        <v>8018</v>
      </c>
    </row>
    <row r="2494" spans="1:3" s="79" customFormat="1" ht="78.95" customHeight="1" x14ac:dyDescent="0.2">
      <c r="A2494" s="81">
        <v>20034730</v>
      </c>
      <c r="B2494" s="80" t="s">
        <v>2746</v>
      </c>
      <c r="C2494" s="82" t="s">
        <v>8019</v>
      </c>
    </row>
    <row r="2495" spans="1:3" s="79" customFormat="1" ht="49.15" customHeight="1" x14ac:dyDescent="0.2">
      <c r="A2495" s="81">
        <v>20034731</v>
      </c>
      <c r="B2495" s="80" t="s">
        <v>2749</v>
      </c>
      <c r="C2495" s="82" t="s">
        <v>8020</v>
      </c>
    </row>
    <row r="2496" spans="1:3" s="79" customFormat="1" ht="28.7" customHeight="1" x14ac:dyDescent="0.2">
      <c r="A2496" s="81">
        <v>20034732</v>
      </c>
      <c r="B2496" s="80" t="s">
        <v>2751</v>
      </c>
      <c r="C2496" s="80" t="s">
        <v>8021</v>
      </c>
    </row>
    <row r="2497" spans="1:3" s="79" customFormat="1" ht="19.149999999999999" customHeight="1" x14ac:dyDescent="0.2">
      <c r="A2497" s="81">
        <v>20034738</v>
      </c>
      <c r="B2497" s="80" t="s">
        <v>2748</v>
      </c>
      <c r="C2497" s="82" t="s">
        <v>8022</v>
      </c>
    </row>
    <row r="2498" spans="1:3" s="79" customFormat="1" ht="49.15" customHeight="1" x14ac:dyDescent="0.2">
      <c r="A2498" s="81">
        <v>20034748</v>
      </c>
      <c r="B2498" s="80" t="s">
        <v>2750</v>
      </c>
      <c r="C2498" s="82" t="s">
        <v>8023</v>
      </c>
    </row>
    <row r="2499" spans="1:3" s="79" customFormat="1" ht="59.1" customHeight="1" x14ac:dyDescent="0.2">
      <c r="A2499" s="81">
        <v>20034749</v>
      </c>
      <c r="B2499" s="80" t="s">
        <v>2753</v>
      </c>
      <c r="C2499" s="81" t="s">
        <v>8024</v>
      </c>
    </row>
    <row r="2500" spans="1:3" s="79" customFormat="1" ht="78.95" customHeight="1" x14ac:dyDescent="0.2">
      <c r="A2500" s="81">
        <v>20034750</v>
      </c>
      <c r="B2500" s="80" t="s">
        <v>2754</v>
      </c>
      <c r="C2500" s="82" t="s">
        <v>8025</v>
      </c>
    </row>
    <row r="2501" spans="1:3" s="79" customFormat="1" ht="38.85" customHeight="1" x14ac:dyDescent="0.2">
      <c r="A2501" s="81">
        <v>20034751</v>
      </c>
      <c r="B2501" s="80" t="s">
        <v>2755</v>
      </c>
      <c r="C2501" s="82" t="s">
        <v>8026</v>
      </c>
    </row>
    <row r="2502" spans="1:3" s="79" customFormat="1" ht="38.85" customHeight="1" x14ac:dyDescent="0.2">
      <c r="A2502" s="81">
        <v>20034752</v>
      </c>
      <c r="B2502" s="80" t="s">
        <v>2756</v>
      </c>
      <c r="C2502" s="82" t="s">
        <v>8027</v>
      </c>
    </row>
    <row r="2503" spans="1:3" s="79" customFormat="1" ht="38.85" customHeight="1" x14ac:dyDescent="0.2">
      <c r="A2503" s="81">
        <v>20034753</v>
      </c>
      <c r="B2503" s="80" t="s">
        <v>2757</v>
      </c>
      <c r="C2503" s="82" t="s">
        <v>8028</v>
      </c>
    </row>
    <row r="2504" spans="1:3" s="79" customFormat="1" ht="38.85" customHeight="1" x14ac:dyDescent="0.2">
      <c r="A2504" s="81">
        <v>20034754</v>
      </c>
      <c r="B2504" s="80" t="s">
        <v>2758</v>
      </c>
      <c r="C2504" s="82" t="s">
        <v>8029</v>
      </c>
    </row>
    <row r="2505" spans="1:3" s="79" customFormat="1" ht="38.85" customHeight="1" x14ac:dyDescent="0.2">
      <c r="A2505" s="81">
        <v>20034755</v>
      </c>
      <c r="B2505" s="80" t="s">
        <v>2759</v>
      </c>
      <c r="C2505" s="82" t="s">
        <v>8030</v>
      </c>
    </row>
    <row r="2506" spans="1:3" s="79" customFormat="1" ht="68.849999999999994" customHeight="1" x14ac:dyDescent="0.2">
      <c r="A2506" s="81">
        <v>20034756</v>
      </c>
      <c r="B2506" s="80" t="s">
        <v>2760</v>
      </c>
      <c r="C2506" s="82" t="s">
        <v>8031</v>
      </c>
    </row>
    <row r="2507" spans="1:3" s="79" customFormat="1" ht="59.1" customHeight="1" x14ac:dyDescent="0.2">
      <c r="A2507" s="81">
        <v>20034757</v>
      </c>
      <c r="B2507" s="80" t="s">
        <v>2761</v>
      </c>
      <c r="C2507" s="82" t="s">
        <v>8032</v>
      </c>
    </row>
    <row r="2508" spans="1:3" s="79" customFormat="1" ht="99.2" customHeight="1" x14ac:dyDescent="0.2">
      <c r="A2508" s="81">
        <v>20034760</v>
      </c>
      <c r="B2508" s="80" t="s">
        <v>2752</v>
      </c>
      <c r="C2508" s="82" t="s">
        <v>8033</v>
      </c>
    </row>
    <row r="2509" spans="1:3" s="79" customFormat="1" ht="59.1" customHeight="1" x14ac:dyDescent="0.2">
      <c r="A2509" s="81">
        <v>20034763</v>
      </c>
      <c r="B2509" s="80" t="s">
        <v>2763</v>
      </c>
      <c r="C2509" s="82" t="s">
        <v>8034</v>
      </c>
    </row>
    <row r="2510" spans="1:3" s="79" customFormat="1" ht="59.1" customHeight="1" x14ac:dyDescent="0.2">
      <c r="A2510" s="81">
        <v>20034768</v>
      </c>
      <c r="B2510" s="80" t="s">
        <v>2762</v>
      </c>
      <c r="C2510" s="82" t="s">
        <v>8035</v>
      </c>
    </row>
    <row r="2511" spans="1:3" s="79" customFormat="1" ht="38.85" customHeight="1" x14ac:dyDescent="0.2">
      <c r="A2511" s="81">
        <v>20034779</v>
      </c>
      <c r="B2511" s="80" t="s">
        <v>11251</v>
      </c>
      <c r="C2511" s="80" t="s">
        <v>8036</v>
      </c>
    </row>
    <row r="2512" spans="1:3" s="79" customFormat="1" ht="19.149999999999999" customHeight="1" x14ac:dyDescent="0.2">
      <c r="A2512" s="81">
        <v>20034780</v>
      </c>
      <c r="B2512" s="80" t="s">
        <v>11252</v>
      </c>
      <c r="C2512" s="80" t="s">
        <v>8037</v>
      </c>
    </row>
    <row r="2513" spans="1:3" s="79" customFormat="1" ht="19.149999999999999" customHeight="1" x14ac:dyDescent="0.2">
      <c r="A2513" s="81">
        <v>20034781</v>
      </c>
      <c r="B2513" s="80" t="s">
        <v>11253</v>
      </c>
      <c r="C2513" s="80" t="s">
        <v>8038</v>
      </c>
    </row>
    <row r="2514" spans="1:3" s="79" customFormat="1" ht="19.149999999999999" customHeight="1" x14ac:dyDescent="0.2">
      <c r="A2514" s="81">
        <v>20034789</v>
      </c>
      <c r="B2514" s="80" t="s">
        <v>2764</v>
      </c>
      <c r="C2514" s="82" t="s">
        <v>8039</v>
      </c>
    </row>
    <row r="2515" spans="1:3" s="79" customFormat="1" ht="49.15" customHeight="1" x14ac:dyDescent="0.2">
      <c r="A2515" s="81">
        <v>20034791</v>
      </c>
      <c r="B2515" s="80" t="s">
        <v>2765</v>
      </c>
      <c r="C2515" s="82" t="s">
        <v>8040</v>
      </c>
    </row>
    <row r="2516" spans="1:3" s="79" customFormat="1" ht="59.1" customHeight="1" x14ac:dyDescent="0.2">
      <c r="A2516" s="81">
        <v>20034794</v>
      </c>
      <c r="B2516" s="80" t="s">
        <v>2766</v>
      </c>
      <c r="C2516" s="82" t="s">
        <v>8041</v>
      </c>
    </row>
    <row r="2517" spans="1:3" s="79" customFormat="1" ht="49.15" customHeight="1" x14ac:dyDescent="0.2">
      <c r="A2517" s="81">
        <v>20034795</v>
      </c>
      <c r="B2517" s="80" t="s">
        <v>2767</v>
      </c>
      <c r="C2517" s="82" t="s">
        <v>8042</v>
      </c>
    </row>
    <row r="2518" spans="1:3" s="79" customFormat="1" ht="49.15" customHeight="1" x14ac:dyDescent="0.2">
      <c r="A2518" s="81">
        <v>20034808</v>
      </c>
      <c r="B2518" s="80" t="s">
        <v>2768</v>
      </c>
      <c r="C2518" s="82" t="s">
        <v>8043</v>
      </c>
    </row>
    <row r="2519" spans="1:3" s="79" customFormat="1" ht="38.85" customHeight="1" x14ac:dyDescent="0.2">
      <c r="A2519" s="81">
        <v>20034818</v>
      </c>
      <c r="B2519" s="80" t="s">
        <v>2769</v>
      </c>
      <c r="C2519" s="81" t="s">
        <v>8044</v>
      </c>
    </row>
    <row r="2520" spans="1:3" s="79" customFormat="1" ht="139.15" customHeight="1" x14ac:dyDescent="0.2">
      <c r="A2520" s="81">
        <v>20034828</v>
      </c>
      <c r="B2520" s="80" t="s">
        <v>2770</v>
      </c>
      <c r="C2520" s="81" t="s">
        <v>8045</v>
      </c>
    </row>
    <row r="2521" spans="1:3" s="79" customFormat="1" ht="158.85" customHeight="1" x14ac:dyDescent="0.2">
      <c r="A2521" s="81">
        <v>20034838</v>
      </c>
      <c r="B2521" s="80" t="s">
        <v>2771</v>
      </c>
      <c r="C2521" s="82" t="s">
        <v>8046</v>
      </c>
    </row>
    <row r="2522" spans="1:3" s="79" customFormat="1" ht="78.95" customHeight="1" x14ac:dyDescent="0.2">
      <c r="A2522" s="81">
        <v>20034839</v>
      </c>
      <c r="B2522" s="80" t="s">
        <v>2772</v>
      </c>
      <c r="C2522" s="82" t="s">
        <v>8047</v>
      </c>
    </row>
    <row r="2523" spans="1:3" s="79" customFormat="1" ht="78.95" customHeight="1" x14ac:dyDescent="0.2">
      <c r="A2523" s="81">
        <v>20034840</v>
      </c>
      <c r="B2523" s="80" t="s">
        <v>2773</v>
      </c>
      <c r="C2523" s="82" t="s">
        <v>8048</v>
      </c>
    </row>
    <row r="2524" spans="1:3" s="79" customFormat="1" ht="78.95" customHeight="1" x14ac:dyDescent="0.2">
      <c r="A2524" s="81">
        <v>20034841</v>
      </c>
      <c r="B2524" s="80" t="s">
        <v>2774</v>
      </c>
      <c r="C2524" s="82" t="s">
        <v>8049</v>
      </c>
    </row>
    <row r="2525" spans="1:3" s="79" customFormat="1" ht="78.95" customHeight="1" x14ac:dyDescent="0.2">
      <c r="A2525" s="81">
        <v>20034860</v>
      </c>
      <c r="B2525" s="80" t="s">
        <v>2808</v>
      </c>
      <c r="C2525" s="82" t="s">
        <v>8050</v>
      </c>
    </row>
    <row r="2526" spans="1:3" s="79" customFormat="1" ht="19.149999999999999" customHeight="1" x14ac:dyDescent="0.2">
      <c r="A2526" s="81">
        <v>20034861</v>
      </c>
      <c r="B2526" s="80" t="s">
        <v>2809</v>
      </c>
      <c r="C2526" s="82" t="s">
        <v>8051</v>
      </c>
    </row>
    <row r="2527" spans="1:3" s="79" customFormat="1" ht="19.149999999999999" customHeight="1" x14ac:dyDescent="0.2">
      <c r="A2527" s="81">
        <v>20034862</v>
      </c>
      <c r="B2527" s="80" t="s">
        <v>2810</v>
      </c>
      <c r="C2527" s="82" t="s">
        <v>8052</v>
      </c>
    </row>
    <row r="2528" spans="1:3" s="79" customFormat="1" ht="19.149999999999999" customHeight="1" x14ac:dyDescent="0.2">
      <c r="A2528" s="81">
        <v>20034868</v>
      </c>
      <c r="B2528" s="80" t="s">
        <v>2775</v>
      </c>
      <c r="C2528" s="81" t="s">
        <v>8053</v>
      </c>
    </row>
    <row r="2529" spans="1:3" s="79" customFormat="1" ht="129" customHeight="1" x14ac:dyDescent="0.2">
      <c r="A2529" s="81">
        <v>20034869</v>
      </c>
      <c r="B2529" s="80" t="s">
        <v>2776</v>
      </c>
      <c r="C2529" s="82" t="s">
        <v>8054</v>
      </c>
    </row>
    <row r="2530" spans="1:3" s="79" customFormat="1" ht="89.1" customHeight="1" x14ac:dyDescent="0.2">
      <c r="A2530" s="81">
        <v>20034870</v>
      </c>
      <c r="B2530" s="80" t="s">
        <v>2777</v>
      </c>
      <c r="C2530" s="82" t="s">
        <v>8055</v>
      </c>
    </row>
    <row r="2531" spans="1:3" s="79" customFormat="1" ht="59.1" customHeight="1" x14ac:dyDescent="0.2">
      <c r="A2531" s="81">
        <v>20034871</v>
      </c>
      <c r="B2531" s="80" t="s">
        <v>2778</v>
      </c>
      <c r="C2531" s="82" t="s">
        <v>8056</v>
      </c>
    </row>
    <row r="2532" spans="1:3" s="79" customFormat="1" ht="78.95" customHeight="1" x14ac:dyDescent="0.2">
      <c r="A2532" s="81">
        <v>20034872</v>
      </c>
      <c r="B2532" s="80" t="s">
        <v>2779</v>
      </c>
      <c r="C2532" s="82" t="s">
        <v>8057</v>
      </c>
    </row>
    <row r="2533" spans="1:3" s="79" customFormat="1" ht="78.95" customHeight="1" x14ac:dyDescent="0.2">
      <c r="A2533" s="81">
        <v>20034873</v>
      </c>
      <c r="B2533" s="80" t="s">
        <v>2780</v>
      </c>
      <c r="C2533" s="82" t="s">
        <v>8058</v>
      </c>
    </row>
    <row r="2534" spans="1:3" s="79" customFormat="1" ht="78.95" customHeight="1" x14ac:dyDescent="0.2">
      <c r="A2534" s="81">
        <v>20034874</v>
      </c>
      <c r="B2534" s="80" t="s">
        <v>2781</v>
      </c>
      <c r="C2534" s="82" t="s">
        <v>8059</v>
      </c>
    </row>
    <row r="2535" spans="1:3" s="79" customFormat="1" ht="78.95" customHeight="1" x14ac:dyDescent="0.2">
      <c r="A2535" s="81">
        <v>20034875</v>
      </c>
      <c r="B2535" s="80" t="s">
        <v>2782</v>
      </c>
      <c r="C2535" s="82" t="s">
        <v>8060</v>
      </c>
    </row>
    <row r="2536" spans="1:3" s="79" customFormat="1" ht="78.95" customHeight="1" x14ac:dyDescent="0.2">
      <c r="A2536" s="81">
        <v>20034876</v>
      </c>
      <c r="B2536" s="80" t="s">
        <v>2783</v>
      </c>
      <c r="C2536" s="82" t="s">
        <v>8061</v>
      </c>
    </row>
    <row r="2537" spans="1:3" s="79" customFormat="1" ht="89.1" customHeight="1" x14ac:dyDescent="0.2">
      <c r="A2537" s="81">
        <v>20034878</v>
      </c>
      <c r="B2537" s="80" t="s">
        <v>2784</v>
      </c>
      <c r="C2537" s="82" t="s">
        <v>8062</v>
      </c>
    </row>
    <row r="2538" spans="1:3" s="79" customFormat="1" ht="78.95" customHeight="1" x14ac:dyDescent="0.2">
      <c r="A2538" s="81">
        <v>20034879</v>
      </c>
      <c r="B2538" s="80" t="s">
        <v>2785</v>
      </c>
      <c r="C2538" s="82" t="s">
        <v>8063</v>
      </c>
    </row>
    <row r="2539" spans="1:3" s="79" customFormat="1" ht="78.95" customHeight="1" x14ac:dyDescent="0.2">
      <c r="A2539" s="81">
        <v>20034880</v>
      </c>
      <c r="B2539" s="80" t="s">
        <v>2786</v>
      </c>
      <c r="C2539" s="82" t="s">
        <v>8064</v>
      </c>
    </row>
    <row r="2540" spans="1:3" s="79" customFormat="1" ht="78.95" customHeight="1" x14ac:dyDescent="0.2">
      <c r="A2540" s="81">
        <v>20034881</v>
      </c>
      <c r="B2540" s="80" t="s">
        <v>2787</v>
      </c>
      <c r="C2540" s="82" t="s">
        <v>8065</v>
      </c>
    </row>
    <row r="2541" spans="1:3" s="79" customFormat="1" ht="78.95" customHeight="1" x14ac:dyDescent="0.2">
      <c r="A2541" s="81">
        <v>20034882</v>
      </c>
      <c r="B2541" s="80" t="s">
        <v>2788</v>
      </c>
      <c r="C2541" s="82" t="s">
        <v>8066</v>
      </c>
    </row>
    <row r="2542" spans="1:3" s="79" customFormat="1" ht="78.95" customHeight="1" x14ac:dyDescent="0.2">
      <c r="A2542" s="81">
        <v>20034883</v>
      </c>
      <c r="B2542" s="80" t="s">
        <v>2789</v>
      </c>
      <c r="C2542" s="82" t="s">
        <v>8067</v>
      </c>
    </row>
    <row r="2543" spans="1:3" s="79" customFormat="1" ht="89.1" customHeight="1" x14ac:dyDescent="0.2">
      <c r="A2543" s="81">
        <v>20034884</v>
      </c>
      <c r="B2543" s="80" t="s">
        <v>2790</v>
      </c>
      <c r="C2543" s="82" t="s">
        <v>8068</v>
      </c>
    </row>
    <row r="2544" spans="1:3" s="79" customFormat="1" ht="89.1" customHeight="1" x14ac:dyDescent="0.2">
      <c r="A2544" s="81">
        <v>20034885</v>
      </c>
      <c r="B2544" s="80" t="s">
        <v>2791</v>
      </c>
      <c r="C2544" s="81" t="s">
        <v>8069</v>
      </c>
    </row>
    <row r="2545" spans="1:3" s="79" customFormat="1" ht="118.9" customHeight="1" x14ac:dyDescent="0.2">
      <c r="A2545" s="81">
        <v>20034886</v>
      </c>
      <c r="B2545" s="80" t="s">
        <v>2792</v>
      </c>
      <c r="C2545" s="81" t="s">
        <v>8070</v>
      </c>
    </row>
    <row r="2546" spans="1:3" s="79" customFormat="1" ht="118.9" customHeight="1" x14ac:dyDescent="0.2">
      <c r="A2546" s="81">
        <v>20034887</v>
      </c>
      <c r="B2546" s="80" t="s">
        <v>2793</v>
      </c>
      <c r="C2546" s="81" t="s">
        <v>8071</v>
      </c>
    </row>
    <row r="2547" spans="1:3" s="79" customFormat="1" ht="118.9" customHeight="1" x14ac:dyDescent="0.2">
      <c r="A2547" s="81">
        <v>20034888</v>
      </c>
      <c r="B2547" s="80" t="s">
        <v>2794</v>
      </c>
      <c r="C2547" s="82" t="s">
        <v>8072</v>
      </c>
    </row>
    <row r="2548" spans="1:3" s="79" customFormat="1" ht="99.2" customHeight="1" x14ac:dyDescent="0.2">
      <c r="A2548" s="81">
        <v>20034889</v>
      </c>
      <c r="B2548" s="80" t="s">
        <v>2795</v>
      </c>
      <c r="C2548" s="82" t="s">
        <v>8073</v>
      </c>
    </row>
    <row r="2549" spans="1:3" s="79" customFormat="1" ht="78.95" customHeight="1" x14ac:dyDescent="0.2">
      <c r="A2549" s="81">
        <v>20034890</v>
      </c>
      <c r="B2549" s="80" t="s">
        <v>2796</v>
      </c>
      <c r="C2549" s="82" t="s">
        <v>8074</v>
      </c>
    </row>
    <row r="2550" spans="1:3" s="79" customFormat="1" ht="78.95" customHeight="1" x14ac:dyDescent="0.2">
      <c r="A2550" s="81">
        <v>20034891</v>
      </c>
      <c r="B2550" s="80" t="s">
        <v>2797</v>
      </c>
      <c r="C2550" s="82" t="s">
        <v>8075</v>
      </c>
    </row>
    <row r="2551" spans="1:3" s="79" customFormat="1" ht="89.1" customHeight="1" x14ac:dyDescent="0.2">
      <c r="A2551" s="81">
        <v>20034892</v>
      </c>
      <c r="B2551" s="80" t="s">
        <v>2798</v>
      </c>
      <c r="C2551" s="82" t="s">
        <v>8076</v>
      </c>
    </row>
    <row r="2552" spans="1:3" s="79" customFormat="1" ht="89.1" customHeight="1" x14ac:dyDescent="0.2">
      <c r="A2552" s="81">
        <v>20034893</v>
      </c>
      <c r="B2552" s="80" t="s">
        <v>2799</v>
      </c>
      <c r="C2552" s="81" t="s">
        <v>8077</v>
      </c>
    </row>
    <row r="2553" spans="1:3" s="79" customFormat="1" ht="118.9" customHeight="1" x14ac:dyDescent="0.2">
      <c r="A2553" s="81">
        <v>20034894</v>
      </c>
      <c r="B2553" s="80" t="s">
        <v>2800</v>
      </c>
      <c r="C2553" s="81" t="s">
        <v>8078</v>
      </c>
    </row>
    <row r="2554" spans="1:3" s="79" customFormat="1" ht="109.35" customHeight="1" x14ac:dyDescent="0.2">
      <c r="A2554" s="81">
        <v>20034895</v>
      </c>
      <c r="B2554" s="80" t="s">
        <v>2801</v>
      </c>
      <c r="C2554" s="81" t="s">
        <v>8079</v>
      </c>
    </row>
    <row r="2555" spans="1:3" s="79" customFormat="1" ht="109.35" customHeight="1" x14ac:dyDescent="0.2">
      <c r="A2555" s="81">
        <v>20034896</v>
      </c>
      <c r="B2555" s="80" t="s">
        <v>2802</v>
      </c>
      <c r="C2555" s="82" t="s">
        <v>8080</v>
      </c>
    </row>
    <row r="2556" spans="1:3" s="79" customFormat="1" ht="89.1" customHeight="1" x14ac:dyDescent="0.2">
      <c r="A2556" s="81">
        <v>20034897</v>
      </c>
      <c r="B2556" s="80" t="s">
        <v>2803</v>
      </c>
      <c r="C2556" s="82" t="s">
        <v>8081</v>
      </c>
    </row>
    <row r="2557" spans="1:3" s="79" customFormat="1" ht="78.95" customHeight="1" x14ac:dyDescent="0.2">
      <c r="A2557" s="81">
        <v>20034898</v>
      </c>
      <c r="B2557" s="80" t="s">
        <v>2804</v>
      </c>
      <c r="C2557" s="82" t="s">
        <v>8082</v>
      </c>
    </row>
    <row r="2558" spans="1:3" s="79" customFormat="1" ht="78.95" customHeight="1" x14ac:dyDescent="0.2">
      <c r="A2558" s="81">
        <v>20034909</v>
      </c>
      <c r="B2558" s="80" t="s">
        <v>2805</v>
      </c>
      <c r="C2558" s="82" t="s">
        <v>8083</v>
      </c>
    </row>
    <row r="2559" spans="1:3" s="79" customFormat="1" ht="38.85" customHeight="1" x14ac:dyDescent="0.2">
      <c r="A2559" s="81">
        <v>20034910</v>
      </c>
      <c r="B2559" s="80" t="s">
        <v>2806</v>
      </c>
      <c r="C2559" s="81" t="s">
        <v>8084</v>
      </c>
    </row>
    <row r="2560" spans="1:3" s="79" customFormat="1" ht="99.2" customHeight="1" x14ac:dyDescent="0.2">
      <c r="A2560" s="81">
        <v>20034911</v>
      </c>
      <c r="B2560" s="80" t="s">
        <v>2811</v>
      </c>
      <c r="C2560" s="82" t="s">
        <v>11373</v>
      </c>
    </row>
    <row r="2561" spans="1:3" s="79" customFormat="1" ht="59.1" customHeight="1" x14ac:dyDescent="0.2">
      <c r="A2561" s="81">
        <v>20034913</v>
      </c>
      <c r="B2561" s="80" t="s">
        <v>2812</v>
      </c>
      <c r="C2561" s="82" t="s">
        <v>11424</v>
      </c>
    </row>
    <row r="2562" spans="1:3" s="79" customFormat="1" ht="59.1" customHeight="1" x14ac:dyDescent="0.2">
      <c r="A2562" s="81">
        <v>20034920</v>
      </c>
      <c r="B2562" s="80" t="s">
        <v>2807</v>
      </c>
      <c r="C2562" s="82" t="s">
        <v>8085</v>
      </c>
    </row>
    <row r="2563" spans="1:3" s="79" customFormat="1" ht="28.7" customHeight="1" x14ac:dyDescent="0.2">
      <c r="A2563" s="81">
        <v>20034928</v>
      </c>
      <c r="B2563" s="80" t="s">
        <v>2813</v>
      </c>
      <c r="C2563" s="80"/>
    </row>
    <row r="2564" spans="1:3" s="79" customFormat="1" ht="19.149999999999999" customHeight="1" x14ac:dyDescent="0.2">
      <c r="A2564" s="81">
        <v>20034929</v>
      </c>
      <c r="B2564" s="80" t="s">
        <v>2814</v>
      </c>
      <c r="C2564" s="82" t="s">
        <v>8086</v>
      </c>
    </row>
    <row r="2565" spans="1:3" s="79" customFormat="1" ht="89.1" customHeight="1" x14ac:dyDescent="0.2">
      <c r="A2565" s="81">
        <v>20034938</v>
      </c>
      <c r="B2565" s="80" t="s">
        <v>2815</v>
      </c>
      <c r="C2565" s="82" t="s">
        <v>8087</v>
      </c>
    </row>
    <row r="2566" spans="1:3" s="79" customFormat="1" ht="38.85" customHeight="1" x14ac:dyDescent="0.2">
      <c r="A2566" s="81">
        <v>20034949</v>
      </c>
      <c r="B2566" s="80" t="s">
        <v>2816</v>
      </c>
      <c r="C2566" s="81" t="s">
        <v>8088</v>
      </c>
    </row>
    <row r="2567" spans="1:3" s="79" customFormat="1" ht="179.1" customHeight="1" x14ac:dyDescent="0.2">
      <c r="A2567" s="81">
        <v>20034950</v>
      </c>
      <c r="B2567" s="80" t="s">
        <v>2817</v>
      </c>
      <c r="C2567" s="81" t="s">
        <v>8089</v>
      </c>
    </row>
    <row r="2568" spans="1:3" s="79" customFormat="1" ht="68.849999999999994" customHeight="1" x14ac:dyDescent="0.2">
      <c r="A2568" s="81">
        <v>20034951</v>
      </c>
      <c r="B2568" s="80" t="s">
        <v>2818</v>
      </c>
      <c r="C2568" s="81" t="s">
        <v>8090</v>
      </c>
    </row>
    <row r="2569" spans="1:3" s="79" customFormat="1" ht="68.849999999999994" customHeight="1" x14ac:dyDescent="0.2">
      <c r="A2569" s="81">
        <v>20034952</v>
      </c>
      <c r="B2569" s="80" t="s">
        <v>2851</v>
      </c>
      <c r="C2569" s="82" t="s">
        <v>8091</v>
      </c>
    </row>
    <row r="2570" spans="1:3" s="79" customFormat="1" ht="28.7" customHeight="1" x14ac:dyDescent="0.2">
      <c r="A2570" s="81">
        <v>20034953</v>
      </c>
      <c r="B2570" s="80" t="s">
        <v>2852</v>
      </c>
      <c r="C2570" s="82" t="s">
        <v>8092</v>
      </c>
    </row>
    <row r="2571" spans="1:3" s="79" customFormat="1" ht="28.7" customHeight="1" x14ac:dyDescent="0.2">
      <c r="A2571" s="81">
        <v>20034956</v>
      </c>
      <c r="B2571" s="80" t="s">
        <v>2853</v>
      </c>
      <c r="C2571" s="82" t="s">
        <v>8093</v>
      </c>
    </row>
    <row r="2572" spans="1:3" s="79" customFormat="1" ht="68.849999999999994" customHeight="1" x14ac:dyDescent="0.2">
      <c r="A2572" s="81">
        <v>20034957</v>
      </c>
      <c r="B2572" s="80" t="s">
        <v>2854</v>
      </c>
      <c r="C2572" s="82" t="s">
        <v>8094</v>
      </c>
    </row>
    <row r="2573" spans="1:3" s="79" customFormat="1" ht="68.849999999999994" customHeight="1" x14ac:dyDescent="0.2">
      <c r="A2573" s="81">
        <v>20034958</v>
      </c>
      <c r="B2573" s="80" t="s">
        <v>2819</v>
      </c>
      <c r="C2573" s="81" t="s">
        <v>8095</v>
      </c>
    </row>
    <row r="2574" spans="1:3" s="79" customFormat="1" ht="68.849999999999994" customHeight="1" x14ac:dyDescent="0.2">
      <c r="A2574" s="81">
        <v>20034959</v>
      </c>
      <c r="B2574" s="80" t="s">
        <v>2820</v>
      </c>
      <c r="C2574" s="81" t="s">
        <v>8096</v>
      </c>
    </row>
    <row r="2575" spans="1:3" s="79" customFormat="1" ht="68.849999999999994" customHeight="1" x14ac:dyDescent="0.2">
      <c r="A2575" s="81">
        <v>20034961</v>
      </c>
      <c r="B2575" s="80" t="s">
        <v>2821</v>
      </c>
      <c r="C2575" s="81" t="s">
        <v>8097</v>
      </c>
    </row>
    <row r="2576" spans="1:3" s="79" customFormat="1" ht="68.849999999999994" customHeight="1" x14ac:dyDescent="0.2">
      <c r="A2576" s="81">
        <v>20034963</v>
      </c>
      <c r="B2576" s="80" t="s">
        <v>2822</v>
      </c>
      <c r="C2576" s="81" t="s">
        <v>8098</v>
      </c>
    </row>
    <row r="2577" spans="1:3" s="79" customFormat="1" ht="68.849999999999994" customHeight="1" x14ac:dyDescent="0.2">
      <c r="A2577" s="81">
        <v>20034964</v>
      </c>
      <c r="B2577" s="80" t="s">
        <v>2823</v>
      </c>
      <c r="C2577" s="81" t="s">
        <v>8099</v>
      </c>
    </row>
    <row r="2578" spans="1:3" s="79" customFormat="1" ht="68.849999999999994" customHeight="1" x14ac:dyDescent="0.2">
      <c r="A2578" s="81">
        <v>20034967</v>
      </c>
      <c r="B2578" s="80" t="s">
        <v>2824</v>
      </c>
      <c r="C2578" s="81" t="s">
        <v>8100</v>
      </c>
    </row>
    <row r="2579" spans="1:3" s="79" customFormat="1" ht="68.849999999999994" customHeight="1" x14ac:dyDescent="0.2">
      <c r="A2579" s="81">
        <v>20034969</v>
      </c>
      <c r="B2579" s="80" t="s">
        <v>2825</v>
      </c>
      <c r="C2579" s="81" t="s">
        <v>8101</v>
      </c>
    </row>
    <row r="2580" spans="1:3" s="79" customFormat="1" ht="68.849999999999994" customHeight="1" x14ac:dyDescent="0.2">
      <c r="A2580" s="81">
        <v>20034971</v>
      </c>
      <c r="B2580" s="80" t="s">
        <v>2826</v>
      </c>
      <c r="C2580" s="81" t="s">
        <v>8102</v>
      </c>
    </row>
    <row r="2581" spans="1:3" s="79" customFormat="1" ht="68.849999999999994" customHeight="1" x14ac:dyDescent="0.2">
      <c r="A2581" s="81">
        <v>20034972</v>
      </c>
      <c r="B2581" s="80" t="s">
        <v>2827</v>
      </c>
      <c r="C2581" s="82" t="s">
        <v>8103</v>
      </c>
    </row>
    <row r="2582" spans="1:3" s="79" customFormat="1" ht="59.1" customHeight="1" x14ac:dyDescent="0.2">
      <c r="A2582" s="81">
        <v>20034974</v>
      </c>
      <c r="B2582" s="80" t="s">
        <v>2828</v>
      </c>
      <c r="C2582" s="81" t="s">
        <v>8104</v>
      </c>
    </row>
    <row r="2583" spans="1:3" s="79" customFormat="1" ht="68.849999999999994" customHeight="1" x14ac:dyDescent="0.2">
      <c r="A2583" s="81">
        <v>20034976</v>
      </c>
      <c r="B2583" s="80" t="s">
        <v>2829</v>
      </c>
      <c r="C2583" s="81" t="s">
        <v>8105</v>
      </c>
    </row>
    <row r="2584" spans="1:3" s="79" customFormat="1" ht="68.849999999999994" customHeight="1" x14ac:dyDescent="0.2">
      <c r="A2584" s="81">
        <v>20034978</v>
      </c>
      <c r="B2584" s="80" t="s">
        <v>2830</v>
      </c>
      <c r="C2584" s="81" t="s">
        <v>8106</v>
      </c>
    </row>
    <row r="2585" spans="1:3" s="79" customFormat="1" ht="68.849999999999994" customHeight="1" x14ac:dyDescent="0.2">
      <c r="A2585" s="81">
        <v>20034979</v>
      </c>
      <c r="B2585" s="80" t="s">
        <v>2831</v>
      </c>
      <c r="C2585" s="81" t="s">
        <v>8107</v>
      </c>
    </row>
    <row r="2586" spans="1:3" s="79" customFormat="1" ht="68.849999999999994" customHeight="1" x14ac:dyDescent="0.2">
      <c r="A2586" s="81">
        <v>20034980</v>
      </c>
      <c r="B2586" s="80" t="s">
        <v>2832</v>
      </c>
      <c r="C2586" s="81" t="s">
        <v>8108</v>
      </c>
    </row>
    <row r="2587" spans="1:3" s="79" customFormat="1" ht="68.849999999999994" customHeight="1" x14ac:dyDescent="0.2">
      <c r="A2587" s="81">
        <v>20034981</v>
      </c>
      <c r="B2587" s="80" t="s">
        <v>2833</v>
      </c>
      <c r="C2587" s="81" t="s">
        <v>8109</v>
      </c>
    </row>
    <row r="2588" spans="1:3" s="79" customFormat="1" ht="68.849999999999994" customHeight="1" x14ac:dyDescent="0.2">
      <c r="A2588" s="81">
        <v>20034982</v>
      </c>
      <c r="B2588" s="80" t="s">
        <v>2834</v>
      </c>
      <c r="C2588" s="81" t="s">
        <v>8110</v>
      </c>
    </row>
    <row r="2589" spans="1:3" s="79" customFormat="1" ht="68.849999999999994" customHeight="1" x14ac:dyDescent="0.2">
      <c r="A2589" s="81">
        <v>20034984</v>
      </c>
      <c r="B2589" s="80" t="s">
        <v>2835</v>
      </c>
      <c r="C2589" s="81" t="s">
        <v>8111</v>
      </c>
    </row>
    <row r="2590" spans="1:3" s="79" customFormat="1" ht="68.849999999999994" customHeight="1" x14ac:dyDescent="0.2">
      <c r="A2590" s="81">
        <v>20034985</v>
      </c>
      <c r="B2590" s="80" t="s">
        <v>2836</v>
      </c>
      <c r="C2590" s="81" t="s">
        <v>8112</v>
      </c>
    </row>
    <row r="2591" spans="1:3" s="79" customFormat="1" ht="68.849999999999994" customHeight="1" x14ac:dyDescent="0.2">
      <c r="A2591" s="81">
        <v>20034986</v>
      </c>
      <c r="B2591" s="80" t="s">
        <v>2837</v>
      </c>
      <c r="C2591" s="81" t="s">
        <v>8113</v>
      </c>
    </row>
    <row r="2592" spans="1:3" s="79" customFormat="1" ht="68.849999999999994" customHeight="1" x14ac:dyDescent="0.2">
      <c r="A2592" s="81">
        <v>20034987</v>
      </c>
      <c r="B2592" s="80" t="s">
        <v>2838</v>
      </c>
      <c r="C2592" s="81" t="s">
        <v>8114</v>
      </c>
    </row>
    <row r="2593" spans="1:3" s="79" customFormat="1" ht="68.849999999999994" customHeight="1" x14ac:dyDescent="0.2">
      <c r="A2593" s="81">
        <v>20034989</v>
      </c>
      <c r="B2593" s="80" t="s">
        <v>2839</v>
      </c>
      <c r="C2593" s="81" t="s">
        <v>8115</v>
      </c>
    </row>
    <row r="2594" spans="1:3" s="79" customFormat="1" ht="68.849999999999994" customHeight="1" x14ac:dyDescent="0.2">
      <c r="A2594" s="81">
        <v>20034990</v>
      </c>
      <c r="B2594" s="80" t="s">
        <v>2840</v>
      </c>
      <c r="C2594" s="81" t="s">
        <v>8116</v>
      </c>
    </row>
    <row r="2595" spans="1:3" s="79" customFormat="1" ht="68.849999999999994" customHeight="1" x14ac:dyDescent="0.2">
      <c r="A2595" s="81">
        <v>20034991</v>
      </c>
      <c r="B2595" s="80" t="s">
        <v>2841</v>
      </c>
      <c r="C2595" s="81" t="s">
        <v>8117</v>
      </c>
    </row>
    <row r="2596" spans="1:3" s="79" customFormat="1" ht="68.849999999999994" customHeight="1" x14ac:dyDescent="0.2">
      <c r="A2596" s="81">
        <v>20034992</v>
      </c>
      <c r="B2596" s="80" t="s">
        <v>2842</v>
      </c>
      <c r="C2596" s="81" t="s">
        <v>8118</v>
      </c>
    </row>
    <row r="2597" spans="1:3" s="79" customFormat="1" ht="68.849999999999994" customHeight="1" x14ac:dyDescent="0.2">
      <c r="A2597" s="81">
        <v>20034995</v>
      </c>
      <c r="B2597" s="80" t="s">
        <v>2843</v>
      </c>
      <c r="C2597" s="81" t="s">
        <v>8119</v>
      </c>
    </row>
    <row r="2598" spans="1:3" s="79" customFormat="1" ht="68.849999999999994" customHeight="1" x14ac:dyDescent="0.2">
      <c r="A2598" s="81">
        <v>20034996</v>
      </c>
      <c r="B2598" s="80" t="s">
        <v>2844</v>
      </c>
      <c r="C2598" s="81" t="s">
        <v>8120</v>
      </c>
    </row>
    <row r="2599" spans="1:3" s="79" customFormat="1" ht="68.849999999999994" customHeight="1" x14ac:dyDescent="0.2">
      <c r="A2599" s="81">
        <v>20034997</v>
      </c>
      <c r="B2599" s="80" t="s">
        <v>2845</v>
      </c>
      <c r="C2599" s="81" t="s">
        <v>8121</v>
      </c>
    </row>
    <row r="2600" spans="1:3" s="79" customFormat="1" ht="68.849999999999994" customHeight="1" x14ac:dyDescent="0.2">
      <c r="A2600" s="81">
        <v>20034998</v>
      </c>
      <c r="B2600" s="80" t="s">
        <v>2846</v>
      </c>
      <c r="C2600" s="81" t="s">
        <v>8122</v>
      </c>
    </row>
    <row r="2601" spans="1:3" s="79" customFormat="1" ht="68.849999999999994" customHeight="1" x14ac:dyDescent="0.2">
      <c r="A2601" s="81">
        <v>20034999</v>
      </c>
      <c r="B2601" s="80" t="s">
        <v>2847</v>
      </c>
      <c r="C2601" s="81" t="s">
        <v>8123</v>
      </c>
    </row>
    <row r="2602" spans="1:3" s="79" customFormat="1" ht="68.849999999999994" customHeight="1" x14ac:dyDescent="0.2">
      <c r="A2602" s="81">
        <v>20035001</v>
      </c>
      <c r="B2602" s="80" t="s">
        <v>2848</v>
      </c>
      <c r="C2602" s="81" t="s">
        <v>8124</v>
      </c>
    </row>
    <row r="2603" spans="1:3" s="79" customFormat="1" ht="68.849999999999994" customHeight="1" x14ac:dyDescent="0.2">
      <c r="A2603" s="81">
        <v>20035002</v>
      </c>
      <c r="B2603" s="80" t="s">
        <v>2849</v>
      </c>
      <c r="C2603" s="82" t="s">
        <v>8125</v>
      </c>
    </row>
    <row r="2604" spans="1:3" s="79" customFormat="1" ht="49.15" customHeight="1" x14ac:dyDescent="0.2">
      <c r="A2604" s="81">
        <v>20035003</v>
      </c>
      <c r="B2604" s="80" t="s">
        <v>2850</v>
      </c>
      <c r="C2604" s="82" t="s">
        <v>8126</v>
      </c>
    </row>
    <row r="2605" spans="1:3" s="79" customFormat="1" ht="68.849999999999994" customHeight="1" x14ac:dyDescent="0.2">
      <c r="A2605" s="81">
        <v>20035008</v>
      </c>
      <c r="B2605" s="80" t="s">
        <v>2855</v>
      </c>
      <c r="C2605" s="82" t="s">
        <v>8127</v>
      </c>
    </row>
    <row r="2606" spans="1:3" s="79" customFormat="1" ht="59.1" customHeight="1" x14ac:dyDescent="0.2">
      <c r="A2606" s="81">
        <v>20035009</v>
      </c>
      <c r="B2606" s="80" t="s">
        <v>2856</v>
      </c>
      <c r="C2606" s="82" t="s">
        <v>8128</v>
      </c>
    </row>
    <row r="2607" spans="1:3" s="79" customFormat="1" ht="49.15" customHeight="1" x14ac:dyDescent="0.2">
      <c r="A2607" s="81">
        <v>20035060</v>
      </c>
      <c r="B2607" s="80" t="s">
        <v>11606</v>
      </c>
      <c r="C2607" s="80" t="s">
        <v>8129</v>
      </c>
    </row>
    <row r="2608" spans="1:3" s="79" customFormat="1" ht="19.149999999999999" customHeight="1" x14ac:dyDescent="0.2">
      <c r="A2608" s="81">
        <v>20035064</v>
      </c>
      <c r="B2608" s="80" t="s">
        <v>2861</v>
      </c>
      <c r="C2608" s="82" t="s">
        <v>8130</v>
      </c>
    </row>
    <row r="2609" spans="1:3" s="79" customFormat="1" ht="19.149999999999999" customHeight="1" x14ac:dyDescent="0.2">
      <c r="A2609" s="81">
        <v>20035066</v>
      </c>
      <c r="B2609" s="80" t="s">
        <v>2862</v>
      </c>
      <c r="C2609" s="82" t="s">
        <v>8131</v>
      </c>
    </row>
    <row r="2610" spans="1:3" s="79" customFormat="1" ht="28.7" customHeight="1" x14ac:dyDescent="0.2">
      <c r="A2610" s="81">
        <v>20035078</v>
      </c>
      <c r="B2610" s="80" t="s">
        <v>2857</v>
      </c>
      <c r="C2610" s="81" t="s">
        <v>8132</v>
      </c>
    </row>
    <row r="2611" spans="1:3" s="79" customFormat="1" ht="59.1" customHeight="1" x14ac:dyDescent="0.2">
      <c r="A2611" s="81">
        <v>20035079</v>
      </c>
      <c r="B2611" s="80" t="s">
        <v>2858</v>
      </c>
      <c r="C2611" s="82" t="s">
        <v>8133</v>
      </c>
    </row>
    <row r="2612" spans="1:3" s="79" customFormat="1" ht="68.849999999999994" customHeight="1" x14ac:dyDescent="0.2">
      <c r="A2612" s="81">
        <v>20035080</v>
      </c>
      <c r="B2612" s="80" t="s">
        <v>2859</v>
      </c>
      <c r="C2612" s="82" t="s">
        <v>8134</v>
      </c>
    </row>
    <row r="2613" spans="1:3" s="79" customFormat="1" ht="68.849999999999994" customHeight="1" x14ac:dyDescent="0.2">
      <c r="A2613" s="81">
        <v>20035081</v>
      </c>
      <c r="B2613" s="80" t="s">
        <v>2860</v>
      </c>
      <c r="C2613" s="82" t="s">
        <v>8135</v>
      </c>
    </row>
    <row r="2614" spans="1:3" s="79" customFormat="1" ht="68.849999999999994" customHeight="1" x14ac:dyDescent="0.2">
      <c r="A2614" s="81">
        <v>20035089</v>
      </c>
      <c r="B2614" s="80" t="s">
        <v>2863</v>
      </c>
      <c r="C2614" s="82" t="s">
        <v>8136</v>
      </c>
    </row>
    <row r="2615" spans="1:3" s="79" customFormat="1" ht="49.15" customHeight="1" x14ac:dyDescent="0.2">
      <c r="A2615" s="81">
        <v>20035090</v>
      </c>
      <c r="B2615" s="80" t="s">
        <v>2864</v>
      </c>
      <c r="C2615" s="82" t="s">
        <v>8137</v>
      </c>
    </row>
    <row r="2616" spans="1:3" s="79" customFormat="1" ht="38.85" customHeight="1" x14ac:dyDescent="0.2">
      <c r="A2616" s="81">
        <v>20035103</v>
      </c>
      <c r="B2616" s="80" t="s">
        <v>2865</v>
      </c>
      <c r="C2616" s="82" t="s">
        <v>8138</v>
      </c>
    </row>
    <row r="2617" spans="1:3" s="79" customFormat="1" ht="28.7" customHeight="1" x14ac:dyDescent="0.2">
      <c r="A2617" s="81">
        <v>20035104</v>
      </c>
      <c r="B2617" s="80" t="s">
        <v>2866</v>
      </c>
      <c r="C2617" s="82" t="s">
        <v>8139</v>
      </c>
    </row>
    <row r="2618" spans="1:3" s="79" customFormat="1" ht="28.7" customHeight="1" x14ac:dyDescent="0.2">
      <c r="A2618" s="81">
        <v>20035105</v>
      </c>
      <c r="B2618" s="80" t="s">
        <v>2867</v>
      </c>
      <c r="C2618" s="82" t="s">
        <v>8140</v>
      </c>
    </row>
    <row r="2619" spans="1:3" s="79" customFormat="1" ht="19.149999999999999" customHeight="1" x14ac:dyDescent="0.2">
      <c r="A2619" s="81">
        <v>20035106</v>
      </c>
      <c r="B2619" s="80" t="s">
        <v>2868</v>
      </c>
      <c r="C2619" s="82" t="s">
        <v>8141</v>
      </c>
    </row>
    <row r="2620" spans="1:3" s="79" customFormat="1" ht="49.15" customHeight="1" x14ac:dyDescent="0.2">
      <c r="A2620" s="81">
        <v>20035108</v>
      </c>
      <c r="B2620" s="80" t="s">
        <v>2869</v>
      </c>
      <c r="C2620" s="82" t="s">
        <v>8142</v>
      </c>
    </row>
    <row r="2621" spans="1:3" s="79" customFormat="1" ht="38.85" customHeight="1" x14ac:dyDescent="0.2">
      <c r="A2621" s="81">
        <v>20035110</v>
      </c>
      <c r="B2621" s="80" t="s">
        <v>2871</v>
      </c>
      <c r="C2621" s="82" t="s">
        <v>8143</v>
      </c>
    </row>
    <row r="2622" spans="1:3" s="79" customFormat="1" ht="28.7" customHeight="1" x14ac:dyDescent="0.2">
      <c r="A2622" s="81">
        <v>20035120</v>
      </c>
      <c r="B2622" s="80" t="s">
        <v>2870</v>
      </c>
      <c r="C2622" s="82" t="s">
        <v>8144</v>
      </c>
    </row>
    <row r="2623" spans="1:3" s="79" customFormat="1" ht="59.1" customHeight="1" x14ac:dyDescent="0.2">
      <c r="A2623" s="81">
        <v>20035133</v>
      </c>
      <c r="B2623" s="80" t="s">
        <v>2915</v>
      </c>
      <c r="C2623" s="82" t="s">
        <v>8145</v>
      </c>
    </row>
    <row r="2624" spans="1:3" s="79" customFormat="1" ht="28.7" customHeight="1" x14ac:dyDescent="0.2">
      <c r="A2624" s="81">
        <v>20035141</v>
      </c>
      <c r="B2624" s="80" t="s">
        <v>2872</v>
      </c>
      <c r="C2624" s="82" t="s">
        <v>8146</v>
      </c>
    </row>
    <row r="2625" spans="1:3" s="79" customFormat="1" ht="89.1" customHeight="1" x14ac:dyDescent="0.2">
      <c r="A2625" s="81">
        <v>20035142</v>
      </c>
      <c r="B2625" s="80" t="s">
        <v>2873</v>
      </c>
      <c r="C2625" s="81" t="s">
        <v>8147</v>
      </c>
    </row>
    <row r="2626" spans="1:3" s="79" customFormat="1" ht="89.1" customHeight="1" x14ac:dyDescent="0.2">
      <c r="A2626" s="81">
        <v>20035179</v>
      </c>
      <c r="B2626" s="80" t="s">
        <v>2874</v>
      </c>
      <c r="C2626" s="82" t="s">
        <v>8148</v>
      </c>
    </row>
    <row r="2627" spans="1:3" s="79" customFormat="1" ht="59.1" customHeight="1" x14ac:dyDescent="0.2">
      <c r="A2627" s="81">
        <v>20035180</v>
      </c>
      <c r="B2627" s="80" t="s">
        <v>2875</v>
      </c>
      <c r="C2627" s="82" t="s">
        <v>8149</v>
      </c>
    </row>
    <row r="2628" spans="1:3" s="79" customFormat="1" ht="49.15" customHeight="1" x14ac:dyDescent="0.2">
      <c r="A2628" s="81">
        <v>20035188</v>
      </c>
      <c r="B2628" s="80" t="s">
        <v>2914</v>
      </c>
      <c r="C2628" s="81" t="s">
        <v>8150</v>
      </c>
    </row>
    <row r="2629" spans="1:3" s="79" customFormat="1" ht="109.35" customHeight="1" x14ac:dyDescent="0.2">
      <c r="A2629" s="81">
        <v>20035219</v>
      </c>
      <c r="B2629" s="80" t="s">
        <v>2916</v>
      </c>
      <c r="C2629" s="82" t="s">
        <v>8151</v>
      </c>
    </row>
    <row r="2630" spans="1:3" s="79" customFormat="1" ht="38.85" customHeight="1" x14ac:dyDescent="0.2">
      <c r="A2630" s="81">
        <v>20035221</v>
      </c>
      <c r="B2630" s="80" t="s">
        <v>2917</v>
      </c>
      <c r="C2630" s="82" t="s">
        <v>8152</v>
      </c>
    </row>
    <row r="2631" spans="1:3" s="79" customFormat="1" ht="59.1" customHeight="1" x14ac:dyDescent="0.2">
      <c r="A2631" s="81">
        <v>20035243</v>
      </c>
      <c r="B2631" s="80" t="s">
        <v>2918</v>
      </c>
      <c r="C2631" s="82" t="s">
        <v>8153</v>
      </c>
    </row>
    <row r="2632" spans="1:3" s="79" customFormat="1" ht="28.7" customHeight="1" x14ac:dyDescent="0.2">
      <c r="A2632" s="81">
        <v>20035288</v>
      </c>
      <c r="B2632" s="80" t="s">
        <v>2919</v>
      </c>
      <c r="C2632" s="81" t="s">
        <v>8154</v>
      </c>
    </row>
    <row r="2633" spans="1:3" s="79" customFormat="1" ht="99.2" customHeight="1" x14ac:dyDescent="0.2">
      <c r="A2633" s="81">
        <v>20035291</v>
      </c>
      <c r="B2633" s="80" t="s">
        <v>2920</v>
      </c>
      <c r="C2633" s="82" t="s">
        <v>8155</v>
      </c>
    </row>
    <row r="2634" spans="1:3" s="79" customFormat="1" ht="59.1" customHeight="1" x14ac:dyDescent="0.2">
      <c r="A2634" s="81">
        <v>20035292</v>
      </c>
      <c r="B2634" s="80" t="s">
        <v>2921</v>
      </c>
      <c r="C2634" s="82" t="s">
        <v>8156</v>
      </c>
    </row>
    <row r="2635" spans="1:3" s="79" customFormat="1" ht="68.849999999999994" customHeight="1" x14ac:dyDescent="0.2">
      <c r="A2635" s="81">
        <v>20035293</v>
      </c>
      <c r="B2635" s="80" t="s">
        <v>2922</v>
      </c>
      <c r="C2635" s="82" t="s">
        <v>8157</v>
      </c>
    </row>
    <row r="2636" spans="1:3" s="79" customFormat="1" ht="68.849999999999994" customHeight="1" x14ac:dyDescent="0.2">
      <c r="A2636" s="81">
        <v>20035295</v>
      </c>
      <c r="B2636" s="80" t="s">
        <v>2923</v>
      </c>
      <c r="C2636" s="82" t="s">
        <v>8158</v>
      </c>
    </row>
    <row r="2637" spans="1:3" s="79" customFormat="1" ht="59.1" customHeight="1" x14ac:dyDescent="0.2">
      <c r="A2637" s="81">
        <v>20035296</v>
      </c>
      <c r="B2637" s="80" t="s">
        <v>2924</v>
      </c>
      <c r="C2637" s="82" t="s">
        <v>8159</v>
      </c>
    </row>
    <row r="2638" spans="1:3" s="79" customFormat="1" ht="68.849999999999994" customHeight="1" x14ac:dyDescent="0.2">
      <c r="A2638" s="81">
        <v>20035309</v>
      </c>
      <c r="B2638" s="80" t="s">
        <v>2926</v>
      </c>
      <c r="C2638" s="82" t="s">
        <v>8160</v>
      </c>
    </row>
    <row r="2639" spans="1:3" s="79" customFormat="1" ht="59.1" customHeight="1" x14ac:dyDescent="0.2">
      <c r="A2639" s="81">
        <v>20035324</v>
      </c>
      <c r="B2639" s="80" t="s">
        <v>2927</v>
      </c>
      <c r="C2639" s="81" t="s">
        <v>8161</v>
      </c>
    </row>
    <row r="2640" spans="1:3" s="79" customFormat="1" ht="59.1" customHeight="1" x14ac:dyDescent="0.2">
      <c r="A2640" s="81">
        <v>20035328</v>
      </c>
      <c r="B2640" s="80" t="s">
        <v>2928</v>
      </c>
      <c r="C2640" s="82" t="s">
        <v>8162</v>
      </c>
    </row>
    <row r="2641" spans="1:3" s="79" customFormat="1" ht="68.849999999999994" customHeight="1" x14ac:dyDescent="0.2">
      <c r="A2641" s="81">
        <v>20035348</v>
      </c>
      <c r="B2641" s="80" t="s">
        <v>2929</v>
      </c>
      <c r="C2641" s="82" t="s">
        <v>8163</v>
      </c>
    </row>
    <row r="2642" spans="1:3" s="79" customFormat="1" ht="28.7" customHeight="1" x14ac:dyDescent="0.2">
      <c r="A2642" s="81">
        <v>20035349</v>
      </c>
      <c r="B2642" s="80" t="s">
        <v>2930</v>
      </c>
      <c r="C2642" s="82" t="s">
        <v>8164</v>
      </c>
    </row>
    <row r="2643" spans="1:3" s="79" customFormat="1" ht="78.95" customHeight="1" x14ac:dyDescent="0.2">
      <c r="A2643" s="81">
        <v>20035359</v>
      </c>
      <c r="B2643" s="80" t="s">
        <v>2931</v>
      </c>
      <c r="C2643" s="82" t="s">
        <v>8165</v>
      </c>
    </row>
    <row r="2644" spans="1:3" s="79" customFormat="1" ht="49.15" customHeight="1" x14ac:dyDescent="0.2">
      <c r="A2644" s="81">
        <v>20035361</v>
      </c>
      <c r="B2644" s="80" t="s">
        <v>2932</v>
      </c>
      <c r="C2644" s="81" t="s">
        <v>8166</v>
      </c>
    </row>
    <row r="2645" spans="1:3" s="79" customFormat="1" ht="158.85" customHeight="1" x14ac:dyDescent="0.2">
      <c r="A2645" s="81">
        <v>20035388</v>
      </c>
      <c r="B2645" s="80" t="s">
        <v>2933</v>
      </c>
      <c r="C2645" s="82" t="s">
        <v>8167</v>
      </c>
    </row>
    <row r="2646" spans="1:3" s="79" customFormat="1" ht="59.1" customHeight="1" x14ac:dyDescent="0.2">
      <c r="A2646" s="81">
        <v>20035389</v>
      </c>
      <c r="B2646" s="80" t="s">
        <v>2934</v>
      </c>
      <c r="C2646" s="82" t="s">
        <v>8168</v>
      </c>
    </row>
    <row r="2647" spans="1:3" s="79" customFormat="1" ht="68.849999999999994" customHeight="1" x14ac:dyDescent="0.2">
      <c r="A2647" s="81">
        <v>20035390</v>
      </c>
      <c r="B2647" s="80" t="s">
        <v>2935</v>
      </c>
      <c r="C2647" s="82" t="s">
        <v>8169</v>
      </c>
    </row>
    <row r="2648" spans="1:3" s="79" customFormat="1" ht="78.95" customHeight="1" x14ac:dyDescent="0.2">
      <c r="A2648" s="81">
        <v>20035391</v>
      </c>
      <c r="B2648" s="80" t="s">
        <v>2936</v>
      </c>
      <c r="C2648" s="82" t="s">
        <v>8170</v>
      </c>
    </row>
    <row r="2649" spans="1:3" s="79" customFormat="1" ht="78.95" customHeight="1" x14ac:dyDescent="0.2">
      <c r="A2649" s="81">
        <v>20035392</v>
      </c>
      <c r="B2649" s="80" t="s">
        <v>2937</v>
      </c>
      <c r="C2649" s="82" t="s">
        <v>8171</v>
      </c>
    </row>
    <row r="2650" spans="1:3" s="79" customFormat="1" ht="89.1" customHeight="1" x14ac:dyDescent="0.2">
      <c r="A2650" s="81">
        <v>20035393</v>
      </c>
      <c r="B2650" s="80" t="s">
        <v>2938</v>
      </c>
      <c r="C2650" s="82" t="s">
        <v>8172</v>
      </c>
    </row>
    <row r="2651" spans="1:3" s="79" customFormat="1" ht="99.2" customHeight="1" x14ac:dyDescent="0.2">
      <c r="A2651" s="81">
        <v>20035394</v>
      </c>
      <c r="B2651" s="80" t="s">
        <v>2939</v>
      </c>
      <c r="C2651" s="82" t="s">
        <v>8173</v>
      </c>
    </row>
    <row r="2652" spans="1:3" s="79" customFormat="1" ht="89.1" customHeight="1" x14ac:dyDescent="0.2">
      <c r="A2652" s="81">
        <v>20035395</v>
      </c>
      <c r="B2652" s="80" t="s">
        <v>2940</v>
      </c>
      <c r="C2652" s="82" t="s">
        <v>8174</v>
      </c>
    </row>
    <row r="2653" spans="1:3" s="79" customFormat="1" ht="78.95" customHeight="1" x14ac:dyDescent="0.2">
      <c r="A2653" s="81">
        <v>20035398</v>
      </c>
      <c r="B2653" s="80" t="s">
        <v>2941</v>
      </c>
      <c r="C2653" s="82" t="s">
        <v>8175</v>
      </c>
    </row>
    <row r="2654" spans="1:3" s="79" customFormat="1" ht="68.849999999999994" customHeight="1" x14ac:dyDescent="0.2">
      <c r="A2654" s="81">
        <v>20035399</v>
      </c>
      <c r="B2654" s="80" t="s">
        <v>2942</v>
      </c>
      <c r="C2654" s="80" t="s">
        <v>8176</v>
      </c>
    </row>
    <row r="2655" spans="1:3" s="79" customFormat="1" ht="19.149999999999999" customHeight="1" x14ac:dyDescent="0.2">
      <c r="A2655" s="81">
        <v>20035408</v>
      </c>
      <c r="B2655" s="80" t="s">
        <v>2943</v>
      </c>
      <c r="C2655" s="82" t="s">
        <v>8177</v>
      </c>
    </row>
    <row r="2656" spans="1:3" s="79" customFormat="1" ht="49.15" customHeight="1" x14ac:dyDescent="0.2">
      <c r="A2656" s="81">
        <v>20035418</v>
      </c>
      <c r="B2656" s="80" t="s">
        <v>2944</v>
      </c>
      <c r="C2656" s="82" t="s">
        <v>8178</v>
      </c>
    </row>
    <row r="2657" spans="1:3" s="79" customFormat="1" ht="28.7" customHeight="1" x14ac:dyDescent="0.2">
      <c r="A2657" s="81">
        <v>20035429</v>
      </c>
      <c r="B2657" s="80" t="s">
        <v>2945</v>
      </c>
      <c r="C2657" s="82" t="s">
        <v>8179</v>
      </c>
    </row>
    <row r="2658" spans="1:3" s="79" customFormat="1" ht="49.15" customHeight="1" x14ac:dyDescent="0.2">
      <c r="A2658" s="81">
        <v>20035430</v>
      </c>
      <c r="B2658" s="80" t="s">
        <v>2946</v>
      </c>
      <c r="C2658" s="82" t="s">
        <v>8180</v>
      </c>
    </row>
    <row r="2659" spans="1:3" s="79" customFormat="1" ht="19.149999999999999" customHeight="1" x14ac:dyDescent="0.2">
      <c r="A2659" s="81">
        <v>20035439</v>
      </c>
      <c r="B2659" s="80" t="s">
        <v>2947</v>
      </c>
      <c r="C2659" s="81" t="s">
        <v>8181</v>
      </c>
    </row>
    <row r="2660" spans="1:3" s="79" customFormat="1" ht="68.849999999999994" customHeight="1" x14ac:dyDescent="0.2">
      <c r="A2660" s="81">
        <v>20035440</v>
      </c>
      <c r="B2660" s="80" t="s">
        <v>2948</v>
      </c>
      <c r="C2660" s="82" t="s">
        <v>8182</v>
      </c>
    </row>
    <row r="2661" spans="1:3" s="79" customFormat="1" ht="68.849999999999994" customHeight="1" x14ac:dyDescent="0.2">
      <c r="A2661" s="81">
        <v>20035449</v>
      </c>
      <c r="B2661" s="80" t="s">
        <v>2949</v>
      </c>
      <c r="C2661" s="82" t="s">
        <v>8183</v>
      </c>
    </row>
    <row r="2662" spans="1:3" s="79" customFormat="1" ht="78.95" customHeight="1" x14ac:dyDescent="0.2">
      <c r="A2662" s="81">
        <v>20035450</v>
      </c>
      <c r="B2662" s="80" t="s">
        <v>2950</v>
      </c>
      <c r="C2662" s="82" t="s">
        <v>8184</v>
      </c>
    </row>
    <row r="2663" spans="1:3" s="79" customFormat="1" ht="89.1" customHeight="1" x14ac:dyDescent="0.2">
      <c r="A2663" s="81">
        <v>20035458</v>
      </c>
      <c r="B2663" s="80" t="s">
        <v>2951</v>
      </c>
      <c r="C2663" s="81" t="s">
        <v>8185</v>
      </c>
    </row>
    <row r="2664" spans="1:3" s="79" customFormat="1" ht="109.35" customHeight="1" x14ac:dyDescent="0.2">
      <c r="A2664" s="81">
        <v>20035459</v>
      </c>
      <c r="B2664" s="80" t="s">
        <v>2952</v>
      </c>
      <c r="C2664" s="81" t="s">
        <v>8186</v>
      </c>
    </row>
    <row r="2665" spans="1:3" s="79" customFormat="1" ht="109.35" customHeight="1" x14ac:dyDescent="0.2">
      <c r="A2665" s="81">
        <v>20035461</v>
      </c>
      <c r="B2665" s="80" t="s">
        <v>2953</v>
      </c>
      <c r="C2665" s="82" t="s">
        <v>8187</v>
      </c>
    </row>
    <row r="2666" spans="1:3" s="79" customFormat="1" ht="19.149999999999999" customHeight="1" x14ac:dyDescent="0.2">
      <c r="A2666" s="81">
        <v>20035468</v>
      </c>
      <c r="B2666" s="80" t="s">
        <v>2954</v>
      </c>
      <c r="C2666" s="82" t="s">
        <v>8188</v>
      </c>
    </row>
    <row r="2667" spans="1:3" s="79" customFormat="1" ht="49.15" customHeight="1" x14ac:dyDescent="0.2">
      <c r="A2667" s="81">
        <v>20035470</v>
      </c>
      <c r="B2667" s="80" t="s">
        <v>2956</v>
      </c>
      <c r="C2667" s="81" t="s">
        <v>8189</v>
      </c>
    </row>
    <row r="2668" spans="1:3" s="79" customFormat="1" ht="109.35" customHeight="1" x14ac:dyDescent="0.2">
      <c r="A2668" s="81">
        <v>20035471</v>
      </c>
      <c r="B2668" s="80" t="s">
        <v>2957</v>
      </c>
      <c r="C2668" s="81" t="s">
        <v>8190</v>
      </c>
    </row>
    <row r="2669" spans="1:3" s="79" customFormat="1" ht="109.35" customHeight="1" x14ac:dyDescent="0.2">
      <c r="A2669" s="81">
        <v>20035472</v>
      </c>
      <c r="B2669" s="80" t="s">
        <v>2958</v>
      </c>
      <c r="C2669" s="81" t="s">
        <v>8191</v>
      </c>
    </row>
    <row r="2670" spans="1:3" s="79" customFormat="1" ht="109.35" customHeight="1" x14ac:dyDescent="0.2">
      <c r="A2670" s="81">
        <v>20035473</v>
      </c>
      <c r="B2670" s="80" t="s">
        <v>2959</v>
      </c>
      <c r="C2670" s="81" t="s">
        <v>8192</v>
      </c>
    </row>
    <row r="2671" spans="1:3" s="79" customFormat="1" ht="109.35" customHeight="1" x14ac:dyDescent="0.2">
      <c r="A2671" s="81">
        <v>20035474</v>
      </c>
      <c r="B2671" s="80" t="s">
        <v>2960</v>
      </c>
      <c r="C2671" s="81" t="s">
        <v>8193</v>
      </c>
    </row>
    <row r="2672" spans="1:3" s="79" customFormat="1" ht="118.9" customHeight="1" x14ac:dyDescent="0.2">
      <c r="A2672" s="81">
        <v>20035475</v>
      </c>
      <c r="B2672" s="80" t="s">
        <v>2961</v>
      </c>
      <c r="C2672" s="81" t="s">
        <v>8194</v>
      </c>
    </row>
    <row r="2673" spans="1:3" s="79" customFormat="1" ht="109.35" customHeight="1" x14ac:dyDescent="0.2">
      <c r="A2673" s="81">
        <v>20035476</v>
      </c>
      <c r="B2673" s="80" t="s">
        <v>2962</v>
      </c>
      <c r="C2673" s="81" t="s">
        <v>8195</v>
      </c>
    </row>
    <row r="2674" spans="1:3" s="79" customFormat="1" ht="109.35" customHeight="1" x14ac:dyDescent="0.2">
      <c r="A2674" s="81">
        <v>20035477</v>
      </c>
      <c r="B2674" s="80" t="s">
        <v>2963</v>
      </c>
      <c r="C2674" s="81" t="s">
        <v>8196</v>
      </c>
    </row>
    <row r="2675" spans="1:3" s="79" customFormat="1" ht="109.35" customHeight="1" x14ac:dyDescent="0.2">
      <c r="A2675" s="81">
        <v>20035479</v>
      </c>
      <c r="B2675" s="80" t="s">
        <v>2955</v>
      </c>
      <c r="C2675" s="82" t="s">
        <v>8197</v>
      </c>
    </row>
    <row r="2676" spans="1:3" s="79" customFormat="1" ht="68.849999999999994" customHeight="1" x14ac:dyDescent="0.2">
      <c r="A2676" s="81">
        <v>20035488</v>
      </c>
      <c r="B2676" s="80" t="s">
        <v>2964</v>
      </c>
      <c r="C2676" s="81" t="s">
        <v>8198</v>
      </c>
    </row>
    <row r="2677" spans="1:3" s="79" customFormat="1" ht="109.35" customHeight="1" x14ac:dyDescent="0.2">
      <c r="A2677" s="81">
        <v>20035489</v>
      </c>
      <c r="B2677" s="80" t="s">
        <v>2965</v>
      </c>
      <c r="C2677" s="81" t="s">
        <v>8199</v>
      </c>
    </row>
    <row r="2678" spans="1:3" s="79" customFormat="1" ht="118.9" customHeight="1" x14ac:dyDescent="0.2">
      <c r="A2678" s="81">
        <v>20035490</v>
      </c>
      <c r="B2678" s="80" t="s">
        <v>2966</v>
      </c>
      <c r="C2678" s="81" t="s">
        <v>8200</v>
      </c>
    </row>
    <row r="2679" spans="1:3" s="79" customFormat="1" ht="118.9" customHeight="1" x14ac:dyDescent="0.2">
      <c r="A2679" s="81">
        <v>20035491</v>
      </c>
      <c r="B2679" s="80" t="s">
        <v>2967</v>
      </c>
      <c r="C2679" s="81" t="s">
        <v>8201</v>
      </c>
    </row>
    <row r="2680" spans="1:3" s="79" customFormat="1" ht="118.9" customHeight="1" x14ac:dyDescent="0.2">
      <c r="A2680" s="81">
        <v>20035492</v>
      </c>
      <c r="B2680" s="80" t="s">
        <v>2968</v>
      </c>
      <c r="C2680" s="81" t="s">
        <v>8202</v>
      </c>
    </row>
    <row r="2681" spans="1:3" s="79" customFormat="1" ht="118.9" customHeight="1" x14ac:dyDescent="0.2">
      <c r="A2681" s="81">
        <v>20035494</v>
      </c>
      <c r="B2681" s="80" t="s">
        <v>2969</v>
      </c>
      <c r="C2681" s="81" t="s">
        <v>8203</v>
      </c>
    </row>
    <row r="2682" spans="1:3" s="79" customFormat="1" ht="118.9" customHeight="1" x14ac:dyDescent="0.2">
      <c r="A2682" s="81">
        <v>20035495</v>
      </c>
      <c r="B2682" s="80" t="s">
        <v>2970</v>
      </c>
      <c r="C2682" s="81" t="s">
        <v>8204</v>
      </c>
    </row>
    <row r="2683" spans="1:3" s="79" customFormat="1" ht="118.9" customHeight="1" x14ac:dyDescent="0.2">
      <c r="A2683" s="81">
        <v>20035496</v>
      </c>
      <c r="B2683" s="80" t="s">
        <v>2971</v>
      </c>
      <c r="C2683" s="81" t="s">
        <v>8205</v>
      </c>
    </row>
    <row r="2684" spans="1:3" s="79" customFormat="1" ht="118.9" customHeight="1" x14ac:dyDescent="0.2">
      <c r="A2684" s="81">
        <v>20035497</v>
      </c>
      <c r="B2684" s="80" t="s">
        <v>2972</v>
      </c>
      <c r="C2684" s="81" t="s">
        <v>8206</v>
      </c>
    </row>
    <row r="2685" spans="1:3" s="79" customFormat="1" ht="118.9" customHeight="1" x14ac:dyDescent="0.2">
      <c r="A2685" s="81">
        <v>20035498</v>
      </c>
      <c r="B2685" s="80" t="s">
        <v>2973</v>
      </c>
      <c r="C2685" s="81" t="s">
        <v>8207</v>
      </c>
    </row>
    <row r="2686" spans="1:3" s="79" customFormat="1" ht="118.9" customHeight="1" x14ac:dyDescent="0.2">
      <c r="A2686" s="81">
        <v>20035505</v>
      </c>
      <c r="B2686" s="80" t="s">
        <v>2974</v>
      </c>
      <c r="C2686" s="80" t="s">
        <v>8208</v>
      </c>
    </row>
    <row r="2687" spans="1:3" s="79" customFormat="1" ht="19.149999999999999" customHeight="1" x14ac:dyDescent="0.2">
      <c r="A2687" s="81">
        <v>20035539</v>
      </c>
      <c r="B2687" s="80" t="s">
        <v>2975</v>
      </c>
      <c r="C2687" s="82" t="s">
        <v>8209</v>
      </c>
    </row>
    <row r="2688" spans="1:3" s="79" customFormat="1" ht="38.85" customHeight="1" x14ac:dyDescent="0.2">
      <c r="A2688" s="81">
        <v>20035540</v>
      </c>
      <c r="B2688" s="80" t="s">
        <v>2976</v>
      </c>
      <c r="C2688" s="82" t="s">
        <v>8210</v>
      </c>
    </row>
    <row r="2689" spans="1:3" s="79" customFormat="1" ht="49.15" customHeight="1" x14ac:dyDescent="0.2">
      <c r="A2689" s="81">
        <v>20035541</v>
      </c>
      <c r="B2689" s="80" t="s">
        <v>2977</v>
      </c>
      <c r="C2689" s="82" t="s">
        <v>8211</v>
      </c>
    </row>
    <row r="2690" spans="1:3" s="79" customFormat="1" ht="38.85" customHeight="1" x14ac:dyDescent="0.2">
      <c r="A2690" s="81">
        <v>20035561</v>
      </c>
      <c r="B2690" s="80" t="s">
        <v>2981</v>
      </c>
      <c r="C2690" s="82" t="s">
        <v>8212</v>
      </c>
    </row>
    <row r="2691" spans="1:3" s="79" customFormat="1" ht="19.149999999999999" customHeight="1" x14ac:dyDescent="0.2">
      <c r="A2691" s="81">
        <v>20035568</v>
      </c>
      <c r="B2691" s="80" t="s">
        <v>2978</v>
      </c>
      <c r="C2691" s="82" t="s">
        <v>8213</v>
      </c>
    </row>
    <row r="2692" spans="1:3" s="79" customFormat="1" ht="59.1" customHeight="1" x14ac:dyDescent="0.2">
      <c r="A2692" s="81">
        <v>20035569</v>
      </c>
      <c r="B2692" s="80" t="s">
        <v>2979</v>
      </c>
      <c r="C2692" s="82" t="s">
        <v>8214</v>
      </c>
    </row>
    <row r="2693" spans="1:3" s="79" customFormat="1" ht="59.1" customHeight="1" x14ac:dyDescent="0.2">
      <c r="A2693" s="81">
        <v>20035570</v>
      </c>
      <c r="B2693" s="80" t="s">
        <v>2980</v>
      </c>
      <c r="C2693" s="81" t="s">
        <v>8215</v>
      </c>
    </row>
    <row r="2694" spans="1:3" s="79" customFormat="1" ht="78.95" customHeight="1" x14ac:dyDescent="0.2">
      <c r="A2694" s="81">
        <v>20035582</v>
      </c>
      <c r="B2694" s="80" t="s">
        <v>2982</v>
      </c>
      <c r="C2694" s="82" t="s">
        <v>8216</v>
      </c>
    </row>
    <row r="2695" spans="1:3" s="79" customFormat="1" ht="28.7" customHeight="1" x14ac:dyDescent="0.2">
      <c r="A2695" s="81">
        <v>20035584</v>
      </c>
      <c r="B2695" s="80" t="s">
        <v>2983</v>
      </c>
      <c r="C2695" s="81" t="s">
        <v>8217</v>
      </c>
    </row>
    <row r="2696" spans="1:3" s="79" customFormat="1" ht="49.15" customHeight="1" x14ac:dyDescent="0.2">
      <c r="A2696" s="81">
        <v>20035599</v>
      </c>
      <c r="B2696" s="80" t="s">
        <v>2984</v>
      </c>
      <c r="C2696" s="81" t="s">
        <v>8218</v>
      </c>
    </row>
    <row r="2697" spans="1:3" s="79" customFormat="1" ht="139.15" customHeight="1" x14ac:dyDescent="0.2">
      <c r="A2697" s="81">
        <v>20035600</v>
      </c>
      <c r="B2697" s="80" t="s">
        <v>2985</v>
      </c>
      <c r="C2697" s="81" t="s">
        <v>8219</v>
      </c>
    </row>
    <row r="2698" spans="1:3" s="79" customFormat="1" ht="129" customHeight="1" x14ac:dyDescent="0.2">
      <c r="A2698" s="81">
        <v>20035601</v>
      </c>
      <c r="B2698" s="80" t="s">
        <v>2986</v>
      </c>
      <c r="C2698" s="81" t="s">
        <v>8220</v>
      </c>
    </row>
    <row r="2699" spans="1:3" s="79" customFormat="1" ht="129" customHeight="1" x14ac:dyDescent="0.2">
      <c r="A2699" s="81">
        <v>20035602</v>
      </c>
      <c r="B2699" s="80" t="s">
        <v>2987</v>
      </c>
      <c r="C2699" s="81" t="s">
        <v>8221</v>
      </c>
    </row>
    <row r="2700" spans="1:3" s="79" customFormat="1" ht="129" customHeight="1" x14ac:dyDescent="0.2">
      <c r="A2700" s="81">
        <v>20035603</v>
      </c>
      <c r="B2700" s="80" t="s">
        <v>2988</v>
      </c>
      <c r="C2700" s="81" t="s">
        <v>8222</v>
      </c>
    </row>
    <row r="2701" spans="1:3" s="79" customFormat="1" ht="129" customHeight="1" x14ac:dyDescent="0.2">
      <c r="A2701" s="81">
        <v>20035609</v>
      </c>
      <c r="B2701" s="80" t="s">
        <v>11425</v>
      </c>
      <c r="C2701" s="82" t="s">
        <v>8223</v>
      </c>
    </row>
    <row r="2702" spans="1:3" s="79" customFormat="1" ht="59.1" customHeight="1" x14ac:dyDescent="0.2">
      <c r="A2702" s="81">
        <v>20035613</v>
      </c>
      <c r="B2702" s="80" t="s">
        <v>2993</v>
      </c>
      <c r="C2702" s="81" t="s">
        <v>8224</v>
      </c>
    </row>
    <row r="2703" spans="1:3" s="79" customFormat="1" ht="169.15" customHeight="1" x14ac:dyDescent="0.2">
      <c r="A2703" s="81">
        <v>20035614</v>
      </c>
      <c r="B2703" s="80" t="s">
        <v>2994</v>
      </c>
      <c r="C2703" s="81" t="s">
        <v>8225</v>
      </c>
    </row>
    <row r="2704" spans="1:3" s="79" customFormat="1" ht="169.15" customHeight="1" x14ac:dyDescent="0.2">
      <c r="A2704" s="81">
        <v>20035615</v>
      </c>
      <c r="B2704" s="80" t="s">
        <v>2995</v>
      </c>
      <c r="C2704" s="81" t="s">
        <v>8226</v>
      </c>
    </row>
    <row r="2705" spans="1:3" s="79" customFormat="1" ht="169.15" customHeight="1" x14ac:dyDescent="0.2">
      <c r="A2705" s="81">
        <v>20035616</v>
      </c>
      <c r="B2705" s="80" t="s">
        <v>2996</v>
      </c>
      <c r="C2705" s="81" t="s">
        <v>8227</v>
      </c>
    </row>
    <row r="2706" spans="1:3" s="79" customFormat="1" ht="169.15" customHeight="1" x14ac:dyDescent="0.2">
      <c r="A2706" s="81">
        <v>20035629</v>
      </c>
      <c r="B2706" s="80" t="s">
        <v>2989</v>
      </c>
      <c r="C2706" s="81" t="s">
        <v>8228</v>
      </c>
    </row>
    <row r="2707" spans="1:3" s="79" customFormat="1" ht="89.1" customHeight="1" x14ac:dyDescent="0.2">
      <c r="A2707" s="81">
        <v>20035639</v>
      </c>
      <c r="B2707" s="80" t="s">
        <v>2990</v>
      </c>
      <c r="C2707" s="81" t="s">
        <v>8229</v>
      </c>
    </row>
    <row r="2708" spans="1:3" s="79" customFormat="1" ht="109.35" customHeight="1" x14ac:dyDescent="0.2">
      <c r="A2708" s="81">
        <v>20035640</v>
      </c>
      <c r="B2708" s="80" t="s">
        <v>2991</v>
      </c>
      <c r="C2708" s="82" t="s">
        <v>8230</v>
      </c>
    </row>
    <row r="2709" spans="1:3" s="79" customFormat="1" ht="59.1" customHeight="1" x14ac:dyDescent="0.2">
      <c r="A2709" s="81">
        <v>20035641</v>
      </c>
      <c r="B2709" s="80" t="s">
        <v>2992</v>
      </c>
      <c r="C2709" s="81" t="s">
        <v>8231</v>
      </c>
    </row>
    <row r="2710" spans="1:3" s="79" customFormat="1" ht="118.9" customHeight="1" x14ac:dyDescent="0.2">
      <c r="A2710" s="81">
        <v>20035659</v>
      </c>
      <c r="B2710" s="80" t="s">
        <v>2999</v>
      </c>
      <c r="C2710" s="82" t="s">
        <v>8232</v>
      </c>
    </row>
    <row r="2711" spans="1:3" s="79" customFormat="1" ht="28.7" customHeight="1" x14ac:dyDescent="0.2">
      <c r="A2711" s="81">
        <v>20035678</v>
      </c>
      <c r="B2711" s="80" t="s">
        <v>3000</v>
      </c>
      <c r="C2711" s="81" t="s">
        <v>8233</v>
      </c>
    </row>
    <row r="2712" spans="1:3" s="79" customFormat="1" ht="68.849999999999994" customHeight="1" x14ac:dyDescent="0.2">
      <c r="A2712" s="81">
        <v>20035689</v>
      </c>
      <c r="B2712" s="80" t="s">
        <v>3001</v>
      </c>
      <c r="C2712" s="82" t="s">
        <v>8234</v>
      </c>
    </row>
    <row r="2713" spans="1:3" s="79" customFormat="1" ht="78.95" customHeight="1" x14ac:dyDescent="0.2">
      <c r="A2713" s="81">
        <v>20035692</v>
      </c>
      <c r="B2713" s="80" t="s">
        <v>3002</v>
      </c>
      <c r="C2713" s="81" t="s">
        <v>8236</v>
      </c>
    </row>
    <row r="2714" spans="1:3" s="79" customFormat="1" ht="118.9" customHeight="1" x14ac:dyDescent="0.2">
      <c r="A2714" s="81">
        <v>20035710</v>
      </c>
      <c r="B2714" s="80" t="s">
        <v>3003</v>
      </c>
      <c r="C2714" s="81" t="s">
        <v>8237</v>
      </c>
    </row>
    <row r="2715" spans="1:3" s="79" customFormat="1" ht="118.9" customHeight="1" x14ac:dyDescent="0.2">
      <c r="A2715" s="81">
        <v>20035711</v>
      </c>
      <c r="B2715" s="80" t="s">
        <v>3004</v>
      </c>
      <c r="C2715" s="80" t="s">
        <v>8238</v>
      </c>
    </row>
    <row r="2716" spans="1:3" s="79" customFormat="1" ht="19.149999999999999" customHeight="1" x14ac:dyDescent="0.2">
      <c r="A2716" s="81">
        <v>20035720</v>
      </c>
      <c r="B2716" s="80" t="s">
        <v>10954</v>
      </c>
      <c r="C2716" s="82" t="s">
        <v>10955</v>
      </c>
    </row>
    <row r="2717" spans="1:3" s="79" customFormat="1" ht="78.95" customHeight="1" x14ac:dyDescent="0.2">
      <c r="A2717" s="81">
        <v>20035728</v>
      </c>
      <c r="B2717" s="80" t="s">
        <v>3005</v>
      </c>
      <c r="C2717" s="81" t="s">
        <v>8239</v>
      </c>
    </row>
    <row r="2718" spans="1:3" s="79" customFormat="1" ht="109.35" customHeight="1" x14ac:dyDescent="0.2">
      <c r="A2718" s="81">
        <v>20035729</v>
      </c>
      <c r="B2718" s="80" t="s">
        <v>3006</v>
      </c>
      <c r="C2718" s="82" t="s">
        <v>8240</v>
      </c>
    </row>
    <row r="2719" spans="1:3" s="79" customFormat="1" ht="28.7" customHeight="1" x14ac:dyDescent="0.2">
      <c r="A2719" s="81">
        <v>20035730</v>
      </c>
      <c r="B2719" s="80" t="s">
        <v>3007</v>
      </c>
      <c r="C2719" s="82" t="s">
        <v>8241</v>
      </c>
    </row>
    <row r="2720" spans="1:3" s="79" customFormat="1" ht="28.7" customHeight="1" x14ac:dyDescent="0.2">
      <c r="A2720" s="81">
        <v>20035731</v>
      </c>
      <c r="B2720" s="80" t="s">
        <v>3008</v>
      </c>
      <c r="C2720" s="82" t="s">
        <v>8242</v>
      </c>
    </row>
    <row r="2721" spans="1:3" s="79" customFormat="1" ht="19.149999999999999" customHeight="1" x14ac:dyDescent="0.2">
      <c r="A2721" s="81">
        <v>20035732</v>
      </c>
      <c r="B2721" s="80" t="s">
        <v>3009</v>
      </c>
      <c r="C2721" s="82" t="s">
        <v>8243</v>
      </c>
    </row>
    <row r="2722" spans="1:3" s="79" customFormat="1" ht="28.7" customHeight="1" x14ac:dyDescent="0.2">
      <c r="A2722" s="81">
        <v>20035733</v>
      </c>
      <c r="B2722" s="80" t="s">
        <v>3010</v>
      </c>
      <c r="C2722" s="82" t="s">
        <v>8244</v>
      </c>
    </row>
    <row r="2723" spans="1:3" s="79" customFormat="1" ht="28.7" customHeight="1" x14ac:dyDescent="0.2">
      <c r="A2723" s="81">
        <v>20035734</v>
      </c>
      <c r="B2723" s="80" t="s">
        <v>3011</v>
      </c>
      <c r="C2723" s="82" t="s">
        <v>8245</v>
      </c>
    </row>
    <row r="2724" spans="1:3" s="79" customFormat="1" ht="49.15" customHeight="1" x14ac:dyDescent="0.2">
      <c r="A2724" s="81">
        <v>20035735</v>
      </c>
      <c r="B2724" s="80" t="s">
        <v>3012</v>
      </c>
      <c r="C2724" s="82" t="s">
        <v>8246</v>
      </c>
    </row>
    <row r="2725" spans="1:3" s="79" customFormat="1" ht="49.15" customHeight="1" x14ac:dyDescent="0.2">
      <c r="A2725" s="81">
        <v>20035736</v>
      </c>
      <c r="B2725" s="80" t="s">
        <v>3013</v>
      </c>
      <c r="C2725" s="82" t="s">
        <v>8247</v>
      </c>
    </row>
    <row r="2726" spans="1:3" s="79" customFormat="1" ht="49.15" customHeight="1" x14ac:dyDescent="0.2">
      <c r="A2726" s="81">
        <v>20035737</v>
      </c>
      <c r="B2726" s="80" t="s">
        <v>3014</v>
      </c>
      <c r="C2726" s="82" t="s">
        <v>8248</v>
      </c>
    </row>
    <row r="2727" spans="1:3" s="79" customFormat="1" ht="28.7" customHeight="1" x14ac:dyDescent="0.2">
      <c r="A2727" s="81">
        <v>20035738</v>
      </c>
      <c r="B2727" s="80" t="s">
        <v>3015</v>
      </c>
      <c r="C2727" s="82" t="s">
        <v>8249</v>
      </c>
    </row>
    <row r="2728" spans="1:3" s="79" customFormat="1" ht="28.7" customHeight="1" x14ac:dyDescent="0.2">
      <c r="A2728" s="81">
        <v>20035739</v>
      </c>
      <c r="B2728" s="80" t="s">
        <v>3016</v>
      </c>
      <c r="C2728" s="82" t="s">
        <v>8250</v>
      </c>
    </row>
    <row r="2729" spans="1:3" s="79" customFormat="1" ht="28.7" customHeight="1" x14ac:dyDescent="0.2">
      <c r="A2729" s="81">
        <v>20035740</v>
      </c>
      <c r="B2729" s="80" t="s">
        <v>3017</v>
      </c>
      <c r="C2729" s="82" t="s">
        <v>8251</v>
      </c>
    </row>
    <row r="2730" spans="1:3" s="79" customFormat="1" ht="28.7" customHeight="1" x14ac:dyDescent="0.2">
      <c r="A2730" s="81">
        <v>20035742</v>
      </c>
      <c r="B2730" s="80" t="s">
        <v>3023</v>
      </c>
      <c r="C2730" s="81" t="s">
        <v>8252</v>
      </c>
    </row>
    <row r="2731" spans="1:3" s="79" customFormat="1" ht="158.85" customHeight="1" x14ac:dyDescent="0.2">
      <c r="A2731" s="81">
        <v>20035749</v>
      </c>
      <c r="B2731" s="80" t="s">
        <v>3018</v>
      </c>
      <c r="C2731" s="82" t="s">
        <v>8253</v>
      </c>
    </row>
    <row r="2732" spans="1:3" s="79" customFormat="1" ht="49.15" customHeight="1" x14ac:dyDescent="0.2">
      <c r="A2732" s="81">
        <v>20035750</v>
      </c>
      <c r="B2732" s="80" t="s">
        <v>3019</v>
      </c>
      <c r="C2732" s="82" t="s">
        <v>8254</v>
      </c>
    </row>
    <row r="2733" spans="1:3" s="79" customFormat="1" ht="49.15" customHeight="1" x14ac:dyDescent="0.2">
      <c r="A2733" s="81">
        <v>20035759</v>
      </c>
      <c r="B2733" s="80" t="s">
        <v>3020</v>
      </c>
      <c r="C2733" s="82" t="s">
        <v>8255</v>
      </c>
    </row>
    <row r="2734" spans="1:3" s="79" customFormat="1" ht="59.1" customHeight="1" x14ac:dyDescent="0.2">
      <c r="A2734" s="81">
        <v>20035762</v>
      </c>
      <c r="B2734" s="80" t="s">
        <v>3021</v>
      </c>
      <c r="C2734" s="82" t="s">
        <v>8256</v>
      </c>
    </row>
    <row r="2735" spans="1:3" s="79" customFormat="1" ht="78.95" customHeight="1" x14ac:dyDescent="0.2">
      <c r="A2735" s="81">
        <v>20035764</v>
      </c>
      <c r="B2735" s="80" t="s">
        <v>3022</v>
      </c>
      <c r="C2735" s="82" t="s">
        <v>8257</v>
      </c>
    </row>
    <row r="2736" spans="1:3" s="79" customFormat="1" ht="28.7" customHeight="1" x14ac:dyDescent="0.2">
      <c r="A2736" s="81">
        <v>20035768</v>
      </c>
      <c r="B2736" s="80" t="s">
        <v>3024</v>
      </c>
      <c r="C2736" s="82" t="s">
        <v>8258</v>
      </c>
    </row>
    <row r="2737" spans="1:3" s="79" customFormat="1" ht="28.7" customHeight="1" x14ac:dyDescent="0.2">
      <c r="A2737" s="81">
        <v>20035798</v>
      </c>
      <c r="B2737" s="80" t="s">
        <v>3025</v>
      </c>
      <c r="C2737" s="82" t="s">
        <v>8259</v>
      </c>
    </row>
    <row r="2738" spans="1:3" s="79" customFormat="1" ht="28.7" customHeight="1" x14ac:dyDescent="0.2">
      <c r="A2738" s="81">
        <v>20035799</v>
      </c>
      <c r="B2738" s="80" t="s">
        <v>3026</v>
      </c>
      <c r="C2738" s="82" t="s">
        <v>8260</v>
      </c>
    </row>
    <row r="2739" spans="1:3" s="79" customFormat="1" ht="68.849999999999994" customHeight="1" x14ac:dyDescent="0.2">
      <c r="A2739" s="81">
        <v>20035808</v>
      </c>
      <c r="B2739" s="80" t="s">
        <v>3027</v>
      </c>
      <c r="C2739" s="82" t="s">
        <v>8261</v>
      </c>
    </row>
    <row r="2740" spans="1:3" s="79" customFormat="1" ht="59.1" customHeight="1" x14ac:dyDescent="0.2">
      <c r="A2740" s="81">
        <v>20035828</v>
      </c>
      <c r="B2740" s="80" t="s">
        <v>3028</v>
      </c>
      <c r="C2740" s="81" t="s">
        <v>8262</v>
      </c>
    </row>
    <row r="2741" spans="1:3" s="79" customFormat="1" ht="158.85" customHeight="1" x14ac:dyDescent="0.2">
      <c r="A2741" s="81">
        <v>20035829</v>
      </c>
      <c r="B2741" s="80" t="s">
        <v>3029</v>
      </c>
      <c r="C2741" s="81" t="s">
        <v>8263</v>
      </c>
    </row>
    <row r="2742" spans="1:3" s="79" customFormat="1" ht="299.10000000000002" customHeight="1" x14ac:dyDescent="0.2">
      <c r="A2742" s="81">
        <v>20035830</v>
      </c>
      <c r="B2742" s="80" t="s">
        <v>3030</v>
      </c>
      <c r="C2742" s="81" t="s">
        <v>8264</v>
      </c>
    </row>
    <row r="2743" spans="1:3" s="79" customFormat="1" ht="219.2" customHeight="1" x14ac:dyDescent="0.2">
      <c r="A2743" s="81">
        <v>20035831</v>
      </c>
      <c r="B2743" s="80" t="s">
        <v>3031</v>
      </c>
      <c r="C2743" s="82" t="s">
        <v>8265</v>
      </c>
    </row>
    <row r="2744" spans="1:3" s="79" customFormat="1" ht="68.849999999999994" customHeight="1" x14ac:dyDescent="0.2">
      <c r="A2744" s="81">
        <v>20035838</v>
      </c>
      <c r="B2744" s="80" t="s">
        <v>3032</v>
      </c>
      <c r="C2744" s="82" t="s">
        <v>8266</v>
      </c>
    </row>
    <row r="2745" spans="1:3" s="79" customFormat="1" ht="28.7" customHeight="1" x14ac:dyDescent="0.2">
      <c r="A2745" s="81">
        <v>20035848</v>
      </c>
      <c r="B2745" s="80" t="s">
        <v>3033</v>
      </c>
      <c r="C2745" s="82" t="s">
        <v>8267</v>
      </c>
    </row>
    <row r="2746" spans="1:3" s="79" customFormat="1" ht="49.15" customHeight="1" x14ac:dyDescent="0.2">
      <c r="A2746" s="81">
        <v>20035859</v>
      </c>
      <c r="B2746" s="80" t="s">
        <v>3034</v>
      </c>
      <c r="C2746" s="82" t="s">
        <v>8268</v>
      </c>
    </row>
    <row r="2747" spans="1:3" s="79" customFormat="1" ht="68.849999999999994" customHeight="1" x14ac:dyDescent="0.2">
      <c r="A2747" s="81">
        <v>20035860</v>
      </c>
      <c r="B2747" s="80" t="s">
        <v>3035</v>
      </c>
      <c r="C2747" s="82" t="s">
        <v>8269</v>
      </c>
    </row>
    <row r="2748" spans="1:3" s="79" customFormat="1" ht="68.849999999999994" customHeight="1" x14ac:dyDescent="0.2">
      <c r="A2748" s="81">
        <v>20035863</v>
      </c>
      <c r="B2748" s="80" t="s">
        <v>3042</v>
      </c>
      <c r="C2748" s="82" t="s">
        <v>8270</v>
      </c>
    </row>
    <row r="2749" spans="1:3" s="79" customFormat="1" ht="99.2" customHeight="1" x14ac:dyDescent="0.2">
      <c r="A2749" s="81">
        <v>20035864</v>
      </c>
      <c r="B2749" s="80" t="s">
        <v>3045</v>
      </c>
      <c r="C2749" s="82" t="s">
        <v>8271</v>
      </c>
    </row>
    <row r="2750" spans="1:3" s="79" customFormat="1" ht="68.849999999999994" customHeight="1" x14ac:dyDescent="0.2">
      <c r="A2750" s="81">
        <v>20035865</v>
      </c>
      <c r="B2750" s="80" t="s">
        <v>3046</v>
      </c>
      <c r="C2750" s="80"/>
    </row>
    <row r="2751" spans="1:3" s="79" customFormat="1" ht="19.149999999999999" customHeight="1" x14ac:dyDescent="0.2">
      <c r="A2751" s="81">
        <v>20035866</v>
      </c>
      <c r="B2751" s="80" t="s">
        <v>3047</v>
      </c>
      <c r="C2751" s="81" t="s">
        <v>8272</v>
      </c>
    </row>
    <row r="2752" spans="1:3" s="79" customFormat="1" ht="78.95" customHeight="1" x14ac:dyDescent="0.2">
      <c r="A2752" s="81">
        <v>20035878</v>
      </c>
      <c r="B2752" s="80" t="s">
        <v>3036</v>
      </c>
      <c r="C2752" s="80" t="s">
        <v>11374</v>
      </c>
    </row>
    <row r="2753" spans="1:3" s="79" customFormat="1" ht="19.149999999999999" customHeight="1" x14ac:dyDescent="0.2">
      <c r="A2753" s="81">
        <v>20035905</v>
      </c>
      <c r="B2753" s="80" t="s">
        <v>3037</v>
      </c>
      <c r="C2753" s="82" t="s">
        <v>8273</v>
      </c>
    </row>
    <row r="2754" spans="1:3" s="79" customFormat="1" ht="19.149999999999999" customHeight="1" x14ac:dyDescent="0.2">
      <c r="A2754" s="81">
        <v>20035906</v>
      </c>
      <c r="B2754" s="80" t="s">
        <v>3038</v>
      </c>
      <c r="C2754" s="82" t="s">
        <v>8274</v>
      </c>
    </row>
    <row r="2755" spans="1:3" s="79" customFormat="1" ht="19.149999999999999" customHeight="1" x14ac:dyDescent="0.2">
      <c r="A2755" s="81">
        <v>20035907</v>
      </c>
      <c r="B2755" s="80" t="s">
        <v>3039</v>
      </c>
      <c r="C2755" s="82" t="s">
        <v>8275</v>
      </c>
    </row>
    <row r="2756" spans="1:3" s="79" customFormat="1" ht="19.149999999999999" customHeight="1" x14ac:dyDescent="0.2">
      <c r="A2756" s="81">
        <v>20035908</v>
      </c>
      <c r="B2756" s="80" t="s">
        <v>3040</v>
      </c>
      <c r="C2756" s="82" t="s">
        <v>8276</v>
      </c>
    </row>
    <row r="2757" spans="1:3" s="79" customFormat="1" ht="19.149999999999999" customHeight="1" x14ac:dyDescent="0.2">
      <c r="A2757" s="81">
        <v>20035909</v>
      </c>
      <c r="B2757" s="80" t="s">
        <v>3041</v>
      </c>
      <c r="C2757" s="82" t="s">
        <v>8277</v>
      </c>
    </row>
    <row r="2758" spans="1:3" s="79" customFormat="1" ht="19.149999999999999" customHeight="1" x14ac:dyDescent="0.2">
      <c r="A2758" s="81">
        <v>20035910</v>
      </c>
      <c r="B2758" s="80" t="s">
        <v>3043</v>
      </c>
      <c r="C2758" s="81" t="s">
        <v>8278</v>
      </c>
    </row>
    <row r="2759" spans="1:3" s="79" customFormat="1" ht="99.2" customHeight="1" x14ac:dyDescent="0.2">
      <c r="A2759" s="81">
        <v>20035911</v>
      </c>
      <c r="B2759" s="80" t="s">
        <v>3044</v>
      </c>
      <c r="C2759" s="82" t="s">
        <v>8279</v>
      </c>
    </row>
    <row r="2760" spans="1:3" s="79" customFormat="1" ht="59.1" customHeight="1" x14ac:dyDescent="0.2">
      <c r="A2760" s="81">
        <v>20035934</v>
      </c>
      <c r="B2760" s="80" t="s">
        <v>3049</v>
      </c>
      <c r="C2760" s="81" t="s">
        <v>8280</v>
      </c>
    </row>
    <row r="2761" spans="1:3" s="79" customFormat="1" ht="158.85" customHeight="1" x14ac:dyDescent="0.2">
      <c r="A2761" s="81">
        <v>20035938</v>
      </c>
      <c r="B2761" s="80" t="s">
        <v>3048</v>
      </c>
      <c r="C2761" s="81" t="s">
        <v>8281</v>
      </c>
    </row>
    <row r="2762" spans="1:3" s="79" customFormat="1" ht="59.1" customHeight="1" x14ac:dyDescent="0.2">
      <c r="A2762" s="81">
        <v>20035940</v>
      </c>
      <c r="B2762" s="80" t="s">
        <v>11607</v>
      </c>
      <c r="C2762" s="82" t="s">
        <v>8282</v>
      </c>
    </row>
    <row r="2763" spans="1:3" s="79" customFormat="1" ht="38.85" customHeight="1" x14ac:dyDescent="0.2">
      <c r="A2763" s="81">
        <v>20035942</v>
      </c>
      <c r="B2763" s="80" t="s">
        <v>3050</v>
      </c>
      <c r="C2763" s="81" t="s">
        <v>8283</v>
      </c>
    </row>
    <row r="2764" spans="1:3" s="79" customFormat="1" ht="78.95" customHeight="1" x14ac:dyDescent="0.2">
      <c r="A2764" s="81">
        <v>20035943</v>
      </c>
      <c r="B2764" s="80" t="s">
        <v>3051</v>
      </c>
      <c r="C2764" s="81" t="s">
        <v>8284</v>
      </c>
    </row>
    <row r="2765" spans="1:3" s="79" customFormat="1" ht="149.25" customHeight="1" x14ac:dyDescent="0.2">
      <c r="A2765" s="81">
        <v>20035968</v>
      </c>
      <c r="B2765" s="80" t="s">
        <v>3053</v>
      </c>
      <c r="C2765" s="82" t="s">
        <v>8285</v>
      </c>
    </row>
    <row r="2766" spans="1:3" s="79" customFormat="1" ht="49.15" customHeight="1" x14ac:dyDescent="0.2">
      <c r="A2766" s="81">
        <v>20035969</v>
      </c>
      <c r="B2766" s="80" t="s">
        <v>3054</v>
      </c>
      <c r="C2766" s="82" t="s">
        <v>8286</v>
      </c>
    </row>
    <row r="2767" spans="1:3" s="79" customFormat="1" ht="68.849999999999994" customHeight="1" x14ac:dyDescent="0.2">
      <c r="A2767" s="81">
        <v>20035970</v>
      </c>
      <c r="B2767" s="80" t="s">
        <v>3055</v>
      </c>
      <c r="C2767" s="82" t="s">
        <v>10956</v>
      </c>
    </row>
    <row r="2768" spans="1:3" s="79" customFormat="1" ht="28.7" customHeight="1" x14ac:dyDescent="0.2">
      <c r="A2768" s="81">
        <v>20035978</v>
      </c>
      <c r="B2768" s="80" t="s">
        <v>3056</v>
      </c>
      <c r="C2768" s="82" t="s">
        <v>8287</v>
      </c>
    </row>
    <row r="2769" spans="1:3" s="79" customFormat="1" ht="68.849999999999994" customHeight="1" x14ac:dyDescent="0.2">
      <c r="A2769" s="81">
        <v>20035979</v>
      </c>
      <c r="B2769" s="80" t="s">
        <v>3058</v>
      </c>
      <c r="C2769" s="82" t="s">
        <v>8288</v>
      </c>
    </row>
    <row r="2770" spans="1:3" s="79" customFormat="1" ht="28.7" customHeight="1" x14ac:dyDescent="0.2">
      <c r="A2770" s="81">
        <v>20035980</v>
      </c>
      <c r="B2770" s="80" t="s">
        <v>3059</v>
      </c>
      <c r="C2770" s="82" t="s">
        <v>8289</v>
      </c>
    </row>
    <row r="2771" spans="1:3" s="79" customFormat="1" ht="28.7" customHeight="1" x14ac:dyDescent="0.2">
      <c r="A2771" s="81">
        <v>20035981</v>
      </c>
      <c r="B2771" s="80" t="s">
        <v>3060</v>
      </c>
      <c r="C2771" s="82" t="s">
        <v>8290</v>
      </c>
    </row>
    <row r="2772" spans="1:3" s="79" customFormat="1" ht="28.7" customHeight="1" x14ac:dyDescent="0.2">
      <c r="A2772" s="81">
        <v>20035982</v>
      </c>
      <c r="B2772" s="80" t="s">
        <v>3061</v>
      </c>
      <c r="C2772" s="82" t="s">
        <v>8291</v>
      </c>
    </row>
    <row r="2773" spans="1:3" s="79" customFormat="1" ht="28.7" customHeight="1" x14ac:dyDescent="0.2">
      <c r="A2773" s="81">
        <v>20035990</v>
      </c>
      <c r="B2773" s="80" t="s">
        <v>3062</v>
      </c>
      <c r="C2773" s="82" t="s">
        <v>8292</v>
      </c>
    </row>
    <row r="2774" spans="1:3" s="79" customFormat="1" ht="49.15" customHeight="1" x14ac:dyDescent="0.2">
      <c r="A2774" s="81">
        <v>20036018</v>
      </c>
      <c r="B2774" s="80" t="s">
        <v>3063</v>
      </c>
      <c r="C2774" s="82" t="s">
        <v>8293</v>
      </c>
    </row>
    <row r="2775" spans="1:3" s="79" customFormat="1" ht="49.15" customHeight="1" x14ac:dyDescent="0.2">
      <c r="A2775" s="81">
        <v>20036048</v>
      </c>
      <c r="B2775" s="80" t="s">
        <v>3064</v>
      </c>
      <c r="C2775" s="82" t="s">
        <v>8294</v>
      </c>
    </row>
    <row r="2776" spans="1:3" s="79" customFormat="1" ht="78.95" customHeight="1" x14ac:dyDescent="0.2">
      <c r="A2776" s="81">
        <v>20036049</v>
      </c>
      <c r="B2776" s="80" t="s">
        <v>3065</v>
      </c>
      <c r="C2776" s="82" t="s">
        <v>10923</v>
      </c>
    </row>
    <row r="2777" spans="1:3" s="79" customFormat="1" ht="28.7" customHeight="1" x14ac:dyDescent="0.2">
      <c r="A2777" s="81">
        <v>20036069</v>
      </c>
      <c r="B2777" s="80" t="s">
        <v>3066</v>
      </c>
      <c r="C2777" s="80" t="s">
        <v>8295</v>
      </c>
    </row>
    <row r="2778" spans="1:3" s="79" customFormat="1" ht="19.149999999999999" customHeight="1" x14ac:dyDescent="0.2">
      <c r="A2778" s="81">
        <v>20036070</v>
      </c>
      <c r="B2778" s="80" t="s">
        <v>3067</v>
      </c>
      <c r="C2778" s="82" t="s">
        <v>8296</v>
      </c>
    </row>
    <row r="2779" spans="1:3" s="79" customFormat="1" ht="49.15" customHeight="1" x14ac:dyDescent="0.2">
      <c r="A2779" s="81">
        <v>20036071</v>
      </c>
      <c r="B2779" s="80" t="s">
        <v>3068</v>
      </c>
      <c r="C2779" s="82" t="s">
        <v>8297</v>
      </c>
    </row>
    <row r="2780" spans="1:3" s="79" customFormat="1" ht="49.15" customHeight="1" x14ac:dyDescent="0.2">
      <c r="A2780" s="81">
        <v>20036072</v>
      </c>
      <c r="B2780" s="80" t="s">
        <v>3069</v>
      </c>
      <c r="C2780" s="82" t="s">
        <v>8298</v>
      </c>
    </row>
    <row r="2781" spans="1:3" s="79" customFormat="1" ht="49.15" customHeight="1" x14ac:dyDescent="0.2">
      <c r="A2781" s="81">
        <v>20036108</v>
      </c>
      <c r="B2781" s="80" t="s">
        <v>3071</v>
      </c>
      <c r="C2781" s="82" t="s">
        <v>8299</v>
      </c>
    </row>
    <row r="2782" spans="1:3" s="79" customFormat="1" ht="49.15" customHeight="1" x14ac:dyDescent="0.2">
      <c r="A2782" s="81">
        <v>20036118</v>
      </c>
      <c r="B2782" s="80" t="s">
        <v>3072</v>
      </c>
      <c r="C2782" s="81" t="s">
        <v>8300</v>
      </c>
    </row>
    <row r="2783" spans="1:3" s="79" customFormat="1" ht="89.1" customHeight="1" x14ac:dyDescent="0.2">
      <c r="A2783" s="81">
        <v>20036119</v>
      </c>
      <c r="B2783" s="80" t="s">
        <v>3073</v>
      </c>
      <c r="C2783" s="81" t="s">
        <v>8301</v>
      </c>
    </row>
    <row r="2784" spans="1:3" s="79" customFormat="1" ht="89.1" customHeight="1" x14ac:dyDescent="0.2">
      <c r="A2784" s="81">
        <v>20036121</v>
      </c>
      <c r="B2784" s="80" t="s">
        <v>3074</v>
      </c>
      <c r="C2784" s="82" t="s">
        <v>8302</v>
      </c>
    </row>
    <row r="2785" spans="1:3" s="79" customFormat="1" ht="59.1" customHeight="1" x14ac:dyDescent="0.2">
      <c r="A2785" s="81">
        <v>20036122</v>
      </c>
      <c r="B2785" s="80" t="s">
        <v>3075</v>
      </c>
      <c r="C2785" s="82" t="s">
        <v>8303</v>
      </c>
    </row>
    <row r="2786" spans="1:3" s="79" customFormat="1" ht="59.1" customHeight="1" x14ac:dyDescent="0.2">
      <c r="A2786" s="81">
        <v>20036123</v>
      </c>
      <c r="B2786" s="80" t="s">
        <v>3076</v>
      </c>
      <c r="C2786" s="82" t="s">
        <v>8304</v>
      </c>
    </row>
    <row r="2787" spans="1:3" s="79" customFormat="1" ht="59.1" customHeight="1" x14ac:dyDescent="0.2">
      <c r="A2787" s="81">
        <v>20036158</v>
      </c>
      <c r="B2787" s="80" t="s">
        <v>3077</v>
      </c>
      <c r="C2787" s="81" t="s">
        <v>8305</v>
      </c>
    </row>
    <row r="2788" spans="1:3" s="79" customFormat="1" ht="219.2" customHeight="1" x14ac:dyDescent="0.2">
      <c r="A2788" s="81">
        <v>20036161</v>
      </c>
      <c r="B2788" s="80" t="s">
        <v>3078</v>
      </c>
      <c r="C2788" s="82" t="s">
        <v>8306</v>
      </c>
    </row>
    <row r="2789" spans="1:3" s="79" customFormat="1" ht="28.7" customHeight="1" x14ac:dyDescent="0.2">
      <c r="A2789" s="81">
        <v>20036162</v>
      </c>
      <c r="B2789" s="80" t="s">
        <v>3079</v>
      </c>
      <c r="C2789" s="82" t="s">
        <v>8307</v>
      </c>
    </row>
    <row r="2790" spans="1:3" s="79" customFormat="1" ht="28.7" customHeight="1" x14ac:dyDescent="0.2">
      <c r="A2790" s="81">
        <v>20036163</v>
      </c>
      <c r="B2790" s="80" t="s">
        <v>3080</v>
      </c>
      <c r="C2790" s="82" t="s">
        <v>8308</v>
      </c>
    </row>
    <row r="2791" spans="1:3" s="79" customFormat="1" ht="28.7" customHeight="1" x14ac:dyDescent="0.2">
      <c r="A2791" s="81">
        <v>20036164</v>
      </c>
      <c r="B2791" s="80" t="s">
        <v>3081</v>
      </c>
      <c r="C2791" s="82" t="s">
        <v>8309</v>
      </c>
    </row>
    <row r="2792" spans="1:3" s="79" customFormat="1" ht="28.7" customHeight="1" x14ac:dyDescent="0.2">
      <c r="A2792" s="81">
        <v>20036165</v>
      </c>
      <c r="B2792" s="80" t="s">
        <v>3082</v>
      </c>
      <c r="C2792" s="82" t="s">
        <v>8310</v>
      </c>
    </row>
    <row r="2793" spans="1:3" s="79" customFormat="1" ht="28.7" customHeight="1" x14ac:dyDescent="0.2">
      <c r="A2793" s="81">
        <v>20036166</v>
      </c>
      <c r="B2793" s="80" t="s">
        <v>3083</v>
      </c>
      <c r="C2793" s="82" t="s">
        <v>8311</v>
      </c>
    </row>
    <row r="2794" spans="1:3" s="79" customFormat="1" ht="28.7" customHeight="1" x14ac:dyDescent="0.2">
      <c r="A2794" s="81">
        <v>20036167</v>
      </c>
      <c r="B2794" s="80" t="s">
        <v>3084</v>
      </c>
      <c r="C2794" s="82" t="s">
        <v>8312</v>
      </c>
    </row>
    <row r="2795" spans="1:3" s="79" customFormat="1" ht="28.7" customHeight="1" x14ac:dyDescent="0.2">
      <c r="A2795" s="81">
        <v>20036168</v>
      </c>
      <c r="B2795" s="80" t="s">
        <v>3085</v>
      </c>
      <c r="C2795" s="82" t="s">
        <v>8313</v>
      </c>
    </row>
    <row r="2796" spans="1:3" s="79" customFormat="1" ht="28.7" customHeight="1" x14ac:dyDescent="0.2">
      <c r="A2796" s="81">
        <v>20036170</v>
      </c>
      <c r="B2796" s="80" t="s">
        <v>3086</v>
      </c>
      <c r="C2796" s="82" t="s">
        <v>8314</v>
      </c>
    </row>
    <row r="2797" spans="1:3" s="79" customFormat="1" ht="38.85" customHeight="1" x14ac:dyDescent="0.2">
      <c r="A2797" s="81">
        <v>20036176</v>
      </c>
      <c r="B2797" s="80" t="s">
        <v>3087</v>
      </c>
      <c r="C2797" s="81" t="s">
        <v>8315</v>
      </c>
    </row>
    <row r="2798" spans="1:3" s="79" customFormat="1" ht="59.1" customHeight="1" x14ac:dyDescent="0.2">
      <c r="A2798" s="81">
        <v>20036177</v>
      </c>
      <c r="B2798" s="80" t="s">
        <v>3088</v>
      </c>
      <c r="C2798" s="81" t="s">
        <v>8316</v>
      </c>
    </row>
    <row r="2799" spans="1:3" s="79" customFormat="1" ht="59.1" customHeight="1" x14ac:dyDescent="0.2">
      <c r="A2799" s="81">
        <v>20036181</v>
      </c>
      <c r="B2799" s="80" t="s">
        <v>11025</v>
      </c>
      <c r="C2799" s="80" t="s">
        <v>8317</v>
      </c>
    </row>
    <row r="2800" spans="1:3" s="79" customFormat="1" ht="19.149999999999999" customHeight="1" x14ac:dyDescent="0.2">
      <c r="A2800" s="81">
        <v>20036188</v>
      </c>
      <c r="B2800" s="80" t="s">
        <v>3089</v>
      </c>
      <c r="C2800" s="81" t="s">
        <v>8318</v>
      </c>
    </row>
    <row r="2801" spans="1:3" s="79" customFormat="1" ht="59.1" customHeight="1" x14ac:dyDescent="0.2">
      <c r="A2801" s="81">
        <v>20036189</v>
      </c>
      <c r="B2801" s="80" t="s">
        <v>3090</v>
      </c>
      <c r="C2801" s="81" t="s">
        <v>8319</v>
      </c>
    </row>
    <row r="2802" spans="1:3" s="79" customFormat="1" ht="59.1" customHeight="1" x14ac:dyDescent="0.2">
      <c r="A2802" s="81">
        <v>20036190</v>
      </c>
      <c r="B2802" s="80" t="s">
        <v>3091</v>
      </c>
      <c r="C2802" s="81" t="s">
        <v>8320</v>
      </c>
    </row>
    <row r="2803" spans="1:3" s="79" customFormat="1" ht="59.1" customHeight="1" x14ac:dyDescent="0.2">
      <c r="A2803" s="81">
        <v>20036191</v>
      </c>
      <c r="B2803" s="80" t="s">
        <v>3092</v>
      </c>
      <c r="C2803" s="81" t="s">
        <v>8321</v>
      </c>
    </row>
    <row r="2804" spans="1:3" s="79" customFormat="1" ht="78.95" customHeight="1" x14ac:dyDescent="0.2">
      <c r="A2804" s="81">
        <v>20036192</v>
      </c>
      <c r="B2804" s="80" t="s">
        <v>3093</v>
      </c>
      <c r="C2804" s="81" t="s">
        <v>8322</v>
      </c>
    </row>
    <row r="2805" spans="1:3" s="79" customFormat="1" ht="78.95" customHeight="1" x14ac:dyDescent="0.2">
      <c r="A2805" s="81">
        <v>20036193</v>
      </c>
      <c r="B2805" s="80" t="s">
        <v>3094</v>
      </c>
      <c r="C2805" s="81" t="s">
        <v>8323</v>
      </c>
    </row>
    <row r="2806" spans="1:3" s="79" customFormat="1" ht="68.849999999999994" customHeight="1" x14ac:dyDescent="0.2">
      <c r="A2806" s="81">
        <v>20036194</v>
      </c>
      <c r="B2806" s="80" t="s">
        <v>3095</v>
      </c>
      <c r="C2806" s="81" t="s">
        <v>8324</v>
      </c>
    </row>
    <row r="2807" spans="1:3" s="79" customFormat="1" ht="59.1" customHeight="1" x14ac:dyDescent="0.2">
      <c r="A2807" s="81">
        <v>20036195</v>
      </c>
      <c r="B2807" s="80" t="s">
        <v>3096</v>
      </c>
      <c r="C2807" s="81" t="s">
        <v>8325</v>
      </c>
    </row>
    <row r="2808" spans="1:3" s="79" customFormat="1" ht="59.1" customHeight="1" x14ac:dyDescent="0.2">
      <c r="A2808" s="81">
        <v>20036197</v>
      </c>
      <c r="B2808" s="80" t="s">
        <v>3097</v>
      </c>
      <c r="C2808" s="81" t="s">
        <v>8326</v>
      </c>
    </row>
    <row r="2809" spans="1:3" s="79" customFormat="1" ht="59.1" customHeight="1" x14ac:dyDescent="0.2">
      <c r="A2809" s="81">
        <v>20036208</v>
      </c>
      <c r="B2809" s="80" t="s">
        <v>3098</v>
      </c>
      <c r="C2809" s="82" t="s">
        <v>8327</v>
      </c>
    </row>
    <row r="2810" spans="1:3" s="79" customFormat="1" ht="99.2" customHeight="1" x14ac:dyDescent="0.2">
      <c r="A2810" s="81">
        <v>20036245</v>
      </c>
      <c r="B2810" s="80" t="s">
        <v>3099</v>
      </c>
      <c r="C2810" s="81" t="s">
        <v>8328</v>
      </c>
    </row>
    <row r="2811" spans="1:3" s="79" customFormat="1" ht="149.25" customHeight="1" x14ac:dyDescent="0.2">
      <c r="A2811" s="81">
        <v>20036248</v>
      </c>
      <c r="B2811" s="80" t="s">
        <v>3100</v>
      </c>
      <c r="C2811" s="82" t="s">
        <v>8329</v>
      </c>
    </row>
    <row r="2812" spans="1:3" s="79" customFormat="1" ht="59.1" customHeight="1" x14ac:dyDescent="0.2">
      <c r="A2812" s="81">
        <v>20036262</v>
      </c>
      <c r="B2812" s="80" t="s">
        <v>3101</v>
      </c>
      <c r="C2812" s="82" t="s">
        <v>8330</v>
      </c>
    </row>
    <row r="2813" spans="1:3" s="79" customFormat="1" ht="49.15" customHeight="1" x14ac:dyDescent="0.2">
      <c r="A2813" s="81">
        <v>20036264</v>
      </c>
      <c r="B2813" s="80" t="s">
        <v>3102</v>
      </c>
      <c r="C2813" s="81" t="s">
        <v>8331</v>
      </c>
    </row>
    <row r="2814" spans="1:3" s="79" customFormat="1" ht="149.25" customHeight="1" x14ac:dyDescent="0.2">
      <c r="A2814" s="81">
        <v>20036268</v>
      </c>
      <c r="B2814" s="80" t="s">
        <v>3103</v>
      </c>
      <c r="C2814" s="82" t="s">
        <v>8332</v>
      </c>
    </row>
    <row r="2815" spans="1:3" s="79" customFormat="1" ht="49.15" customHeight="1" x14ac:dyDescent="0.2">
      <c r="A2815" s="81">
        <v>20036269</v>
      </c>
      <c r="B2815" s="80" t="s">
        <v>3104</v>
      </c>
      <c r="C2815" s="82" t="s">
        <v>8333</v>
      </c>
    </row>
    <row r="2816" spans="1:3" s="79" customFormat="1" ht="38.85" customHeight="1" x14ac:dyDescent="0.2">
      <c r="A2816" s="81">
        <v>20036278</v>
      </c>
      <c r="B2816" s="80" t="s">
        <v>3105</v>
      </c>
      <c r="C2816" s="82" t="s">
        <v>8334</v>
      </c>
    </row>
    <row r="2817" spans="1:3" s="79" customFormat="1" ht="38.85" customHeight="1" x14ac:dyDescent="0.2">
      <c r="A2817" s="81">
        <v>20036279</v>
      </c>
      <c r="B2817" s="80" t="s">
        <v>3106</v>
      </c>
      <c r="C2817" s="82" t="s">
        <v>8335</v>
      </c>
    </row>
    <row r="2818" spans="1:3" s="79" customFormat="1" ht="49.15" customHeight="1" x14ac:dyDescent="0.2">
      <c r="A2818" s="81">
        <v>20036280</v>
      </c>
      <c r="B2818" s="80" t="s">
        <v>3107</v>
      </c>
      <c r="C2818" s="82" t="s">
        <v>8336</v>
      </c>
    </row>
    <row r="2819" spans="1:3" s="79" customFormat="1" ht="38.85" customHeight="1" x14ac:dyDescent="0.2">
      <c r="A2819" s="81">
        <v>20036289</v>
      </c>
      <c r="B2819" s="80" t="s">
        <v>3124</v>
      </c>
      <c r="C2819" s="81" t="s">
        <v>8337</v>
      </c>
    </row>
    <row r="2820" spans="1:3" s="79" customFormat="1" ht="158.85" customHeight="1" x14ac:dyDescent="0.2">
      <c r="A2820" s="81">
        <v>20036290</v>
      </c>
      <c r="B2820" s="80" t="s">
        <v>3125</v>
      </c>
      <c r="C2820" s="82" t="s">
        <v>8338</v>
      </c>
    </row>
    <row r="2821" spans="1:3" s="79" customFormat="1" ht="68.849999999999994" customHeight="1" x14ac:dyDescent="0.2">
      <c r="A2821" s="81">
        <v>20036294</v>
      </c>
      <c r="B2821" s="80" t="s">
        <v>3128</v>
      </c>
      <c r="C2821" s="81" t="s">
        <v>8339</v>
      </c>
    </row>
    <row r="2822" spans="1:3" s="79" customFormat="1" ht="99.2" customHeight="1" x14ac:dyDescent="0.2">
      <c r="A2822" s="81">
        <v>20036301</v>
      </c>
      <c r="B2822" s="80" t="s">
        <v>3108</v>
      </c>
      <c r="C2822" s="81" t="s">
        <v>8340</v>
      </c>
    </row>
    <row r="2823" spans="1:3" s="79" customFormat="1" ht="129" customHeight="1" x14ac:dyDescent="0.2">
      <c r="A2823" s="81">
        <v>20036302</v>
      </c>
      <c r="B2823" s="80" t="s">
        <v>3109</v>
      </c>
      <c r="C2823" s="82" t="s">
        <v>8341</v>
      </c>
    </row>
    <row r="2824" spans="1:3" s="79" customFormat="1" ht="19.149999999999999" customHeight="1" x14ac:dyDescent="0.2">
      <c r="A2824" s="81">
        <v>20036303</v>
      </c>
      <c r="B2824" s="80" t="s">
        <v>3110</v>
      </c>
      <c r="C2824" s="82" t="s">
        <v>8342</v>
      </c>
    </row>
    <row r="2825" spans="1:3" s="79" customFormat="1" ht="28.7" customHeight="1" x14ac:dyDescent="0.2">
      <c r="A2825" s="81">
        <v>20036304</v>
      </c>
      <c r="B2825" s="80" t="s">
        <v>3111</v>
      </c>
      <c r="C2825" s="82" t="s">
        <v>8343</v>
      </c>
    </row>
    <row r="2826" spans="1:3" s="79" customFormat="1" ht="49.15" customHeight="1" x14ac:dyDescent="0.2">
      <c r="A2826" s="81">
        <v>20036308</v>
      </c>
      <c r="B2826" s="80" t="s">
        <v>3112</v>
      </c>
      <c r="C2826" s="82" t="s">
        <v>8344</v>
      </c>
    </row>
    <row r="2827" spans="1:3" s="79" customFormat="1" ht="38.85" customHeight="1" x14ac:dyDescent="0.2">
      <c r="A2827" s="81">
        <v>20036310</v>
      </c>
      <c r="B2827" s="80" t="s">
        <v>10957</v>
      </c>
      <c r="C2827" s="82" t="s">
        <v>8345</v>
      </c>
    </row>
    <row r="2828" spans="1:3" s="79" customFormat="1" ht="28.7" customHeight="1" x14ac:dyDescent="0.2">
      <c r="A2828" s="81">
        <v>20036311</v>
      </c>
      <c r="B2828" s="80" t="s">
        <v>3113</v>
      </c>
      <c r="C2828" s="82" t="s">
        <v>8346</v>
      </c>
    </row>
    <row r="2829" spans="1:3" s="79" customFormat="1" ht="28.7" customHeight="1" x14ac:dyDescent="0.2">
      <c r="A2829" s="81">
        <v>20036312</v>
      </c>
      <c r="B2829" s="80" t="s">
        <v>3114</v>
      </c>
      <c r="C2829" s="81" t="s">
        <v>8347</v>
      </c>
    </row>
    <row r="2830" spans="1:3" s="79" customFormat="1" ht="279.39999999999998" customHeight="1" x14ac:dyDescent="0.2">
      <c r="A2830" s="81">
        <v>20036313</v>
      </c>
      <c r="B2830" s="80" t="s">
        <v>3115</v>
      </c>
      <c r="C2830" s="82" t="s">
        <v>8348</v>
      </c>
    </row>
    <row r="2831" spans="1:3" s="79" customFormat="1" ht="28.7" customHeight="1" x14ac:dyDescent="0.2">
      <c r="A2831" s="81">
        <v>20036314</v>
      </c>
      <c r="B2831" s="80" t="s">
        <v>3116</v>
      </c>
      <c r="C2831" s="82" t="s">
        <v>8349</v>
      </c>
    </row>
    <row r="2832" spans="1:3" s="79" customFormat="1" ht="49.15" customHeight="1" x14ac:dyDescent="0.2">
      <c r="A2832" s="81">
        <v>20036315</v>
      </c>
      <c r="B2832" s="80" t="s">
        <v>3117</v>
      </c>
      <c r="C2832" s="82" t="s">
        <v>8350</v>
      </c>
    </row>
    <row r="2833" spans="1:3" s="79" customFormat="1" ht="28.7" customHeight="1" x14ac:dyDescent="0.2">
      <c r="A2833" s="81">
        <v>20036316</v>
      </c>
      <c r="B2833" s="80" t="s">
        <v>3118</v>
      </c>
      <c r="C2833" s="82" t="s">
        <v>8351</v>
      </c>
    </row>
    <row r="2834" spans="1:3" s="79" customFormat="1" ht="38.85" customHeight="1" x14ac:dyDescent="0.2">
      <c r="A2834" s="81">
        <v>20036317</v>
      </c>
      <c r="B2834" s="80" t="s">
        <v>3119</v>
      </c>
      <c r="C2834" s="82" t="s">
        <v>8352</v>
      </c>
    </row>
    <row r="2835" spans="1:3" s="79" customFormat="1" ht="49.15" customHeight="1" x14ac:dyDescent="0.2">
      <c r="A2835" s="81">
        <v>20036326</v>
      </c>
      <c r="B2835" s="80" t="s">
        <v>3120</v>
      </c>
      <c r="C2835" s="82" t="s">
        <v>8353</v>
      </c>
    </row>
    <row r="2836" spans="1:3" s="79" customFormat="1" ht="38.85" customHeight="1" x14ac:dyDescent="0.2">
      <c r="A2836" s="81">
        <v>20036328</v>
      </c>
      <c r="B2836" s="80" t="s">
        <v>3121</v>
      </c>
      <c r="C2836" s="82" t="s">
        <v>8354</v>
      </c>
    </row>
    <row r="2837" spans="1:3" s="79" customFormat="1" ht="38.85" customHeight="1" x14ac:dyDescent="0.2">
      <c r="A2837" s="81">
        <v>20036340</v>
      </c>
      <c r="B2837" s="80" t="s">
        <v>3122</v>
      </c>
      <c r="C2837" s="82" t="s">
        <v>8355</v>
      </c>
    </row>
    <row r="2838" spans="1:3" s="79" customFormat="1" ht="38.85" customHeight="1" x14ac:dyDescent="0.2">
      <c r="A2838" s="81">
        <v>20036341</v>
      </c>
      <c r="B2838" s="80" t="s">
        <v>3123</v>
      </c>
      <c r="C2838" s="82" t="s">
        <v>8356</v>
      </c>
    </row>
    <row r="2839" spans="1:3" s="79" customFormat="1" ht="38.85" customHeight="1" x14ac:dyDescent="0.2">
      <c r="A2839" s="81">
        <v>20036358</v>
      </c>
      <c r="B2839" s="80" t="s">
        <v>3126</v>
      </c>
      <c r="C2839" s="82" t="s">
        <v>8357</v>
      </c>
    </row>
    <row r="2840" spans="1:3" s="79" customFormat="1" ht="28.7" customHeight="1" x14ac:dyDescent="0.2">
      <c r="A2840" s="81">
        <v>20036359</v>
      </c>
      <c r="B2840" s="80" t="s">
        <v>11426</v>
      </c>
      <c r="C2840" s="81" t="s">
        <v>11427</v>
      </c>
    </row>
    <row r="2841" spans="1:3" s="79" customFormat="1" ht="99.2" customHeight="1" x14ac:dyDescent="0.2">
      <c r="A2841" s="81">
        <v>20036360</v>
      </c>
      <c r="B2841" s="80" t="s">
        <v>3127</v>
      </c>
      <c r="C2841" s="81" t="s">
        <v>8358</v>
      </c>
    </row>
    <row r="2842" spans="1:3" s="79" customFormat="1" ht="139.15" customHeight="1" x14ac:dyDescent="0.2">
      <c r="A2842" s="81">
        <v>20036362</v>
      </c>
      <c r="B2842" s="80" t="s">
        <v>3131</v>
      </c>
      <c r="C2842" s="82" t="s">
        <v>8359</v>
      </c>
    </row>
    <row r="2843" spans="1:3" s="79" customFormat="1" ht="28.7" customHeight="1" x14ac:dyDescent="0.2">
      <c r="A2843" s="81">
        <v>20036363</v>
      </c>
      <c r="B2843" s="80" t="s">
        <v>3132</v>
      </c>
      <c r="C2843" s="82" t="s">
        <v>8360</v>
      </c>
    </row>
    <row r="2844" spans="1:3" s="79" customFormat="1" ht="28.7" customHeight="1" x14ac:dyDescent="0.2">
      <c r="A2844" s="81">
        <v>20036364</v>
      </c>
      <c r="B2844" s="80" t="s">
        <v>3133</v>
      </c>
      <c r="C2844" s="82" t="s">
        <v>8361</v>
      </c>
    </row>
    <row r="2845" spans="1:3" s="79" customFormat="1" ht="28.7" customHeight="1" x14ac:dyDescent="0.2">
      <c r="A2845" s="81">
        <v>20036368</v>
      </c>
      <c r="B2845" s="80" t="s">
        <v>3129</v>
      </c>
      <c r="C2845" s="82" t="s">
        <v>8362</v>
      </c>
    </row>
    <row r="2846" spans="1:3" s="79" customFormat="1" ht="68.849999999999994" customHeight="1" x14ac:dyDescent="0.2">
      <c r="A2846" s="81">
        <v>20036369</v>
      </c>
      <c r="B2846" s="80" t="s">
        <v>3134</v>
      </c>
      <c r="C2846" s="82" t="s">
        <v>8363</v>
      </c>
    </row>
    <row r="2847" spans="1:3" s="79" customFormat="1" ht="38.85" customHeight="1" x14ac:dyDescent="0.2">
      <c r="A2847" s="81">
        <v>20036380</v>
      </c>
      <c r="B2847" s="80" t="s">
        <v>3130</v>
      </c>
      <c r="C2847" s="82" t="s">
        <v>8364</v>
      </c>
    </row>
    <row r="2848" spans="1:3" s="79" customFormat="1" ht="59.1" customHeight="1" x14ac:dyDescent="0.2">
      <c r="A2848" s="81">
        <v>20036408</v>
      </c>
      <c r="B2848" s="80" t="s">
        <v>3135</v>
      </c>
      <c r="C2848" s="80"/>
    </row>
    <row r="2849" spans="1:3" s="79" customFormat="1" ht="19.149999999999999" customHeight="1" x14ac:dyDescent="0.2">
      <c r="A2849" s="81">
        <v>20036418</v>
      </c>
      <c r="B2849" s="80" t="s">
        <v>3136</v>
      </c>
      <c r="C2849" s="81" t="s">
        <v>8365</v>
      </c>
    </row>
    <row r="2850" spans="1:3" s="79" customFormat="1" ht="189.4" customHeight="1" x14ac:dyDescent="0.2">
      <c r="A2850" s="81">
        <v>20036420</v>
      </c>
      <c r="B2850" s="80" t="s">
        <v>3137</v>
      </c>
      <c r="C2850" s="82" t="s">
        <v>8366</v>
      </c>
    </row>
    <row r="2851" spans="1:3" s="79" customFormat="1" ht="38.85" customHeight="1" x14ac:dyDescent="0.2">
      <c r="A2851" s="81">
        <v>20036430</v>
      </c>
      <c r="B2851" s="80" t="s">
        <v>3138</v>
      </c>
      <c r="C2851" s="81" t="s">
        <v>8367</v>
      </c>
    </row>
    <row r="2852" spans="1:3" s="79" customFormat="1" ht="118.9" customHeight="1" x14ac:dyDescent="0.2">
      <c r="A2852" s="81">
        <v>20036431</v>
      </c>
      <c r="B2852" s="80" t="s">
        <v>3139</v>
      </c>
      <c r="C2852" s="82" t="s">
        <v>8368</v>
      </c>
    </row>
    <row r="2853" spans="1:3" s="79" customFormat="1" ht="68.849999999999994" customHeight="1" x14ac:dyDescent="0.2">
      <c r="A2853" s="81">
        <v>20036478</v>
      </c>
      <c r="B2853" s="80" t="s">
        <v>3140</v>
      </c>
      <c r="C2853" s="82" t="s">
        <v>8369</v>
      </c>
    </row>
    <row r="2854" spans="1:3" s="79" customFormat="1" ht="109.35" customHeight="1" x14ac:dyDescent="0.2">
      <c r="A2854" s="81">
        <v>20036558</v>
      </c>
      <c r="B2854" s="80" t="s">
        <v>3141</v>
      </c>
      <c r="C2854" s="82" t="s">
        <v>8370</v>
      </c>
    </row>
    <row r="2855" spans="1:3" s="79" customFormat="1" ht="59.1" customHeight="1" x14ac:dyDescent="0.2">
      <c r="A2855" s="81">
        <v>20036561</v>
      </c>
      <c r="B2855" s="80" t="s">
        <v>3145</v>
      </c>
      <c r="C2855" s="81" t="s">
        <v>8371</v>
      </c>
    </row>
    <row r="2856" spans="1:3" s="79" customFormat="1" ht="189.4" customHeight="1" x14ac:dyDescent="0.2">
      <c r="A2856" s="81">
        <v>20036569</v>
      </c>
      <c r="B2856" s="80" t="s">
        <v>3146</v>
      </c>
      <c r="C2856" s="81" t="s">
        <v>8372</v>
      </c>
    </row>
    <row r="2857" spans="1:3" s="79" customFormat="1" ht="99.2" customHeight="1" x14ac:dyDescent="0.2">
      <c r="A2857" s="81">
        <v>20036622</v>
      </c>
      <c r="B2857" s="80" t="s">
        <v>3142</v>
      </c>
      <c r="C2857" s="82" t="s">
        <v>8373</v>
      </c>
    </row>
    <row r="2858" spans="1:3" s="79" customFormat="1" ht="59.1" customHeight="1" x14ac:dyDescent="0.2">
      <c r="A2858" s="81">
        <v>20036623</v>
      </c>
      <c r="B2858" s="80" t="s">
        <v>3143</v>
      </c>
      <c r="C2858" s="82" t="s">
        <v>8374</v>
      </c>
    </row>
    <row r="2859" spans="1:3" s="79" customFormat="1" ht="68.849999999999994" customHeight="1" x14ac:dyDescent="0.2">
      <c r="A2859" s="81">
        <v>20036624</v>
      </c>
      <c r="B2859" s="80" t="s">
        <v>3144</v>
      </c>
      <c r="C2859" s="82" t="s">
        <v>8375</v>
      </c>
    </row>
    <row r="2860" spans="1:3" s="79" customFormat="1" ht="59.1" customHeight="1" x14ac:dyDescent="0.2">
      <c r="A2860" s="81">
        <v>20036628</v>
      </c>
      <c r="B2860" s="80" t="s">
        <v>3147</v>
      </c>
      <c r="C2860" s="82" t="s">
        <v>8376</v>
      </c>
    </row>
    <row r="2861" spans="1:3" s="79" customFormat="1" ht="38.85" customHeight="1" x14ac:dyDescent="0.2">
      <c r="A2861" s="81">
        <v>20036629</v>
      </c>
      <c r="B2861" s="80" t="s">
        <v>3148</v>
      </c>
      <c r="C2861" s="82" t="s">
        <v>8377</v>
      </c>
    </row>
    <row r="2862" spans="1:3" s="79" customFormat="1" ht="38.85" customHeight="1" x14ac:dyDescent="0.2">
      <c r="A2862" s="81">
        <v>20036631</v>
      </c>
      <c r="B2862" s="80" t="s">
        <v>3149</v>
      </c>
      <c r="C2862" s="82" t="s">
        <v>8378</v>
      </c>
    </row>
    <row r="2863" spans="1:3" s="79" customFormat="1" ht="59.1" customHeight="1" x14ac:dyDescent="0.2">
      <c r="A2863" s="81">
        <v>20036632</v>
      </c>
      <c r="B2863" s="80" t="s">
        <v>3150</v>
      </c>
      <c r="C2863" s="82" t="s">
        <v>8379</v>
      </c>
    </row>
    <row r="2864" spans="1:3" s="79" customFormat="1" ht="59.1" customHeight="1" x14ac:dyDescent="0.2">
      <c r="A2864" s="81">
        <v>20036633</v>
      </c>
      <c r="B2864" s="80" t="s">
        <v>3151</v>
      </c>
      <c r="C2864" s="82" t="s">
        <v>8380</v>
      </c>
    </row>
    <row r="2865" spans="1:3" s="79" customFormat="1" ht="59.1" customHeight="1" x14ac:dyDescent="0.2">
      <c r="A2865" s="81">
        <v>20036634</v>
      </c>
      <c r="B2865" s="80" t="s">
        <v>3152</v>
      </c>
      <c r="C2865" s="82" t="s">
        <v>8381</v>
      </c>
    </row>
    <row r="2866" spans="1:3" s="79" customFormat="1" ht="59.1" customHeight="1" x14ac:dyDescent="0.2">
      <c r="A2866" s="81">
        <v>20036635</v>
      </c>
      <c r="B2866" s="80" t="s">
        <v>3153</v>
      </c>
      <c r="C2866" s="82" t="s">
        <v>8382</v>
      </c>
    </row>
    <row r="2867" spans="1:3" s="79" customFormat="1" ht="59.1" customHeight="1" x14ac:dyDescent="0.2">
      <c r="A2867" s="81">
        <v>20036636</v>
      </c>
      <c r="B2867" s="80" t="s">
        <v>3154</v>
      </c>
      <c r="C2867" s="82" t="s">
        <v>8383</v>
      </c>
    </row>
    <row r="2868" spans="1:3" s="79" customFormat="1" ht="59.1" customHeight="1" x14ac:dyDescent="0.2">
      <c r="A2868" s="81">
        <v>20036637</v>
      </c>
      <c r="B2868" s="80" t="s">
        <v>3155</v>
      </c>
      <c r="C2868" s="82" t="s">
        <v>8384</v>
      </c>
    </row>
    <row r="2869" spans="1:3" s="79" customFormat="1" ht="59.1" customHeight="1" x14ac:dyDescent="0.2">
      <c r="A2869" s="81">
        <v>20036690</v>
      </c>
      <c r="B2869" s="80" t="s">
        <v>3160</v>
      </c>
      <c r="C2869" s="81" t="s">
        <v>8385</v>
      </c>
    </row>
    <row r="2870" spans="1:3" s="79" customFormat="1" ht="139.15" customHeight="1" x14ac:dyDescent="0.2">
      <c r="A2870" s="81">
        <v>20036708</v>
      </c>
      <c r="B2870" s="80" t="s">
        <v>3156</v>
      </c>
      <c r="C2870" s="82" t="s">
        <v>8386</v>
      </c>
    </row>
    <row r="2871" spans="1:3" s="79" customFormat="1" ht="59.1" customHeight="1" x14ac:dyDescent="0.2">
      <c r="A2871" s="81">
        <v>20036709</v>
      </c>
      <c r="B2871" s="80" t="s">
        <v>3157</v>
      </c>
      <c r="C2871" s="82" t="s">
        <v>8387</v>
      </c>
    </row>
    <row r="2872" spans="1:3" s="79" customFormat="1" ht="59.1" customHeight="1" x14ac:dyDescent="0.2">
      <c r="A2872" s="81">
        <v>20036710</v>
      </c>
      <c r="B2872" s="80" t="s">
        <v>3158</v>
      </c>
      <c r="C2872" s="82" t="s">
        <v>8388</v>
      </c>
    </row>
    <row r="2873" spans="1:3" s="79" customFormat="1" ht="28.7" customHeight="1" x14ac:dyDescent="0.2">
      <c r="A2873" s="81">
        <v>20036711</v>
      </c>
      <c r="B2873" s="80" t="s">
        <v>3159</v>
      </c>
      <c r="C2873" s="82" t="s">
        <v>8389</v>
      </c>
    </row>
    <row r="2874" spans="1:3" s="79" customFormat="1" ht="28.7" customHeight="1" x14ac:dyDescent="0.2">
      <c r="A2874" s="81">
        <v>20036718</v>
      </c>
      <c r="B2874" s="80" t="s">
        <v>3161</v>
      </c>
      <c r="C2874" s="82" t="s">
        <v>8390</v>
      </c>
    </row>
    <row r="2875" spans="1:3" s="79" customFormat="1" ht="38.85" customHeight="1" x14ac:dyDescent="0.2">
      <c r="A2875" s="81">
        <v>20036720</v>
      </c>
      <c r="B2875" s="80" t="s">
        <v>3162</v>
      </c>
      <c r="C2875" s="82" t="s">
        <v>8391</v>
      </c>
    </row>
    <row r="2876" spans="1:3" s="79" customFormat="1" ht="38.85" customHeight="1" x14ac:dyDescent="0.2">
      <c r="A2876" s="81">
        <v>20036749</v>
      </c>
      <c r="B2876" s="80" t="s">
        <v>3163</v>
      </c>
      <c r="C2876" s="82" t="s">
        <v>8392</v>
      </c>
    </row>
    <row r="2877" spans="1:3" s="79" customFormat="1" ht="38.85" customHeight="1" x14ac:dyDescent="0.2">
      <c r="A2877" s="81">
        <v>20036759</v>
      </c>
      <c r="B2877" s="80" t="s">
        <v>3164</v>
      </c>
      <c r="C2877" s="81" t="s">
        <v>8393</v>
      </c>
    </row>
    <row r="2878" spans="1:3" s="79" customFormat="1" ht="169.15" customHeight="1" x14ac:dyDescent="0.2">
      <c r="A2878" s="81">
        <v>20036761</v>
      </c>
      <c r="B2878" s="80" t="s">
        <v>3165</v>
      </c>
      <c r="C2878" s="82" t="s">
        <v>8394</v>
      </c>
    </row>
    <row r="2879" spans="1:3" s="79" customFormat="1" ht="78.95" customHeight="1" x14ac:dyDescent="0.2">
      <c r="A2879" s="81">
        <v>20036778</v>
      </c>
      <c r="B2879" s="80" t="s">
        <v>3166</v>
      </c>
      <c r="C2879" s="82" t="s">
        <v>8395</v>
      </c>
    </row>
    <row r="2880" spans="1:3" s="79" customFormat="1" ht="28.7" customHeight="1" x14ac:dyDescent="0.2">
      <c r="A2880" s="81">
        <v>20036788</v>
      </c>
      <c r="B2880" s="80" t="s">
        <v>3167</v>
      </c>
      <c r="C2880" s="82" t="s">
        <v>8396</v>
      </c>
    </row>
    <row r="2881" spans="1:3" s="79" customFormat="1" ht="49.15" customHeight="1" x14ac:dyDescent="0.2">
      <c r="A2881" s="81">
        <v>20036789</v>
      </c>
      <c r="B2881" s="80" t="s">
        <v>3168</v>
      </c>
      <c r="C2881" s="82" t="s">
        <v>8397</v>
      </c>
    </row>
    <row r="2882" spans="1:3" s="79" customFormat="1" ht="19.149999999999999" customHeight="1" x14ac:dyDescent="0.2">
      <c r="A2882" s="81">
        <v>20036794</v>
      </c>
      <c r="B2882" s="80" t="s">
        <v>3204</v>
      </c>
      <c r="C2882" s="82" t="s">
        <v>8398</v>
      </c>
    </row>
    <row r="2883" spans="1:3" s="79" customFormat="1" ht="68.849999999999994" customHeight="1" x14ac:dyDescent="0.2">
      <c r="A2883" s="81">
        <v>20036795</v>
      </c>
      <c r="B2883" s="80" t="s">
        <v>3205</v>
      </c>
      <c r="C2883" s="82" t="s">
        <v>8399</v>
      </c>
    </row>
    <row r="2884" spans="1:3" s="79" customFormat="1" ht="59.1" customHeight="1" x14ac:dyDescent="0.2">
      <c r="A2884" s="81">
        <v>20036796</v>
      </c>
      <c r="B2884" s="80" t="s">
        <v>3206</v>
      </c>
      <c r="C2884" s="82" t="s">
        <v>8400</v>
      </c>
    </row>
    <row r="2885" spans="1:3" s="79" customFormat="1" ht="68.849999999999994" customHeight="1" x14ac:dyDescent="0.2">
      <c r="A2885" s="81">
        <v>20036797</v>
      </c>
      <c r="B2885" s="80" t="s">
        <v>3207</v>
      </c>
      <c r="C2885" s="82" t="s">
        <v>8401</v>
      </c>
    </row>
    <row r="2886" spans="1:3" s="79" customFormat="1" ht="59.1" customHeight="1" x14ac:dyDescent="0.2">
      <c r="A2886" s="81">
        <v>20036801</v>
      </c>
      <c r="B2886" s="80" t="s">
        <v>3172</v>
      </c>
      <c r="C2886" s="81" t="s">
        <v>8402</v>
      </c>
    </row>
    <row r="2887" spans="1:3" s="79" customFormat="1" ht="139.15" customHeight="1" x14ac:dyDescent="0.2">
      <c r="A2887" s="81">
        <v>20036802</v>
      </c>
      <c r="B2887" s="80" t="s">
        <v>3173</v>
      </c>
      <c r="C2887" s="81" t="s">
        <v>8403</v>
      </c>
    </row>
    <row r="2888" spans="1:3" s="79" customFormat="1" ht="149.25" customHeight="1" x14ac:dyDescent="0.2">
      <c r="A2888" s="81">
        <v>20036803</v>
      </c>
      <c r="B2888" s="80" t="s">
        <v>3174</v>
      </c>
      <c r="C2888" s="81" t="s">
        <v>8404</v>
      </c>
    </row>
    <row r="2889" spans="1:3" s="79" customFormat="1" ht="139.15" customHeight="1" x14ac:dyDescent="0.2">
      <c r="A2889" s="81">
        <v>20036804</v>
      </c>
      <c r="B2889" s="80" t="s">
        <v>3175</v>
      </c>
      <c r="C2889" s="81" t="s">
        <v>8405</v>
      </c>
    </row>
    <row r="2890" spans="1:3" s="79" customFormat="1" ht="139.15" customHeight="1" x14ac:dyDescent="0.2">
      <c r="A2890" s="81">
        <v>20036805</v>
      </c>
      <c r="B2890" s="80" t="s">
        <v>3176</v>
      </c>
      <c r="C2890" s="81" t="s">
        <v>8406</v>
      </c>
    </row>
    <row r="2891" spans="1:3" s="79" customFormat="1" ht="139.15" customHeight="1" x14ac:dyDescent="0.2">
      <c r="A2891" s="81">
        <v>20036806</v>
      </c>
      <c r="B2891" s="80" t="s">
        <v>3177</v>
      </c>
      <c r="C2891" s="81" t="s">
        <v>8407</v>
      </c>
    </row>
    <row r="2892" spans="1:3" s="79" customFormat="1" ht="139.15" customHeight="1" x14ac:dyDescent="0.2">
      <c r="A2892" s="81">
        <v>20036807</v>
      </c>
      <c r="B2892" s="80" t="s">
        <v>3178</v>
      </c>
      <c r="C2892" s="81" t="s">
        <v>8408</v>
      </c>
    </row>
    <row r="2893" spans="1:3" s="79" customFormat="1" ht="139.15" customHeight="1" x14ac:dyDescent="0.2">
      <c r="A2893" s="81">
        <v>20036809</v>
      </c>
      <c r="B2893" s="80" t="s">
        <v>3179</v>
      </c>
      <c r="C2893" s="81" t="s">
        <v>8409</v>
      </c>
    </row>
    <row r="2894" spans="1:3" s="79" customFormat="1" ht="179.1" customHeight="1" x14ac:dyDescent="0.2">
      <c r="A2894" s="81">
        <v>20036818</v>
      </c>
      <c r="B2894" s="80" t="s">
        <v>3169</v>
      </c>
      <c r="C2894" s="81" t="s">
        <v>8410</v>
      </c>
    </row>
    <row r="2895" spans="1:3" s="79" customFormat="1" ht="158.85" customHeight="1" x14ac:dyDescent="0.2">
      <c r="A2895" s="81">
        <v>20036819</v>
      </c>
      <c r="B2895" s="80" t="s">
        <v>3170</v>
      </c>
      <c r="C2895" s="80" t="s">
        <v>8411</v>
      </c>
    </row>
    <row r="2896" spans="1:3" s="79" customFormat="1" ht="19.149999999999999" customHeight="1" x14ac:dyDescent="0.2">
      <c r="A2896" s="81">
        <v>20036820</v>
      </c>
      <c r="B2896" s="80" t="s">
        <v>3171</v>
      </c>
      <c r="C2896" s="82" t="s">
        <v>8412</v>
      </c>
    </row>
    <row r="2897" spans="1:3" s="79" customFormat="1" ht="109.35" customHeight="1" x14ac:dyDescent="0.2">
      <c r="A2897" s="81">
        <v>20036821</v>
      </c>
      <c r="B2897" s="80" t="s">
        <v>3182</v>
      </c>
      <c r="C2897" s="82" t="s">
        <v>8413</v>
      </c>
    </row>
    <row r="2898" spans="1:3" s="79" customFormat="1" ht="49.15" customHeight="1" x14ac:dyDescent="0.2">
      <c r="A2898" s="81">
        <v>20036822</v>
      </c>
      <c r="B2898" s="80" t="s">
        <v>3183</v>
      </c>
      <c r="C2898" s="82" t="s">
        <v>8414</v>
      </c>
    </row>
    <row r="2899" spans="1:3" s="79" customFormat="1" ht="49.15" customHeight="1" x14ac:dyDescent="0.2">
      <c r="A2899" s="81">
        <v>20036823</v>
      </c>
      <c r="B2899" s="80" t="s">
        <v>3184</v>
      </c>
      <c r="C2899" s="82" t="s">
        <v>8415</v>
      </c>
    </row>
    <row r="2900" spans="1:3" s="79" customFormat="1" ht="49.15" customHeight="1" x14ac:dyDescent="0.2">
      <c r="A2900" s="81">
        <v>20036824</v>
      </c>
      <c r="B2900" s="80" t="s">
        <v>3185</v>
      </c>
      <c r="C2900" s="82" t="s">
        <v>8416</v>
      </c>
    </row>
    <row r="2901" spans="1:3" s="79" customFormat="1" ht="78.95" customHeight="1" x14ac:dyDescent="0.2">
      <c r="A2901" s="81">
        <v>20036825</v>
      </c>
      <c r="B2901" s="80" t="s">
        <v>3186</v>
      </c>
      <c r="C2901" s="82" t="s">
        <v>8417</v>
      </c>
    </row>
    <row r="2902" spans="1:3" s="79" customFormat="1" ht="78.95" customHeight="1" x14ac:dyDescent="0.2">
      <c r="A2902" s="81">
        <v>20036826</v>
      </c>
      <c r="B2902" s="80" t="s">
        <v>3187</v>
      </c>
      <c r="C2902" s="82" t="s">
        <v>8418</v>
      </c>
    </row>
    <row r="2903" spans="1:3" s="79" customFormat="1" ht="49.15" customHeight="1" x14ac:dyDescent="0.2">
      <c r="A2903" s="81">
        <v>20036827</v>
      </c>
      <c r="B2903" s="80" t="s">
        <v>3188</v>
      </c>
      <c r="C2903" s="82" t="s">
        <v>8419</v>
      </c>
    </row>
    <row r="2904" spans="1:3" s="79" customFormat="1" ht="49.15" customHeight="1" x14ac:dyDescent="0.2">
      <c r="A2904" s="81">
        <v>20036838</v>
      </c>
      <c r="B2904" s="80" t="s">
        <v>3180</v>
      </c>
      <c r="C2904" s="81" t="s">
        <v>8420</v>
      </c>
    </row>
    <row r="2905" spans="1:3" s="79" customFormat="1" ht="139.15" customHeight="1" x14ac:dyDescent="0.2">
      <c r="A2905" s="81">
        <v>20036840</v>
      </c>
      <c r="B2905" s="80" t="s">
        <v>3181</v>
      </c>
      <c r="C2905" s="81" t="s">
        <v>8421</v>
      </c>
    </row>
    <row r="2906" spans="1:3" s="79" customFormat="1" ht="139.15" customHeight="1" x14ac:dyDescent="0.2">
      <c r="A2906" s="81">
        <v>20036848</v>
      </c>
      <c r="B2906" s="80" t="s">
        <v>3189</v>
      </c>
      <c r="C2906" s="82" t="s">
        <v>8422</v>
      </c>
    </row>
    <row r="2907" spans="1:3" s="79" customFormat="1" ht="49.15" customHeight="1" x14ac:dyDescent="0.2">
      <c r="A2907" s="81">
        <v>20036849</v>
      </c>
      <c r="B2907" s="80" t="s">
        <v>3190</v>
      </c>
      <c r="C2907" s="82" t="s">
        <v>8423</v>
      </c>
    </row>
    <row r="2908" spans="1:3" s="79" customFormat="1" ht="68.849999999999994" customHeight="1" x14ac:dyDescent="0.2">
      <c r="A2908" s="81">
        <v>20036850</v>
      </c>
      <c r="B2908" s="80" t="s">
        <v>3191</v>
      </c>
      <c r="C2908" s="82" t="s">
        <v>8424</v>
      </c>
    </row>
    <row r="2909" spans="1:3" s="79" customFormat="1" ht="38.85" customHeight="1" x14ac:dyDescent="0.2">
      <c r="A2909" s="81">
        <v>20036851</v>
      </c>
      <c r="B2909" s="80" t="s">
        <v>3192</v>
      </c>
      <c r="C2909" s="81" t="s">
        <v>8425</v>
      </c>
    </row>
    <row r="2910" spans="1:3" s="79" customFormat="1" ht="149.25" customHeight="1" x14ac:dyDescent="0.2">
      <c r="A2910" s="81">
        <v>20036852</v>
      </c>
      <c r="B2910" s="80" t="s">
        <v>3193</v>
      </c>
      <c r="C2910" s="81" t="s">
        <v>8426</v>
      </c>
    </row>
    <row r="2911" spans="1:3" s="79" customFormat="1" ht="149.25" customHeight="1" x14ac:dyDescent="0.2">
      <c r="A2911" s="81">
        <v>20036853</v>
      </c>
      <c r="B2911" s="80" t="s">
        <v>3194</v>
      </c>
      <c r="C2911" s="82" t="s">
        <v>8427</v>
      </c>
    </row>
    <row r="2912" spans="1:3" s="79" customFormat="1" ht="49.15" customHeight="1" x14ac:dyDescent="0.2">
      <c r="A2912" s="81">
        <v>20036854</v>
      </c>
      <c r="B2912" s="80" t="s">
        <v>3195</v>
      </c>
      <c r="C2912" s="82" t="s">
        <v>8428</v>
      </c>
    </row>
    <row r="2913" spans="1:3" s="79" customFormat="1" ht="89.1" customHeight="1" x14ac:dyDescent="0.2">
      <c r="A2913" s="81">
        <v>20036855</v>
      </c>
      <c r="B2913" s="80" t="s">
        <v>3196</v>
      </c>
      <c r="C2913" s="82" t="s">
        <v>8429</v>
      </c>
    </row>
    <row r="2914" spans="1:3" s="79" customFormat="1" ht="49.15" customHeight="1" x14ac:dyDescent="0.2">
      <c r="A2914" s="81">
        <v>20036856</v>
      </c>
      <c r="B2914" s="80" t="s">
        <v>3197</v>
      </c>
      <c r="C2914" s="82" t="s">
        <v>8430</v>
      </c>
    </row>
    <row r="2915" spans="1:3" s="79" customFormat="1" ht="49.15" customHeight="1" x14ac:dyDescent="0.2">
      <c r="A2915" s="81">
        <v>20036857</v>
      </c>
      <c r="B2915" s="80" t="s">
        <v>3198</v>
      </c>
      <c r="C2915" s="82" t="s">
        <v>8431</v>
      </c>
    </row>
    <row r="2916" spans="1:3" s="79" customFormat="1" ht="38.85" customHeight="1" x14ac:dyDescent="0.2">
      <c r="A2916" s="81">
        <v>20036858</v>
      </c>
      <c r="B2916" s="80" t="s">
        <v>3199</v>
      </c>
      <c r="C2916" s="80" t="s">
        <v>8432</v>
      </c>
    </row>
    <row r="2917" spans="1:3" s="79" customFormat="1" ht="19.149999999999999" customHeight="1" x14ac:dyDescent="0.2">
      <c r="A2917" s="81">
        <v>20036859</v>
      </c>
      <c r="B2917" s="80" t="s">
        <v>3200</v>
      </c>
      <c r="C2917" s="82" t="s">
        <v>8433</v>
      </c>
    </row>
    <row r="2918" spans="1:3" s="79" customFormat="1" ht="59.1" customHeight="1" x14ac:dyDescent="0.2">
      <c r="A2918" s="81">
        <v>20036860</v>
      </c>
      <c r="B2918" s="80" t="s">
        <v>3201</v>
      </c>
      <c r="C2918" s="82" t="s">
        <v>8434</v>
      </c>
    </row>
    <row r="2919" spans="1:3" s="79" customFormat="1" ht="59.1" customHeight="1" x14ac:dyDescent="0.2">
      <c r="A2919" s="81">
        <v>20036863</v>
      </c>
      <c r="B2919" s="80" t="s">
        <v>3202</v>
      </c>
      <c r="C2919" s="82" t="s">
        <v>8435</v>
      </c>
    </row>
    <row r="2920" spans="1:3" s="79" customFormat="1" ht="68.849999999999994" customHeight="1" x14ac:dyDescent="0.2">
      <c r="A2920" s="81">
        <v>20036864</v>
      </c>
      <c r="B2920" s="80" t="s">
        <v>3203</v>
      </c>
      <c r="C2920" s="82" t="s">
        <v>8436</v>
      </c>
    </row>
    <row r="2921" spans="1:3" s="79" customFormat="1" ht="59.1" customHeight="1" x14ac:dyDescent="0.2">
      <c r="A2921" s="81">
        <v>20036869</v>
      </c>
      <c r="B2921" s="80" t="s">
        <v>3208</v>
      </c>
      <c r="C2921" s="82" t="s">
        <v>8437</v>
      </c>
    </row>
    <row r="2922" spans="1:3" s="79" customFormat="1" ht="59.1" customHeight="1" x14ac:dyDescent="0.2">
      <c r="A2922" s="81">
        <v>20036871</v>
      </c>
      <c r="B2922" s="80" t="s">
        <v>3209</v>
      </c>
      <c r="C2922" s="82" t="s">
        <v>8438</v>
      </c>
    </row>
    <row r="2923" spans="1:3" s="79" customFormat="1" ht="49.15" customHeight="1" x14ac:dyDescent="0.2">
      <c r="A2923" s="81">
        <v>20036872</v>
      </c>
      <c r="B2923" s="80" t="s">
        <v>3210</v>
      </c>
      <c r="C2923" s="82" t="s">
        <v>8439</v>
      </c>
    </row>
    <row r="2924" spans="1:3" s="79" customFormat="1" ht="59.1" customHeight="1" x14ac:dyDescent="0.2">
      <c r="A2924" s="81">
        <v>20036873</v>
      </c>
      <c r="B2924" s="80" t="s">
        <v>3211</v>
      </c>
      <c r="C2924" s="82" t="s">
        <v>8440</v>
      </c>
    </row>
    <row r="2925" spans="1:3" s="79" customFormat="1" ht="49.15" customHeight="1" x14ac:dyDescent="0.2">
      <c r="A2925" s="81">
        <v>20036874</v>
      </c>
      <c r="B2925" s="80" t="s">
        <v>3212</v>
      </c>
      <c r="C2925" s="82" t="s">
        <v>8441</v>
      </c>
    </row>
    <row r="2926" spans="1:3" s="79" customFormat="1" ht="49.15" customHeight="1" x14ac:dyDescent="0.2">
      <c r="A2926" s="81">
        <v>20036875</v>
      </c>
      <c r="B2926" s="80" t="s">
        <v>3213</v>
      </c>
      <c r="C2926" s="82" t="s">
        <v>8442</v>
      </c>
    </row>
    <row r="2927" spans="1:3" s="79" customFormat="1" ht="49.15" customHeight="1" x14ac:dyDescent="0.2">
      <c r="A2927" s="81">
        <v>20036876</v>
      </c>
      <c r="B2927" s="80" t="s">
        <v>3214</v>
      </c>
      <c r="C2927" s="82" t="s">
        <v>8443</v>
      </c>
    </row>
    <row r="2928" spans="1:3" s="79" customFormat="1" ht="49.15" customHeight="1" x14ac:dyDescent="0.2">
      <c r="A2928" s="81">
        <v>20036877</v>
      </c>
      <c r="B2928" s="80" t="s">
        <v>3215</v>
      </c>
      <c r="C2928" s="82" t="s">
        <v>8444</v>
      </c>
    </row>
    <row r="2929" spans="1:3" s="79" customFormat="1" ht="38.85" customHeight="1" x14ac:dyDescent="0.2">
      <c r="A2929" s="81">
        <v>20036879</v>
      </c>
      <c r="B2929" s="80" t="s">
        <v>3216</v>
      </c>
      <c r="C2929" s="82" t="s">
        <v>8445</v>
      </c>
    </row>
    <row r="2930" spans="1:3" s="79" customFormat="1" ht="49.15" customHeight="1" x14ac:dyDescent="0.2">
      <c r="A2930" s="81">
        <v>20036880</v>
      </c>
      <c r="B2930" s="80" t="s">
        <v>3217</v>
      </c>
      <c r="C2930" s="82" t="s">
        <v>8446</v>
      </c>
    </row>
    <row r="2931" spans="1:3" s="79" customFormat="1" ht="49.15" customHeight="1" x14ac:dyDescent="0.2">
      <c r="A2931" s="81">
        <v>20036881</v>
      </c>
      <c r="B2931" s="80" t="s">
        <v>3218</v>
      </c>
      <c r="C2931" s="82" t="s">
        <v>8447</v>
      </c>
    </row>
    <row r="2932" spans="1:3" s="79" customFormat="1" ht="49.15" customHeight="1" x14ac:dyDescent="0.2">
      <c r="A2932" s="81">
        <v>20036888</v>
      </c>
      <c r="B2932" s="80" t="s">
        <v>3219</v>
      </c>
      <c r="C2932" s="80"/>
    </row>
    <row r="2933" spans="1:3" s="79" customFormat="1" ht="19.149999999999999" customHeight="1" x14ac:dyDescent="0.2">
      <c r="A2933" s="81">
        <v>20036891</v>
      </c>
      <c r="B2933" s="80" t="s">
        <v>3220</v>
      </c>
      <c r="C2933" s="82" t="s">
        <v>8448</v>
      </c>
    </row>
    <row r="2934" spans="1:3" s="79" customFormat="1" ht="28.7" customHeight="1" x14ac:dyDescent="0.2">
      <c r="A2934" s="81">
        <v>20036899</v>
      </c>
      <c r="B2934" s="80" t="s">
        <v>3224</v>
      </c>
      <c r="C2934" s="82" t="s">
        <v>8449</v>
      </c>
    </row>
    <row r="2935" spans="1:3" s="79" customFormat="1" ht="38.85" customHeight="1" x14ac:dyDescent="0.2">
      <c r="A2935" s="81">
        <v>20036900</v>
      </c>
      <c r="B2935" s="80" t="s">
        <v>3225</v>
      </c>
      <c r="C2935" s="82" t="s">
        <v>8450</v>
      </c>
    </row>
    <row r="2936" spans="1:3" s="79" customFormat="1" ht="38.85" customHeight="1" x14ac:dyDescent="0.2">
      <c r="A2936" s="81">
        <v>20036901</v>
      </c>
      <c r="B2936" s="80" t="s">
        <v>3226</v>
      </c>
      <c r="C2936" s="82" t="s">
        <v>8450</v>
      </c>
    </row>
    <row r="2937" spans="1:3" s="79" customFormat="1" ht="38.85" customHeight="1" x14ac:dyDescent="0.2">
      <c r="A2937" s="81">
        <v>20036902</v>
      </c>
      <c r="B2937" s="80" t="s">
        <v>3227</v>
      </c>
      <c r="C2937" s="82" t="s">
        <v>8451</v>
      </c>
    </row>
    <row r="2938" spans="1:3" s="79" customFormat="1" ht="38.85" customHeight="1" x14ac:dyDescent="0.2">
      <c r="A2938" s="81">
        <v>20036903</v>
      </c>
      <c r="B2938" s="80" t="s">
        <v>3228</v>
      </c>
      <c r="C2938" s="82" t="s">
        <v>8452</v>
      </c>
    </row>
    <row r="2939" spans="1:3" s="79" customFormat="1" ht="38.85" customHeight="1" x14ac:dyDescent="0.2">
      <c r="A2939" s="81">
        <v>20036904</v>
      </c>
      <c r="B2939" s="80" t="s">
        <v>3229</v>
      </c>
      <c r="C2939" s="82" t="s">
        <v>8453</v>
      </c>
    </row>
    <row r="2940" spans="1:3" s="79" customFormat="1" ht="28.7" customHeight="1" x14ac:dyDescent="0.2">
      <c r="A2940" s="81">
        <v>20036905</v>
      </c>
      <c r="B2940" s="80" t="s">
        <v>3230</v>
      </c>
      <c r="C2940" s="82" t="s">
        <v>8454</v>
      </c>
    </row>
    <row r="2941" spans="1:3" s="79" customFormat="1" ht="38.85" customHeight="1" x14ac:dyDescent="0.2">
      <c r="A2941" s="81">
        <v>20036906</v>
      </c>
      <c r="B2941" s="80" t="s">
        <v>3231</v>
      </c>
      <c r="C2941" s="82" t="s">
        <v>8455</v>
      </c>
    </row>
    <row r="2942" spans="1:3" s="79" customFormat="1" ht="38.85" customHeight="1" x14ac:dyDescent="0.2">
      <c r="A2942" s="81">
        <v>20036907</v>
      </c>
      <c r="B2942" s="80" t="s">
        <v>3232</v>
      </c>
      <c r="C2942" s="82" t="s">
        <v>8456</v>
      </c>
    </row>
    <row r="2943" spans="1:3" s="79" customFormat="1" ht="28.7" customHeight="1" x14ac:dyDescent="0.2">
      <c r="A2943" s="81">
        <v>20036909</v>
      </c>
      <c r="B2943" s="80" t="s">
        <v>3221</v>
      </c>
      <c r="C2943" s="81" t="s">
        <v>8457</v>
      </c>
    </row>
    <row r="2944" spans="1:3" s="79" customFormat="1" ht="149.25" customHeight="1" x14ac:dyDescent="0.2">
      <c r="A2944" s="81">
        <v>20036918</v>
      </c>
      <c r="B2944" s="80" t="s">
        <v>3222</v>
      </c>
      <c r="C2944" s="82" t="s">
        <v>8458</v>
      </c>
    </row>
    <row r="2945" spans="1:3" s="79" customFormat="1" ht="38.85" customHeight="1" x14ac:dyDescent="0.2">
      <c r="A2945" s="81">
        <v>20036919</v>
      </c>
      <c r="B2945" s="80" t="s">
        <v>3223</v>
      </c>
      <c r="C2945" s="81" t="s">
        <v>8459</v>
      </c>
    </row>
    <row r="2946" spans="1:3" s="79" customFormat="1" ht="89.1" customHeight="1" x14ac:dyDescent="0.2">
      <c r="A2946" s="81">
        <v>20036931</v>
      </c>
      <c r="B2946" s="80" t="s">
        <v>3233</v>
      </c>
      <c r="C2946" s="82" t="s">
        <v>8460</v>
      </c>
    </row>
    <row r="2947" spans="1:3" s="79" customFormat="1" ht="28.7" customHeight="1" x14ac:dyDescent="0.2">
      <c r="A2947" s="81">
        <v>20036932</v>
      </c>
      <c r="B2947" s="80" t="s">
        <v>3234</v>
      </c>
      <c r="C2947" s="82" t="s">
        <v>8461</v>
      </c>
    </row>
    <row r="2948" spans="1:3" s="79" customFormat="1" ht="28.7" customHeight="1" x14ac:dyDescent="0.2">
      <c r="A2948" s="81">
        <v>20036934</v>
      </c>
      <c r="B2948" s="80" t="s">
        <v>3235</v>
      </c>
      <c r="C2948" s="82" t="s">
        <v>8462</v>
      </c>
    </row>
    <row r="2949" spans="1:3" s="79" customFormat="1" ht="28.7" customHeight="1" x14ac:dyDescent="0.2">
      <c r="A2949" s="81">
        <v>20036935</v>
      </c>
      <c r="B2949" s="80" t="s">
        <v>3236</v>
      </c>
      <c r="C2949" s="82" t="s">
        <v>8463</v>
      </c>
    </row>
    <row r="2950" spans="1:3" s="79" customFormat="1" ht="68.849999999999994" customHeight="1" x14ac:dyDescent="0.2">
      <c r="A2950" s="81">
        <v>20036938</v>
      </c>
      <c r="B2950" s="80" t="s">
        <v>3237</v>
      </c>
      <c r="C2950" s="82" t="s">
        <v>8464</v>
      </c>
    </row>
    <row r="2951" spans="1:3" s="79" customFormat="1" ht="28.7" customHeight="1" x14ac:dyDescent="0.2">
      <c r="A2951" s="81">
        <v>20036939</v>
      </c>
      <c r="B2951" s="80" t="s">
        <v>3238</v>
      </c>
      <c r="C2951" s="82" t="s">
        <v>8465</v>
      </c>
    </row>
    <row r="2952" spans="1:3" s="79" customFormat="1" ht="28.7" customHeight="1" x14ac:dyDescent="0.2">
      <c r="A2952" s="81">
        <v>20036940</v>
      </c>
      <c r="B2952" s="80" t="s">
        <v>3239</v>
      </c>
      <c r="C2952" s="82" t="s">
        <v>8466</v>
      </c>
    </row>
    <row r="2953" spans="1:3" s="79" customFormat="1" ht="28.7" customHeight="1" x14ac:dyDescent="0.2">
      <c r="A2953" s="81">
        <v>20036941</v>
      </c>
      <c r="B2953" s="80" t="s">
        <v>3240</v>
      </c>
      <c r="C2953" s="82" t="s">
        <v>8467</v>
      </c>
    </row>
    <row r="2954" spans="1:3" s="79" customFormat="1" ht="28.7" customHeight="1" x14ac:dyDescent="0.2">
      <c r="A2954" s="81">
        <v>20036942</v>
      </c>
      <c r="B2954" s="80" t="s">
        <v>3241</v>
      </c>
      <c r="C2954" s="82" t="s">
        <v>8468</v>
      </c>
    </row>
    <row r="2955" spans="1:3" s="79" customFormat="1" ht="28.7" customHeight="1" x14ac:dyDescent="0.2">
      <c r="A2955" s="81">
        <v>20036949</v>
      </c>
      <c r="B2955" s="80" t="s">
        <v>3242</v>
      </c>
      <c r="C2955" s="82" t="s">
        <v>8469</v>
      </c>
    </row>
    <row r="2956" spans="1:3" s="79" customFormat="1" ht="59.1" customHeight="1" x14ac:dyDescent="0.2">
      <c r="A2956" s="81">
        <v>20036950</v>
      </c>
      <c r="B2956" s="80" t="s">
        <v>3243</v>
      </c>
      <c r="C2956" s="82" t="s">
        <v>8470</v>
      </c>
    </row>
    <row r="2957" spans="1:3" s="79" customFormat="1" ht="89.1" customHeight="1" x14ac:dyDescent="0.2">
      <c r="A2957" s="81">
        <v>20036951</v>
      </c>
      <c r="B2957" s="80" t="s">
        <v>3244</v>
      </c>
      <c r="C2957" s="82" t="s">
        <v>8471</v>
      </c>
    </row>
    <row r="2958" spans="1:3" s="79" customFormat="1" ht="49.15" customHeight="1" x14ac:dyDescent="0.2">
      <c r="A2958" s="81">
        <v>20036958</v>
      </c>
      <c r="B2958" s="80" t="s">
        <v>3245</v>
      </c>
      <c r="C2958" s="82" t="s">
        <v>8472</v>
      </c>
    </row>
    <row r="2959" spans="1:3" s="79" customFormat="1" ht="28.7" customHeight="1" x14ac:dyDescent="0.2">
      <c r="A2959" s="81">
        <v>20036959</v>
      </c>
      <c r="B2959" s="80" t="s">
        <v>3246</v>
      </c>
      <c r="C2959" s="82" t="s">
        <v>8473</v>
      </c>
    </row>
    <row r="2960" spans="1:3" s="79" customFormat="1" ht="28.7" customHeight="1" x14ac:dyDescent="0.2">
      <c r="A2960" s="81">
        <v>20036969</v>
      </c>
      <c r="B2960" s="80" t="s">
        <v>3247</v>
      </c>
      <c r="C2960" s="82" t="s">
        <v>8474</v>
      </c>
    </row>
    <row r="2961" spans="1:3" s="79" customFormat="1" ht="59.1" customHeight="1" x14ac:dyDescent="0.2">
      <c r="A2961" s="81">
        <v>20036970</v>
      </c>
      <c r="B2961" s="80" t="s">
        <v>3248</v>
      </c>
      <c r="C2961" s="82" t="s">
        <v>8475</v>
      </c>
    </row>
    <row r="2962" spans="1:3" s="79" customFormat="1" ht="59.1" customHeight="1" x14ac:dyDescent="0.2">
      <c r="A2962" s="81">
        <v>20036979</v>
      </c>
      <c r="B2962" s="80" t="s">
        <v>3249</v>
      </c>
      <c r="C2962" s="82" t="s">
        <v>8476</v>
      </c>
    </row>
    <row r="2963" spans="1:3" s="79" customFormat="1" ht="38.85" customHeight="1" x14ac:dyDescent="0.2">
      <c r="A2963" s="81">
        <v>20036980</v>
      </c>
      <c r="B2963" s="80" t="s">
        <v>3250</v>
      </c>
      <c r="C2963" s="81" t="s">
        <v>8477</v>
      </c>
    </row>
    <row r="2964" spans="1:3" s="79" customFormat="1" ht="129" customHeight="1" x14ac:dyDescent="0.2">
      <c r="A2964" s="81">
        <v>20036981</v>
      </c>
      <c r="B2964" s="80" t="s">
        <v>3251</v>
      </c>
      <c r="C2964" s="82" t="s">
        <v>8478</v>
      </c>
    </row>
    <row r="2965" spans="1:3" s="79" customFormat="1" ht="49.15" customHeight="1" x14ac:dyDescent="0.2">
      <c r="A2965" s="81">
        <v>20037005</v>
      </c>
      <c r="B2965" s="80" t="s">
        <v>3254</v>
      </c>
      <c r="C2965" s="82" t="s">
        <v>8479</v>
      </c>
    </row>
    <row r="2966" spans="1:3" s="79" customFormat="1" ht="38.85" customHeight="1" x14ac:dyDescent="0.2">
      <c r="A2966" s="81">
        <v>20037006</v>
      </c>
      <c r="B2966" s="80" t="s">
        <v>3255</v>
      </c>
      <c r="C2966" s="82" t="s">
        <v>8480</v>
      </c>
    </row>
    <row r="2967" spans="1:3" s="79" customFormat="1" ht="38.85" customHeight="1" x14ac:dyDescent="0.2">
      <c r="A2967" s="81">
        <v>20037008</v>
      </c>
      <c r="B2967" s="80" t="s">
        <v>3252</v>
      </c>
      <c r="C2967" s="82" t="s">
        <v>8481</v>
      </c>
    </row>
    <row r="2968" spans="1:3" s="79" customFormat="1" ht="49.15" customHeight="1" x14ac:dyDescent="0.2">
      <c r="A2968" s="81">
        <v>20037012</v>
      </c>
      <c r="B2968" s="80" t="s">
        <v>3253</v>
      </c>
      <c r="C2968" s="82" t="s">
        <v>8482</v>
      </c>
    </row>
    <row r="2969" spans="1:3" s="79" customFormat="1" ht="38.85" customHeight="1" x14ac:dyDescent="0.2">
      <c r="A2969" s="81">
        <v>20037022</v>
      </c>
      <c r="B2969" s="80" t="s">
        <v>3256</v>
      </c>
      <c r="C2969" s="82" t="s">
        <v>8483</v>
      </c>
    </row>
    <row r="2970" spans="1:3" s="79" customFormat="1" ht="38.85" customHeight="1" x14ac:dyDescent="0.2">
      <c r="A2970" s="81">
        <v>20037024</v>
      </c>
      <c r="B2970" s="80" t="s">
        <v>3257</v>
      </c>
      <c r="C2970" s="82" t="s">
        <v>8484</v>
      </c>
    </row>
    <row r="2971" spans="1:3" s="79" customFormat="1" ht="38.85" customHeight="1" x14ac:dyDescent="0.2">
      <c r="A2971" s="81">
        <v>20037026</v>
      </c>
      <c r="B2971" s="80" t="s">
        <v>3258</v>
      </c>
      <c r="C2971" s="82" t="s">
        <v>8485</v>
      </c>
    </row>
    <row r="2972" spans="1:3" s="79" customFormat="1" ht="38.85" customHeight="1" x14ac:dyDescent="0.2">
      <c r="A2972" s="81">
        <v>20037029</v>
      </c>
      <c r="B2972" s="80" t="s">
        <v>3259</v>
      </c>
      <c r="C2972" s="82" t="s">
        <v>8486</v>
      </c>
    </row>
    <row r="2973" spans="1:3" s="79" customFormat="1" ht="28.7" customHeight="1" x14ac:dyDescent="0.2">
      <c r="A2973" s="81">
        <v>20037030</v>
      </c>
      <c r="B2973" s="80" t="s">
        <v>3260</v>
      </c>
      <c r="C2973" s="82" t="s">
        <v>8487</v>
      </c>
    </row>
    <row r="2974" spans="1:3" s="79" customFormat="1" ht="28.7" customHeight="1" x14ac:dyDescent="0.2">
      <c r="A2974" s="81">
        <v>20037037</v>
      </c>
      <c r="B2974" s="80" t="s">
        <v>3261</v>
      </c>
      <c r="C2974" s="82" t="s">
        <v>8488</v>
      </c>
    </row>
    <row r="2975" spans="1:3" s="79" customFormat="1" ht="38.85" customHeight="1" x14ac:dyDescent="0.2">
      <c r="A2975" s="81">
        <v>20037039</v>
      </c>
      <c r="B2975" s="80" t="s">
        <v>3262</v>
      </c>
      <c r="C2975" s="82" t="s">
        <v>8489</v>
      </c>
    </row>
    <row r="2976" spans="1:3" s="79" customFormat="1" ht="38.85" customHeight="1" x14ac:dyDescent="0.2">
      <c r="A2976" s="81">
        <v>20037040</v>
      </c>
      <c r="B2976" s="80" t="s">
        <v>3263</v>
      </c>
      <c r="C2976" s="82" t="s">
        <v>8490</v>
      </c>
    </row>
    <row r="2977" spans="1:3" s="79" customFormat="1" ht="38.85" customHeight="1" x14ac:dyDescent="0.2">
      <c r="A2977" s="81">
        <v>20037041</v>
      </c>
      <c r="B2977" s="80" t="s">
        <v>3264</v>
      </c>
      <c r="C2977" s="82" t="s">
        <v>8491</v>
      </c>
    </row>
    <row r="2978" spans="1:3" s="79" customFormat="1" ht="38.85" customHeight="1" x14ac:dyDescent="0.2">
      <c r="A2978" s="81">
        <v>20037042</v>
      </c>
      <c r="B2978" s="80" t="s">
        <v>3265</v>
      </c>
      <c r="C2978" s="82" t="s">
        <v>8492</v>
      </c>
    </row>
    <row r="2979" spans="1:3" s="79" customFormat="1" ht="38.85" customHeight="1" x14ac:dyDescent="0.2">
      <c r="A2979" s="81">
        <v>20037043</v>
      </c>
      <c r="B2979" s="80" t="s">
        <v>3266</v>
      </c>
      <c r="C2979" s="82" t="s">
        <v>8493</v>
      </c>
    </row>
    <row r="2980" spans="1:3" s="79" customFormat="1" ht="38.85" customHeight="1" x14ac:dyDescent="0.2">
      <c r="A2980" s="81">
        <v>20037045</v>
      </c>
      <c r="B2980" s="80" t="s">
        <v>3267</v>
      </c>
      <c r="C2980" s="82" t="s">
        <v>8494</v>
      </c>
    </row>
    <row r="2981" spans="1:3" s="79" customFormat="1" ht="38.85" customHeight="1" x14ac:dyDescent="0.2">
      <c r="A2981" s="81">
        <v>20037046</v>
      </c>
      <c r="B2981" s="80" t="s">
        <v>3268</v>
      </c>
      <c r="C2981" s="82" t="s">
        <v>8495</v>
      </c>
    </row>
    <row r="2982" spans="1:3" s="79" customFormat="1" ht="49.15" customHeight="1" x14ac:dyDescent="0.2">
      <c r="A2982" s="81">
        <v>20037047</v>
      </c>
      <c r="B2982" s="80" t="s">
        <v>3269</v>
      </c>
      <c r="C2982" s="82" t="s">
        <v>8496</v>
      </c>
    </row>
    <row r="2983" spans="1:3" s="79" customFormat="1" ht="38.85" customHeight="1" x14ac:dyDescent="0.2">
      <c r="A2983" s="81">
        <v>20037048</v>
      </c>
      <c r="B2983" s="80" t="s">
        <v>3270</v>
      </c>
      <c r="C2983" s="82" t="s">
        <v>8497</v>
      </c>
    </row>
    <row r="2984" spans="1:3" s="79" customFormat="1" ht="38.85" customHeight="1" x14ac:dyDescent="0.2">
      <c r="A2984" s="81">
        <v>20037049</v>
      </c>
      <c r="B2984" s="80" t="s">
        <v>3271</v>
      </c>
      <c r="C2984" s="82" t="s">
        <v>8498</v>
      </c>
    </row>
    <row r="2985" spans="1:3" s="79" customFormat="1" ht="38.85" customHeight="1" x14ac:dyDescent="0.2">
      <c r="A2985" s="81">
        <v>20037052</v>
      </c>
      <c r="B2985" s="80" t="s">
        <v>3272</v>
      </c>
      <c r="C2985" s="82" t="s">
        <v>8499</v>
      </c>
    </row>
    <row r="2986" spans="1:3" s="79" customFormat="1" ht="38.85" customHeight="1" x14ac:dyDescent="0.2">
      <c r="A2986" s="81">
        <v>20037053</v>
      </c>
      <c r="B2986" s="80" t="s">
        <v>3273</v>
      </c>
      <c r="C2986" s="82" t="s">
        <v>8500</v>
      </c>
    </row>
    <row r="2987" spans="1:3" s="79" customFormat="1" ht="38.85" customHeight="1" x14ac:dyDescent="0.2">
      <c r="A2987" s="81">
        <v>20037054</v>
      </c>
      <c r="B2987" s="80" t="s">
        <v>3274</v>
      </c>
      <c r="C2987" s="82" t="s">
        <v>8501</v>
      </c>
    </row>
    <row r="2988" spans="1:3" s="79" customFormat="1" ht="38.85" customHeight="1" x14ac:dyDescent="0.2">
      <c r="A2988" s="81">
        <v>20037055</v>
      </c>
      <c r="B2988" s="80" t="s">
        <v>3275</v>
      </c>
      <c r="C2988" s="82" t="s">
        <v>8502</v>
      </c>
    </row>
    <row r="2989" spans="1:3" s="79" customFormat="1" ht="38.85" customHeight="1" x14ac:dyDescent="0.2">
      <c r="A2989" s="81">
        <v>20037056</v>
      </c>
      <c r="B2989" s="80" t="s">
        <v>3276</v>
      </c>
      <c r="C2989" s="82" t="s">
        <v>8503</v>
      </c>
    </row>
    <row r="2990" spans="1:3" s="79" customFormat="1" ht="38.85" customHeight="1" x14ac:dyDescent="0.2">
      <c r="A2990" s="81">
        <v>20037057</v>
      </c>
      <c r="B2990" s="80" t="s">
        <v>3277</v>
      </c>
      <c r="C2990" s="82" t="s">
        <v>8504</v>
      </c>
    </row>
    <row r="2991" spans="1:3" s="79" customFormat="1" ht="38.85" customHeight="1" x14ac:dyDescent="0.2">
      <c r="A2991" s="81">
        <v>20037060</v>
      </c>
      <c r="B2991" s="80" t="s">
        <v>3279</v>
      </c>
      <c r="C2991" s="82" t="s">
        <v>8505</v>
      </c>
    </row>
    <row r="2992" spans="1:3" s="79" customFormat="1" ht="78.95" customHeight="1" x14ac:dyDescent="0.2">
      <c r="A2992" s="81">
        <v>20037061</v>
      </c>
      <c r="B2992" s="80" t="s">
        <v>3280</v>
      </c>
      <c r="C2992" s="82" t="s">
        <v>8506</v>
      </c>
    </row>
    <row r="2993" spans="1:3" s="79" customFormat="1" ht="78.95" customHeight="1" x14ac:dyDescent="0.2">
      <c r="A2993" s="81">
        <v>20037062</v>
      </c>
      <c r="B2993" s="80" t="s">
        <v>3281</v>
      </c>
      <c r="C2993" s="82" t="s">
        <v>8507</v>
      </c>
    </row>
    <row r="2994" spans="1:3" s="79" customFormat="1" ht="78.95" customHeight="1" x14ac:dyDescent="0.2">
      <c r="A2994" s="81">
        <v>20037063</v>
      </c>
      <c r="B2994" s="80" t="s">
        <v>3282</v>
      </c>
      <c r="C2994" s="82" t="s">
        <v>8508</v>
      </c>
    </row>
    <row r="2995" spans="1:3" s="79" customFormat="1" ht="78.95" customHeight="1" x14ac:dyDescent="0.2">
      <c r="A2995" s="81">
        <v>20037064</v>
      </c>
      <c r="B2995" s="80" t="s">
        <v>3283</v>
      </c>
      <c r="C2995" s="82" t="s">
        <v>8509</v>
      </c>
    </row>
    <row r="2996" spans="1:3" s="79" customFormat="1" ht="78.95" customHeight="1" x14ac:dyDescent="0.2">
      <c r="A2996" s="81">
        <v>20037065</v>
      </c>
      <c r="B2996" s="80" t="s">
        <v>3284</v>
      </c>
      <c r="C2996" s="82" t="s">
        <v>8510</v>
      </c>
    </row>
    <row r="2997" spans="1:3" s="79" customFormat="1" ht="78.95" customHeight="1" x14ac:dyDescent="0.2">
      <c r="A2997" s="81">
        <v>20037066</v>
      </c>
      <c r="B2997" s="80" t="s">
        <v>3285</v>
      </c>
      <c r="C2997" s="82" t="s">
        <v>8511</v>
      </c>
    </row>
    <row r="2998" spans="1:3" s="79" customFormat="1" ht="78.95" customHeight="1" x14ac:dyDescent="0.2">
      <c r="A2998" s="81">
        <v>20037067</v>
      </c>
      <c r="B2998" s="80" t="s">
        <v>3286</v>
      </c>
      <c r="C2998" s="82" t="s">
        <v>8512</v>
      </c>
    </row>
    <row r="2999" spans="1:3" s="79" customFormat="1" ht="78.95" customHeight="1" x14ac:dyDescent="0.2">
      <c r="A2999" s="81">
        <v>20037078</v>
      </c>
      <c r="B2999" s="80" t="s">
        <v>3278</v>
      </c>
      <c r="C2999" s="82" t="s">
        <v>8513</v>
      </c>
    </row>
    <row r="3000" spans="1:3" s="79" customFormat="1" ht="59.1" customHeight="1" x14ac:dyDescent="0.2">
      <c r="A3000" s="81">
        <v>20037083</v>
      </c>
      <c r="B3000" s="80" t="s">
        <v>3297</v>
      </c>
      <c r="C3000" s="82" t="s">
        <v>8514</v>
      </c>
    </row>
    <row r="3001" spans="1:3" s="79" customFormat="1" ht="38.85" customHeight="1" x14ac:dyDescent="0.2">
      <c r="A3001" s="81">
        <v>20037084</v>
      </c>
      <c r="B3001" s="80" t="s">
        <v>3298</v>
      </c>
      <c r="C3001" s="82" t="s">
        <v>8515</v>
      </c>
    </row>
    <row r="3002" spans="1:3" s="79" customFormat="1" ht="28.7" customHeight="1" x14ac:dyDescent="0.2">
      <c r="A3002" s="81">
        <v>20037098</v>
      </c>
      <c r="B3002" s="80" t="s">
        <v>3287</v>
      </c>
      <c r="C3002" s="82" t="s">
        <v>8516</v>
      </c>
    </row>
    <row r="3003" spans="1:3" s="79" customFormat="1" ht="68.849999999999994" customHeight="1" x14ac:dyDescent="0.2">
      <c r="A3003" s="81">
        <v>20037099</v>
      </c>
      <c r="B3003" s="80" t="s">
        <v>3288</v>
      </c>
      <c r="C3003" s="82" t="s">
        <v>8517</v>
      </c>
    </row>
    <row r="3004" spans="1:3" s="79" customFormat="1" ht="78.95" customHeight="1" x14ac:dyDescent="0.2">
      <c r="A3004" s="81">
        <v>20037100</v>
      </c>
      <c r="B3004" s="80" t="s">
        <v>3289</v>
      </c>
      <c r="C3004" s="82" t="s">
        <v>8518</v>
      </c>
    </row>
    <row r="3005" spans="1:3" s="79" customFormat="1" ht="78.95" customHeight="1" x14ac:dyDescent="0.2">
      <c r="A3005" s="81">
        <v>20037101</v>
      </c>
      <c r="B3005" s="80" t="s">
        <v>3290</v>
      </c>
      <c r="C3005" s="82" t="s">
        <v>8519</v>
      </c>
    </row>
    <row r="3006" spans="1:3" s="79" customFormat="1" ht="89.1" customHeight="1" x14ac:dyDescent="0.2">
      <c r="A3006" s="81">
        <v>20037102</v>
      </c>
      <c r="B3006" s="80" t="s">
        <v>3291</v>
      </c>
      <c r="C3006" s="82" t="s">
        <v>8520</v>
      </c>
    </row>
    <row r="3007" spans="1:3" s="79" customFormat="1" ht="68.849999999999994" customHeight="1" x14ac:dyDescent="0.2">
      <c r="A3007" s="81">
        <v>20037103</v>
      </c>
      <c r="B3007" s="80" t="s">
        <v>3292</v>
      </c>
      <c r="C3007" s="82" t="s">
        <v>8521</v>
      </c>
    </row>
    <row r="3008" spans="1:3" s="79" customFormat="1" ht="78.95" customHeight="1" x14ac:dyDescent="0.2">
      <c r="A3008" s="81">
        <v>20037104</v>
      </c>
      <c r="B3008" s="80" t="s">
        <v>3293</v>
      </c>
      <c r="C3008" s="82" t="s">
        <v>8522</v>
      </c>
    </row>
    <row r="3009" spans="1:3" s="79" customFormat="1" ht="78.95" customHeight="1" x14ac:dyDescent="0.2">
      <c r="A3009" s="81">
        <v>20037105</v>
      </c>
      <c r="B3009" s="80" t="s">
        <v>3294</v>
      </c>
      <c r="C3009" s="82" t="s">
        <v>8523</v>
      </c>
    </row>
    <row r="3010" spans="1:3" s="79" customFormat="1" ht="38.85" customHeight="1" x14ac:dyDescent="0.2">
      <c r="A3010" s="81">
        <v>20037106</v>
      </c>
      <c r="B3010" s="80" t="s">
        <v>3299</v>
      </c>
      <c r="C3010" s="80" t="s">
        <v>219</v>
      </c>
    </row>
    <row r="3011" spans="1:3" s="79" customFormat="1" ht="19.149999999999999" customHeight="1" x14ac:dyDescent="0.2">
      <c r="A3011" s="81">
        <v>20037107</v>
      </c>
      <c r="B3011" s="80" t="s">
        <v>3300</v>
      </c>
      <c r="C3011" s="80" t="s">
        <v>219</v>
      </c>
    </row>
    <row r="3012" spans="1:3" s="79" customFormat="1" ht="19.149999999999999" customHeight="1" x14ac:dyDescent="0.2">
      <c r="A3012" s="81">
        <v>20037109</v>
      </c>
      <c r="B3012" s="80" t="s">
        <v>3295</v>
      </c>
      <c r="C3012" s="82" t="s">
        <v>8524</v>
      </c>
    </row>
    <row r="3013" spans="1:3" s="79" customFormat="1" ht="59.1" customHeight="1" x14ac:dyDescent="0.2">
      <c r="A3013" s="81">
        <v>20037110</v>
      </c>
      <c r="B3013" s="80" t="s">
        <v>3296</v>
      </c>
      <c r="C3013" s="82" t="s">
        <v>8525</v>
      </c>
    </row>
    <row r="3014" spans="1:3" s="79" customFormat="1" ht="59.1" customHeight="1" x14ac:dyDescent="0.2">
      <c r="A3014" s="81">
        <v>20037118</v>
      </c>
      <c r="B3014" s="80" t="s">
        <v>3301</v>
      </c>
      <c r="C3014" s="82" t="s">
        <v>8526</v>
      </c>
    </row>
    <row r="3015" spans="1:3" s="79" customFormat="1" ht="28.7" customHeight="1" x14ac:dyDescent="0.2">
      <c r="A3015" s="81">
        <v>20037119</v>
      </c>
      <c r="B3015" s="80" t="s">
        <v>3302</v>
      </c>
      <c r="C3015" s="82" t="s">
        <v>8527</v>
      </c>
    </row>
    <row r="3016" spans="1:3" s="79" customFormat="1" ht="49.15" customHeight="1" x14ac:dyDescent="0.2">
      <c r="A3016" s="81">
        <v>20037128</v>
      </c>
      <c r="B3016" s="80" t="s">
        <v>3303</v>
      </c>
      <c r="C3016" s="82" t="s">
        <v>8528</v>
      </c>
    </row>
    <row r="3017" spans="1:3" s="79" customFormat="1" ht="28.7" customHeight="1" x14ac:dyDescent="0.2">
      <c r="A3017" s="81">
        <v>20037138</v>
      </c>
      <c r="B3017" s="80" t="s">
        <v>3304</v>
      </c>
      <c r="C3017" s="82" t="s">
        <v>8529</v>
      </c>
    </row>
    <row r="3018" spans="1:3" s="79" customFormat="1" ht="49.15" customHeight="1" x14ac:dyDescent="0.2">
      <c r="A3018" s="81">
        <v>20037139</v>
      </c>
      <c r="B3018" s="80" t="s">
        <v>3305</v>
      </c>
      <c r="C3018" s="82" t="s">
        <v>8530</v>
      </c>
    </row>
    <row r="3019" spans="1:3" s="79" customFormat="1" ht="68.849999999999994" customHeight="1" x14ac:dyDescent="0.2">
      <c r="A3019" s="81">
        <v>20037143</v>
      </c>
      <c r="B3019" s="80" t="s">
        <v>3307</v>
      </c>
      <c r="C3019" s="82" t="s">
        <v>8531</v>
      </c>
    </row>
    <row r="3020" spans="1:3" s="79" customFormat="1" ht="68.849999999999994" customHeight="1" x14ac:dyDescent="0.2">
      <c r="A3020" s="81">
        <v>20037144</v>
      </c>
      <c r="B3020" s="80" t="s">
        <v>3308</v>
      </c>
      <c r="C3020" s="82" t="s">
        <v>8532</v>
      </c>
    </row>
    <row r="3021" spans="1:3" s="79" customFormat="1" ht="68.849999999999994" customHeight="1" x14ac:dyDescent="0.2">
      <c r="A3021" s="81">
        <v>20037145</v>
      </c>
      <c r="B3021" s="80" t="s">
        <v>3309</v>
      </c>
      <c r="C3021" s="82" t="s">
        <v>8533</v>
      </c>
    </row>
    <row r="3022" spans="1:3" s="79" customFormat="1" ht="89.1" customHeight="1" x14ac:dyDescent="0.2">
      <c r="A3022" s="81">
        <v>20037146</v>
      </c>
      <c r="B3022" s="80" t="s">
        <v>3310</v>
      </c>
      <c r="C3022" s="82" t="s">
        <v>8534</v>
      </c>
    </row>
    <row r="3023" spans="1:3" s="79" customFormat="1" ht="49.15" customHeight="1" x14ac:dyDescent="0.2">
      <c r="A3023" s="81">
        <v>20037152</v>
      </c>
      <c r="B3023" s="80" t="s">
        <v>3306</v>
      </c>
      <c r="C3023" s="80" t="s">
        <v>8535</v>
      </c>
    </row>
    <row r="3024" spans="1:3" s="79" customFormat="1" ht="19.149999999999999" customHeight="1" x14ac:dyDescent="0.2">
      <c r="A3024" s="81">
        <v>20037153</v>
      </c>
      <c r="B3024" s="80" t="s">
        <v>3316</v>
      </c>
      <c r="C3024" s="82" t="s">
        <v>8536</v>
      </c>
    </row>
    <row r="3025" spans="1:3" s="79" customFormat="1" ht="38.85" customHeight="1" x14ac:dyDescent="0.2">
      <c r="A3025" s="81">
        <v>20037161</v>
      </c>
      <c r="B3025" s="80" t="s">
        <v>3311</v>
      </c>
      <c r="C3025" s="81" t="s">
        <v>8537</v>
      </c>
    </row>
    <row r="3026" spans="1:3" s="79" customFormat="1" ht="288.95" customHeight="1" x14ac:dyDescent="0.2">
      <c r="A3026" s="81">
        <v>20037162</v>
      </c>
      <c r="B3026" s="80" t="s">
        <v>3312</v>
      </c>
      <c r="C3026" s="81" t="s">
        <v>8538</v>
      </c>
    </row>
    <row r="3027" spans="1:3" s="79" customFormat="1" ht="158.85" customHeight="1" x14ac:dyDescent="0.2">
      <c r="A3027" s="81">
        <v>20037163</v>
      </c>
      <c r="B3027" s="80" t="s">
        <v>3313</v>
      </c>
      <c r="C3027" s="81" t="s">
        <v>8539</v>
      </c>
    </row>
    <row r="3028" spans="1:3" s="79" customFormat="1" ht="158.85" customHeight="1" x14ac:dyDescent="0.2">
      <c r="A3028" s="81">
        <v>20037164</v>
      </c>
      <c r="B3028" s="80" t="s">
        <v>3314</v>
      </c>
      <c r="C3028" s="81" t="s">
        <v>8540</v>
      </c>
    </row>
    <row r="3029" spans="1:3" s="79" customFormat="1" ht="169.15" customHeight="1" x14ac:dyDescent="0.2">
      <c r="A3029" s="81">
        <v>20037165</v>
      </c>
      <c r="B3029" s="80" t="s">
        <v>3315</v>
      </c>
      <c r="C3029" s="81" t="s">
        <v>8541</v>
      </c>
    </row>
    <row r="3030" spans="1:3" s="79" customFormat="1" ht="149.25" customHeight="1" x14ac:dyDescent="0.2">
      <c r="A3030" s="81">
        <v>20037168</v>
      </c>
      <c r="B3030" s="80" t="s">
        <v>3317</v>
      </c>
      <c r="C3030" s="82" t="s">
        <v>8542</v>
      </c>
    </row>
    <row r="3031" spans="1:3" s="79" customFormat="1" ht="28.7" customHeight="1" x14ac:dyDescent="0.2">
      <c r="A3031" s="81">
        <v>20037170</v>
      </c>
      <c r="B3031" s="80" t="s">
        <v>3318</v>
      </c>
      <c r="C3031" s="81" t="s">
        <v>8543</v>
      </c>
    </row>
    <row r="3032" spans="1:3" s="79" customFormat="1" ht="149.25" customHeight="1" x14ac:dyDescent="0.2">
      <c r="A3032" s="81">
        <v>20037178</v>
      </c>
      <c r="B3032" s="80" t="s">
        <v>3319</v>
      </c>
      <c r="C3032" s="80"/>
    </row>
    <row r="3033" spans="1:3" s="79" customFormat="1" ht="19.149999999999999" customHeight="1" x14ac:dyDescent="0.2">
      <c r="A3033" s="81">
        <v>20037185</v>
      </c>
      <c r="B3033" s="80" t="s">
        <v>3320</v>
      </c>
      <c r="C3033" s="82" t="s">
        <v>8544</v>
      </c>
    </row>
    <row r="3034" spans="1:3" s="79" customFormat="1" ht="49.15" customHeight="1" x14ac:dyDescent="0.2">
      <c r="A3034" s="81">
        <v>20037187</v>
      </c>
      <c r="B3034" s="80" t="s">
        <v>3321</v>
      </c>
      <c r="C3034" s="82" t="s">
        <v>8545</v>
      </c>
    </row>
    <row r="3035" spans="1:3" s="79" customFormat="1" ht="68.849999999999994" customHeight="1" x14ac:dyDescent="0.2">
      <c r="A3035" s="81">
        <v>20037188</v>
      </c>
      <c r="B3035" s="80" t="s">
        <v>3322</v>
      </c>
      <c r="C3035" s="82" t="s">
        <v>8546</v>
      </c>
    </row>
    <row r="3036" spans="1:3" s="79" customFormat="1" ht="38.85" customHeight="1" x14ac:dyDescent="0.2">
      <c r="A3036" s="81">
        <v>20037189</v>
      </c>
      <c r="B3036" s="80" t="s">
        <v>3323</v>
      </c>
      <c r="C3036" s="82" t="s">
        <v>8547</v>
      </c>
    </row>
    <row r="3037" spans="1:3" s="79" customFormat="1" ht="49.15" customHeight="1" x14ac:dyDescent="0.2">
      <c r="A3037" s="81">
        <v>20037191</v>
      </c>
      <c r="B3037" s="80" t="s">
        <v>3324</v>
      </c>
      <c r="C3037" s="82" t="s">
        <v>8548</v>
      </c>
    </row>
    <row r="3038" spans="1:3" s="79" customFormat="1" ht="49.15" customHeight="1" x14ac:dyDescent="0.2">
      <c r="A3038" s="81">
        <v>20037192</v>
      </c>
      <c r="B3038" s="80" t="s">
        <v>3325</v>
      </c>
      <c r="C3038" s="82" t="s">
        <v>8549</v>
      </c>
    </row>
    <row r="3039" spans="1:3" s="79" customFormat="1" ht="49.15" customHeight="1" x14ac:dyDescent="0.2">
      <c r="A3039" s="81">
        <v>20037193</v>
      </c>
      <c r="B3039" s="80" t="s">
        <v>3326</v>
      </c>
      <c r="C3039" s="82" t="s">
        <v>8550</v>
      </c>
    </row>
    <row r="3040" spans="1:3" s="79" customFormat="1" ht="49.15" customHeight="1" x14ac:dyDescent="0.2">
      <c r="A3040" s="81">
        <v>20037194</v>
      </c>
      <c r="B3040" s="80" t="s">
        <v>3327</v>
      </c>
      <c r="C3040" s="82" t="s">
        <v>8551</v>
      </c>
    </row>
    <row r="3041" spans="1:3" s="79" customFormat="1" ht="49.15" customHeight="1" x14ac:dyDescent="0.2">
      <c r="A3041" s="81">
        <v>20037195</v>
      </c>
      <c r="B3041" s="80" t="s">
        <v>3328</v>
      </c>
      <c r="C3041" s="82" t="s">
        <v>8552</v>
      </c>
    </row>
    <row r="3042" spans="1:3" s="79" customFormat="1" ht="49.15" customHeight="1" x14ac:dyDescent="0.2">
      <c r="A3042" s="81">
        <v>20037196</v>
      </c>
      <c r="B3042" s="80" t="s">
        <v>3329</v>
      </c>
      <c r="C3042" s="82" t="s">
        <v>8553</v>
      </c>
    </row>
    <row r="3043" spans="1:3" s="79" customFormat="1" ht="49.15" customHeight="1" x14ac:dyDescent="0.2">
      <c r="A3043" s="81">
        <v>20037199</v>
      </c>
      <c r="B3043" s="80" t="s">
        <v>3330</v>
      </c>
      <c r="C3043" s="82" t="s">
        <v>8554</v>
      </c>
    </row>
    <row r="3044" spans="1:3" s="79" customFormat="1" ht="38.85" customHeight="1" x14ac:dyDescent="0.2">
      <c r="A3044" s="81">
        <v>20037200</v>
      </c>
      <c r="B3044" s="80" t="s">
        <v>3331</v>
      </c>
      <c r="C3044" s="82" t="s">
        <v>8555</v>
      </c>
    </row>
    <row r="3045" spans="1:3" s="79" customFormat="1" ht="38.85" customHeight="1" x14ac:dyDescent="0.2">
      <c r="A3045" s="81">
        <v>20037201</v>
      </c>
      <c r="B3045" s="80" t="s">
        <v>3332</v>
      </c>
      <c r="C3045" s="82" t="s">
        <v>8556</v>
      </c>
    </row>
    <row r="3046" spans="1:3" s="79" customFormat="1" ht="38.85" customHeight="1" x14ac:dyDescent="0.2">
      <c r="A3046" s="81">
        <v>20037207</v>
      </c>
      <c r="B3046" s="80" t="s">
        <v>3333</v>
      </c>
      <c r="C3046" s="82" t="s">
        <v>8557</v>
      </c>
    </row>
    <row r="3047" spans="1:3" s="79" customFormat="1" ht="38.85" customHeight="1" x14ac:dyDescent="0.2">
      <c r="A3047" s="81">
        <v>20037210</v>
      </c>
      <c r="B3047" s="80" t="s">
        <v>3334</v>
      </c>
      <c r="C3047" s="82" t="s">
        <v>8558</v>
      </c>
    </row>
    <row r="3048" spans="1:3" s="79" customFormat="1" ht="38.85" customHeight="1" x14ac:dyDescent="0.2">
      <c r="A3048" s="81">
        <v>20037211</v>
      </c>
      <c r="B3048" s="80" t="s">
        <v>3335</v>
      </c>
      <c r="C3048" s="82" t="s">
        <v>8559</v>
      </c>
    </row>
    <row r="3049" spans="1:3" s="79" customFormat="1" ht="49.15" customHeight="1" x14ac:dyDescent="0.2">
      <c r="A3049" s="81">
        <v>20037214</v>
      </c>
      <c r="B3049" s="80" t="s">
        <v>3336</v>
      </c>
      <c r="C3049" s="82" t="s">
        <v>8560</v>
      </c>
    </row>
    <row r="3050" spans="1:3" s="79" customFormat="1" ht="59.1" customHeight="1" x14ac:dyDescent="0.2">
      <c r="A3050" s="81">
        <v>20037215</v>
      </c>
      <c r="B3050" s="80" t="s">
        <v>3337</v>
      </c>
      <c r="C3050" s="82" t="s">
        <v>8561</v>
      </c>
    </row>
    <row r="3051" spans="1:3" s="79" customFormat="1" ht="68.849999999999994" customHeight="1" x14ac:dyDescent="0.2">
      <c r="A3051" s="81">
        <v>20037218</v>
      </c>
      <c r="B3051" s="80" t="s">
        <v>3338</v>
      </c>
      <c r="C3051" s="82" t="s">
        <v>8562</v>
      </c>
    </row>
    <row r="3052" spans="1:3" s="79" customFormat="1" ht="38.85" customHeight="1" x14ac:dyDescent="0.2">
      <c r="A3052" s="81">
        <v>20037219</v>
      </c>
      <c r="B3052" s="80" t="s">
        <v>3339</v>
      </c>
      <c r="C3052" s="82" t="s">
        <v>8563</v>
      </c>
    </row>
    <row r="3053" spans="1:3" s="79" customFormat="1" ht="59.1" customHeight="1" x14ac:dyDescent="0.2">
      <c r="A3053" s="81">
        <v>20037222</v>
      </c>
      <c r="B3053" s="80" t="s">
        <v>3340</v>
      </c>
      <c r="C3053" s="82" t="s">
        <v>8564</v>
      </c>
    </row>
    <row r="3054" spans="1:3" s="79" customFormat="1" ht="59.1" customHeight="1" x14ac:dyDescent="0.2">
      <c r="A3054" s="81">
        <v>20037223</v>
      </c>
      <c r="B3054" s="80" t="s">
        <v>3341</v>
      </c>
      <c r="C3054" s="82" t="s">
        <v>8565</v>
      </c>
    </row>
    <row r="3055" spans="1:3" s="79" customFormat="1" ht="38.85" customHeight="1" x14ac:dyDescent="0.2">
      <c r="A3055" s="81">
        <v>20037225</v>
      </c>
      <c r="B3055" s="80" t="s">
        <v>3347</v>
      </c>
      <c r="C3055" s="81" t="s">
        <v>8566</v>
      </c>
    </row>
    <row r="3056" spans="1:3" s="79" customFormat="1" ht="129" customHeight="1" x14ac:dyDescent="0.2">
      <c r="A3056" s="81">
        <v>20037229</v>
      </c>
      <c r="B3056" s="80" t="s">
        <v>3342</v>
      </c>
      <c r="C3056" s="82" t="s">
        <v>8567</v>
      </c>
    </row>
    <row r="3057" spans="1:3" s="79" customFormat="1" ht="59.1" customHeight="1" x14ac:dyDescent="0.2">
      <c r="A3057" s="81">
        <v>20037230</v>
      </c>
      <c r="B3057" s="80" t="s">
        <v>3343</v>
      </c>
      <c r="C3057" s="82" t="s">
        <v>8568</v>
      </c>
    </row>
    <row r="3058" spans="1:3" s="79" customFormat="1" ht="38.85" customHeight="1" x14ac:dyDescent="0.2">
      <c r="A3058" s="81">
        <v>20037232</v>
      </c>
      <c r="B3058" s="80" t="s">
        <v>3344</v>
      </c>
      <c r="C3058" s="82" t="s">
        <v>8569</v>
      </c>
    </row>
    <row r="3059" spans="1:3" s="79" customFormat="1" ht="28.7" customHeight="1" x14ac:dyDescent="0.2">
      <c r="A3059" s="81">
        <v>20037237</v>
      </c>
      <c r="B3059" s="80" t="s">
        <v>3345</v>
      </c>
      <c r="C3059" s="82" t="s">
        <v>8570</v>
      </c>
    </row>
    <row r="3060" spans="1:3" s="79" customFormat="1" ht="49.15" customHeight="1" x14ac:dyDescent="0.2">
      <c r="A3060" s="81">
        <v>20037268</v>
      </c>
      <c r="B3060" s="80" t="s">
        <v>3346</v>
      </c>
      <c r="C3060" s="82" t="s">
        <v>8571</v>
      </c>
    </row>
    <row r="3061" spans="1:3" s="79" customFormat="1" ht="49.15" customHeight="1" x14ac:dyDescent="0.2">
      <c r="A3061" s="81">
        <v>20037270</v>
      </c>
      <c r="B3061" s="80" t="s">
        <v>3348</v>
      </c>
      <c r="C3061" s="82" t="s">
        <v>8572</v>
      </c>
    </row>
    <row r="3062" spans="1:3" s="79" customFormat="1" ht="59.1" customHeight="1" x14ac:dyDescent="0.2">
      <c r="A3062" s="81">
        <v>20037272</v>
      </c>
      <c r="B3062" s="80" t="s">
        <v>3349</v>
      </c>
      <c r="C3062" s="81" t="s">
        <v>8573</v>
      </c>
    </row>
    <row r="3063" spans="1:3" s="79" customFormat="1" ht="89.1" customHeight="1" x14ac:dyDescent="0.2">
      <c r="A3063" s="81">
        <v>20037273</v>
      </c>
      <c r="B3063" s="80" t="s">
        <v>3350</v>
      </c>
      <c r="C3063" s="81" t="s">
        <v>8574</v>
      </c>
    </row>
    <row r="3064" spans="1:3" s="79" customFormat="1" ht="118.9" customHeight="1" x14ac:dyDescent="0.2">
      <c r="A3064" s="81">
        <v>20037274</v>
      </c>
      <c r="B3064" s="80" t="s">
        <v>3351</v>
      </c>
      <c r="C3064" s="82" t="s">
        <v>8575</v>
      </c>
    </row>
    <row r="3065" spans="1:3" s="79" customFormat="1" ht="89.1" customHeight="1" x14ac:dyDescent="0.2">
      <c r="A3065" s="81">
        <v>20037279</v>
      </c>
      <c r="B3065" s="80" t="s">
        <v>3352</v>
      </c>
      <c r="C3065" s="81" t="s">
        <v>8576</v>
      </c>
    </row>
    <row r="3066" spans="1:3" s="79" customFormat="1" ht="89.1" customHeight="1" x14ac:dyDescent="0.2">
      <c r="A3066" s="81">
        <v>20037281</v>
      </c>
      <c r="B3066" s="80" t="s">
        <v>3353</v>
      </c>
      <c r="C3066" s="81" t="s">
        <v>8577</v>
      </c>
    </row>
    <row r="3067" spans="1:3" s="79" customFormat="1" ht="89.1" customHeight="1" x14ac:dyDescent="0.2">
      <c r="A3067" s="81">
        <v>20037283</v>
      </c>
      <c r="B3067" s="80" t="s">
        <v>3354</v>
      </c>
      <c r="C3067" s="80" t="s">
        <v>8578</v>
      </c>
    </row>
    <row r="3068" spans="1:3" s="79" customFormat="1" ht="19.149999999999999" customHeight="1" x14ac:dyDescent="0.2">
      <c r="A3068" s="81">
        <v>20037284</v>
      </c>
      <c r="B3068" s="80" t="s">
        <v>3355</v>
      </c>
      <c r="C3068" s="81" t="s">
        <v>8579</v>
      </c>
    </row>
    <row r="3069" spans="1:3" s="79" customFormat="1" ht="118.9" customHeight="1" x14ac:dyDescent="0.2">
      <c r="A3069" s="81">
        <v>20037293</v>
      </c>
      <c r="B3069" s="80" t="s">
        <v>3358</v>
      </c>
      <c r="C3069" s="81" t="s">
        <v>8580</v>
      </c>
    </row>
    <row r="3070" spans="1:3" s="79" customFormat="1" ht="129" customHeight="1" x14ac:dyDescent="0.2">
      <c r="A3070" s="81">
        <v>20037296</v>
      </c>
      <c r="B3070" s="80" t="s">
        <v>3372</v>
      </c>
      <c r="C3070" s="80" t="s">
        <v>8581</v>
      </c>
    </row>
    <row r="3071" spans="1:3" s="79" customFormat="1" ht="19.149999999999999" customHeight="1" x14ac:dyDescent="0.2">
      <c r="A3071" s="81">
        <v>20037299</v>
      </c>
      <c r="B3071" s="80" t="s">
        <v>3356</v>
      </c>
      <c r="C3071" s="82" t="s">
        <v>8582</v>
      </c>
    </row>
    <row r="3072" spans="1:3" s="79" customFormat="1" ht="78.95" customHeight="1" x14ac:dyDescent="0.2">
      <c r="A3072" s="81">
        <v>20037303</v>
      </c>
      <c r="B3072" s="80" t="s">
        <v>3370</v>
      </c>
      <c r="C3072" s="82" t="s">
        <v>8583</v>
      </c>
    </row>
    <row r="3073" spans="1:3" s="79" customFormat="1" ht="28.7" customHeight="1" x14ac:dyDescent="0.2">
      <c r="A3073" s="81">
        <v>20037317</v>
      </c>
      <c r="B3073" s="80" t="s">
        <v>3357</v>
      </c>
      <c r="C3073" s="81" t="s">
        <v>8584</v>
      </c>
    </row>
    <row r="3074" spans="1:3" s="79" customFormat="1" ht="68.849999999999994" customHeight="1" x14ac:dyDescent="0.2">
      <c r="A3074" s="81">
        <v>20037328</v>
      </c>
      <c r="B3074" s="80" t="s">
        <v>3359</v>
      </c>
      <c r="C3074" s="82" t="s">
        <v>8585</v>
      </c>
    </row>
    <row r="3075" spans="1:3" s="79" customFormat="1" ht="28.7" customHeight="1" x14ac:dyDescent="0.2">
      <c r="A3075" s="81">
        <v>20037329</v>
      </c>
      <c r="B3075" s="80" t="s">
        <v>3360</v>
      </c>
      <c r="C3075" s="82" t="s">
        <v>8586</v>
      </c>
    </row>
    <row r="3076" spans="1:3" s="79" customFormat="1" ht="38.85" customHeight="1" x14ac:dyDescent="0.2">
      <c r="A3076" s="81">
        <v>20037330</v>
      </c>
      <c r="B3076" s="80" t="s">
        <v>3361</v>
      </c>
      <c r="C3076" s="82" t="s">
        <v>8587</v>
      </c>
    </row>
    <row r="3077" spans="1:3" s="79" customFormat="1" ht="38.85" customHeight="1" x14ac:dyDescent="0.2">
      <c r="A3077" s="81">
        <v>20037332</v>
      </c>
      <c r="B3077" s="80" t="s">
        <v>3362</v>
      </c>
      <c r="C3077" s="81" t="s">
        <v>8588</v>
      </c>
    </row>
    <row r="3078" spans="1:3" s="79" customFormat="1" ht="49.15" customHeight="1" x14ac:dyDescent="0.2">
      <c r="A3078" s="81">
        <v>20037333</v>
      </c>
      <c r="B3078" s="80" t="s">
        <v>3363</v>
      </c>
      <c r="C3078" s="81" t="s">
        <v>8589</v>
      </c>
    </row>
    <row r="3079" spans="1:3" s="79" customFormat="1" ht="49.15" customHeight="1" x14ac:dyDescent="0.2">
      <c r="A3079" s="81">
        <v>20037334</v>
      </c>
      <c r="B3079" s="80" t="s">
        <v>3364</v>
      </c>
      <c r="C3079" s="82" t="s">
        <v>8590</v>
      </c>
    </row>
    <row r="3080" spans="1:3" s="79" customFormat="1" ht="38.85" customHeight="1" x14ac:dyDescent="0.2">
      <c r="A3080" s="81">
        <v>20037336</v>
      </c>
      <c r="B3080" s="80" t="s">
        <v>3365</v>
      </c>
      <c r="C3080" s="82" t="s">
        <v>8591</v>
      </c>
    </row>
    <row r="3081" spans="1:3" s="79" customFormat="1" ht="49.15" customHeight="1" x14ac:dyDescent="0.2">
      <c r="A3081" s="81">
        <v>20037337</v>
      </c>
      <c r="B3081" s="80" t="s">
        <v>3366</v>
      </c>
      <c r="C3081" s="82" t="s">
        <v>8592</v>
      </c>
    </row>
    <row r="3082" spans="1:3" s="79" customFormat="1" ht="28.7" customHeight="1" x14ac:dyDescent="0.2">
      <c r="A3082" s="81">
        <v>20037338</v>
      </c>
      <c r="B3082" s="80" t="s">
        <v>3367</v>
      </c>
      <c r="C3082" s="82" t="s">
        <v>8593</v>
      </c>
    </row>
    <row r="3083" spans="1:3" s="79" customFormat="1" ht="28.7" customHeight="1" x14ac:dyDescent="0.2">
      <c r="A3083" s="81">
        <v>20037339</v>
      </c>
      <c r="B3083" s="80" t="s">
        <v>3368</v>
      </c>
      <c r="C3083" s="82" t="s">
        <v>8594</v>
      </c>
    </row>
    <row r="3084" spans="1:3" s="79" customFormat="1" ht="28.7" customHeight="1" x14ac:dyDescent="0.2">
      <c r="A3084" s="81">
        <v>20037340</v>
      </c>
      <c r="B3084" s="80" t="s">
        <v>3371</v>
      </c>
      <c r="C3084" s="80" t="s">
        <v>8595</v>
      </c>
    </row>
    <row r="3085" spans="1:3" s="79" customFormat="1" ht="19.149999999999999" customHeight="1" x14ac:dyDescent="0.2">
      <c r="A3085" s="81">
        <v>20037350</v>
      </c>
      <c r="B3085" s="80" t="s">
        <v>3369</v>
      </c>
      <c r="C3085" s="80" t="s">
        <v>8596</v>
      </c>
    </row>
    <row r="3086" spans="1:3" s="79" customFormat="1" ht="19.149999999999999" customHeight="1" x14ac:dyDescent="0.2">
      <c r="A3086" s="81">
        <v>20037379</v>
      </c>
      <c r="B3086" s="80" t="s">
        <v>3373</v>
      </c>
      <c r="C3086" s="82" t="s">
        <v>8597</v>
      </c>
    </row>
    <row r="3087" spans="1:3" s="79" customFormat="1" ht="19.149999999999999" customHeight="1" x14ac:dyDescent="0.2">
      <c r="A3087" s="81">
        <v>20037380</v>
      </c>
      <c r="B3087" s="80" t="s">
        <v>3374</v>
      </c>
      <c r="C3087" s="82" t="s">
        <v>8598</v>
      </c>
    </row>
    <row r="3088" spans="1:3" s="79" customFormat="1" ht="28.7" customHeight="1" x14ac:dyDescent="0.2">
      <c r="A3088" s="81">
        <v>20037381</v>
      </c>
      <c r="B3088" s="80" t="s">
        <v>3375</v>
      </c>
      <c r="C3088" s="82" t="s">
        <v>8599</v>
      </c>
    </row>
    <row r="3089" spans="1:3" s="79" customFormat="1" ht="38.85" customHeight="1" x14ac:dyDescent="0.2">
      <c r="A3089" s="81">
        <v>20037382</v>
      </c>
      <c r="B3089" s="80" t="s">
        <v>3376</v>
      </c>
      <c r="C3089" s="82" t="s">
        <v>8600</v>
      </c>
    </row>
    <row r="3090" spans="1:3" s="79" customFormat="1" ht="38.85" customHeight="1" x14ac:dyDescent="0.2">
      <c r="A3090" s="81">
        <v>20037389</v>
      </c>
      <c r="B3090" s="80" t="s">
        <v>3377</v>
      </c>
      <c r="C3090" s="82" t="s">
        <v>8601</v>
      </c>
    </row>
    <row r="3091" spans="1:3" s="79" customFormat="1" ht="149.25" customHeight="1" x14ac:dyDescent="0.2">
      <c r="A3091" s="81">
        <v>20037390</v>
      </c>
      <c r="B3091" s="80" t="s">
        <v>3378</v>
      </c>
      <c r="C3091" s="82" t="s">
        <v>8602</v>
      </c>
    </row>
    <row r="3092" spans="1:3" s="79" customFormat="1" ht="99.2" customHeight="1" x14ac:dyDescent="0.2">
      <c r="A3092" s="81">
        <v>20037391</v>
      </c>
      <c r="B3092" s="80" t="s">
        <v>11512</v>
      </c>
      <c r="C3092" s="82" t="s">
        <v>11254</v>
      </c>
    </row>
    <row r="3093" spans="1:3" s="79" customFormat="1" ht="28.7" customHeight="1" x14ac:dyDescent="0.2">
      <c r="A3093" s="81">
        <v>20037392</v>
      </c>
      <c r="B3093" s="80" t="s">
        <v>11513</v>
      </c>
      <c r="C3093" s="82" t="s">
        <v>11255</v>
      </c>
    </row>
    <row r="3094" spans="1:3" s="79" customFormat="1" ht="38.85" customHeight="1" x14ac:dyDescent="0.2">
      <c r="A3094" s="81">
        <v>20037393</v>
      </c>
      <c r="B3094" s="80" t="s">
        <v>11514</v>
      </c>
      <c r="C3094" s="82" t="s">
        <v>11256</v>
      </c>
    </row>
    <row r="3095" spans="1:3" s="79" customFormat="1" ht="38.85" customHeight="1" x14ac:dyDescent="0.2">
      <c r="A3095" s="81">
        <v>20037394</v>
      </c>
      <c r="B3095" s="80" t="s">
        <v>3379</v>
      </c>
      <c r="C3095" s="82" t="s">
        <v>11257</v>
      </c>
    </row>
    <row r="3096" spans="1:3" s="79" customFormat="1" ht="38.85" customHeight="1" x14ac:dyDescent="0.2">
      <c r="A3096" s="81">
        <v>20037395</v>
      </c>
      <c r="B3096" s="80" t="s">
        <v>3380</v>
      </c>
      <c r="C3096" s="82" t="s">
        <v>11258</v>
      </c>
    </row>
    <row r="3097" spans="1:3" s="79" customFormat="1" ht="28.7" customHeight="1" x14ac:dyDescent="0.2">
      <c r="A3097" s="81">
        <v>20037396</v>
      </c>
      <c r="B3097" s="80" t="s">
        <v>3381</v>
      </c>
      <c r="C3097" s="82" t="s">
        <v>8603</v>
      </c>
    </row>
    <row r="3098" spans="1:3" s="79" customFormat="1" ht="129" customHeight="1" x14ac:dyDescent="0.2">
      <c r="A3098" s="81">
        <v>20037408</v>
      </c>
      <c r="B3098" s="80" t="s">
        <v>3382</v>
      </c>
      <c r="C3098" s="81" t="s">
        <v>8604</v>
      </c>
    </row>
    <row r="3099" spans="1:3" s="79" customFormat="1" ht="89.1" customHeight="1" x14ac:dyDescent="0.2">
      <c r="A3099" s="81">
        <v>20037409</v>
      </c>
      <c r="B3099" s="80" t="s">
        <v>3383</v>
      </c>
      <c r="C3099" s="82" t="s">
        <v>8605</v>
      </c>
    </row>
    <row r="3100" spans="1:3" s="79" customFormat="1" ht="19.149999999999999" customHeight="1" x14ac:dyDescent="0.2">
      <c r="A3100" s="81">
        <v>20037410</v>
      </c>
      <c r="B3100" s="80" t="s">
        <v>3384</v>
      </c>
      <c r="C3100" s="82" t="s">
        <v>8606</v>
      </c>
    </row>
    <row r="3101" spans="1:3" s="79" customFormat="1" ht="28.7" customHeight="1" x14ac:dyDescent="0.2">
      <c r="A3101" s="81">
        <v>20037411</v>
      </c>
      <c r="B3101" s="80" t="s">
        <v>3385</v>
      </c>
      <c r="C3101" s="82" t="s">
        <v>8607</v>
      </c>
    </row>
    <row r="3102" spans="1:3" s="79" customFormat="1" ht="38.85" customHeight="1" x14ac:dyDescent="0.2">
      <c r="A3102" s="81">
        <v>20037412</v>
      </c>
      <c r="B3102" s="80" t="s">
        <v>3386</v>
      </c>
      <c r="C3102" s="82" t="s">
        <v>8608</v>
      </c>
    </row>
    <row r="3103" spans="1:3" s="79" customFormat="1" ht="49.15" customHeight="1" x14ac:dyDescent="0.2">
      <c r="A3103" s="81">
        <v>20037413</v>
      </c>
      <c r="B3103" s="80" t="s">
        <v>3387</v>
      </c>
      <c r="C3103" s="82" t="s">
        <v>8609</v>
      </c>
    </row>
    <row r="3104" spans="1:3" s="79" customFormat="1" ht="59.1" customHeight="1" x14ac:dyDescent="0.2">
      <c r="A3104" s="81">
        <v>20037414</v>
      </c>
      <c r="B3104" s="80" t="s">
        <v>3388</v>
      </c>
      <c r="C3104" s="82" t="s">
        <v>8610</v>
      </c>
    </row>
    <row r="3105" spans="1:3" s="79" customFormat="1" ht="68.849999999999994" customHeight="1" x14ac:dyDescent="0.2">
      <c r="A3105" s="81">
        <v>20037415</v>
      </c>
      <c r="B3105" s="80" t="s">
        <v>3389</v>
      </c>
      <c r="C3105" s="82" t="s">
        <v>8611</v>
      </c>
    </row>
    <row r="3106" spans="1:3" s="79" customFormat="1" ht="78.95" customHeight="1" x14ac:dyDescent="0.2">
      <c r="A3106" s="81">
        <v>20037416</v>
      </c>
      <c r="B3106" s="80" t="s">
        <v>3390</v>
      </c>
      <c r="C3106" s="82" t="s">
        <v>8612</v>
      </c>
    </row>
    <row r="3107" spans="1:3" s="79" customFormat="1" ht="89.1" customHeight="1" x14ac:dyDescent="0.2">
      <c r="A3107" s="81">
        <v>20037417</v>
      </c>
      <c r="B3107" s="80" t="s">
        <v>3391</v>
      </c>
      <c r="C3107" s="82" t="s">
        <v>8613</v>
      </c>
    </row>
    <row r="3108" spans="1:3" s="79" customFormat="1" ht="99.2" customHeight="1" x14ac:dyDescent="0.2">
      <c r="A3108" s="81">
        <v>20037418</v>
      </c>
      <c r="B3108" s="80" t="s">
        <v>3392</v>
      </c>
      <c r="C3108" s="82" t="s">
        <v>8614</v>
      </c>
    </row>
    <row r="3109" spans="1:3" s="79" customFormat="1" ht="118.9" customHeight="1" x14ac:dyDescent="0.2">
      <c r="A3109" s="81">
        <v>20037419</v>
      </c>
      <c r="B3109" s="80" t="s">
        <v>3393</v>
      </c>
      <c r="C3109" s="82" t="s">
        <v>8615</v>
      </c>
    </row>
    <row r="3110" spans="1:3" s="79" customFormat="1" ht="129" customHeight="1" x14ac:dyDescent="0.2">
      <c r="A3110" s="81">
        <v>20037428</v>
      </c>
      <c r="B3110" s="80" t="s">
        <v>3394</v>
      </c>
      <c r="C3110" s="82" t="s">
        <v>8616</v>
      </c>
    </row>
    <row r="3111" spans="1:3" s="79" customFormat="1" ht="118.9" customHeight="1" x14ac:dyDescent="0.2">
      <c r="A3111" s="81">
        <v>20037429</v>
      </c>
      <c r="B3111" s="80" t="s">
        <v>3395</v>
      </c>
      <c r="C3111" s="82" t="s">
        <v>8617</v>
      </c>
    </row>
    <row r="3112" spans="1:3" s="79" customFormat="1" ht="59.1" customHeight="1" x14ac:dyDescent="0.2">
      <c r="A3112" s="81">
        <v>20037470</v>
      </c>
      <c r="B3112" s="80" t="s">
        <v>3396</v>
      </c>
      <c r="C3112" s="81" t="s">
        <v>8618</v>
      </c>
    </row>
    <row r="3113" spans="1:3" s="79" customFormat="1" ht="179.1" customHeight="1" x14ac:dyDescent="0.2">
      <c r="A3113" s="81">
        <v>20037483</v>
      </c>
      <c r="B3113" s="80" t="s">
        <v>3397</v>
      </c>
      <c r="C3113" s="82" t="s">
        <v>8619</v>
      </c>
    </row>
    <row r="3114" spans="1:3" s="79" customFormat="1" ht="118.9" customHeight="1" x14ac:dyDescent="0.2">
      <c r="A3114" s="81">
        <v>20037508</v>
      </c>
      <c r="B3114" s="80" t="s">
        <v>3398</v>
      </c>
      <c r="C3114" s="82" t="s">
        <v>8620</v>
      </c>
    </row>
    <row r="3115" spans="1:3" s="79" customFormat="1" ht="59.1" customHeight="1" x14ac:dyDescent="0.2">
      <c r="A3115" s="81">
        <v>20037509</v>
      </c>
      <c r="B3115" s="80" t="s">
        <v>3399</v>
      </c>
      <c r="C3115" s="82" t="s">
        <v>8621</v>
      </c>
    </row>
    <row r="3116" spans="1:3" s="79" customFormat="1" ht="68.849999999999994" customHeight="1" x14ac:dyDescent="0.2">
      <c r="A3116" s="81">
        <v>20037529</v>
      </c>
      <c r="B3116" s="80" t="s">
        <v>3400</v>
      </c>
      <c r="C3116" s="81" t="s">
        <v>8622</v>
      </c>
    </row>
    <row r="3117" spans="1:3" s="79" customFormat="1" ht="78.95" customHeight="1" x14ac:dyDescent="0.2">
      <c r="A3117" s="81">
        <v>20037530</v>
      </c>
      <c r="B3117" s="80" t="s">
        <v>11548</v>
      </c>
      <c r="C3117" s="80" t="s">
        <v>11549</v>
      </c>
    </row>
    <row r="3118" spans="1:3" s="79" customFormat="1" ht="89.1" customHeight="1" x14ac:dyDescent="0.2">
      <c r="A3118" s="81">
        <v>20037531</v>
      </c>
      <c r="B3118" s="80" t="s">
        <v>3401</v>
      </c>
      <c r="C3118" s="82" t="s">
        <v>8623</v>
      </c>
    </row>
    <row r="3119" spans="1:3" s="79" customFormat="1" ht="19.149999999999999" customHeight="1" x14ac:dyDescent="0.2">
      <c r="A3119" s="81">
        <v>20037532</v>
      </c>
      <c r="B3119" s="80" t="s">
        <v>3403</v>
      </c>
      <c r="C3119" s="81" t="s">
        <v>8624</v>
      </c>
    </row>
    <row r="3120" spans="1:3" s="79" customFormat="1" ht="49.15" customHeight="1" x14ac:dyDescent="0.2">
      <c r="A3120" s="81">
        <v>20037538</v>
      </c>
      <c r="B3120" s="80" t="s">
        <v>3402</v>
      </c>
      <c r="C3120" s="81" t="s">
        <v>8625</v>
      </c>
    </row>
    <row r="3121" spans="1:3" s="79" customFormat="1" ht="129" customHeight="1" x14ac:dyDescent="0.2">
      <c r="A3121" s="81">
        <v>20037548</v>
      </c>
      <c r="B3121" s="80" t="s">
        <v>3404</v>
      </c>
      <c r="C3121" s="81" t="s">
        <v>8626</v>
      </c>
    </row>
    <row r="3122" spans="1:3" s="79" customFormat="1" ht="68.849999999999994" customHeight="1" x14ac:dyDescent="0.2">
      <c r="A3122" s="81">
        <v>20037598</v>
      </c>
      <c r="B3122" s="80" t="s">
        <v>3405</v>
      </c>
      <c r="C3122" s="82" t="s">
        <v>8627</v>
      </c>
    </row>
    <row r="3123" spans="1:3" s="79" customFormat="1" ht="89.1" customHeight="1" x14ac:dyDescent="0.2">
      <c r="A3123" s="81">
        <v>20037611</v>
      </c>
      <c r="B3123" s="80" t="s">
        <v>3406</v>
      </c>
      <c r="C3123" s="82" t="s">
        <v>8628</v>
      </c>
    </row>
    <row r="3124" spans="1:3" s="79" customFormat="1" ht="38.85" customHeight="1" x14ac:dyDescent="0.2">
      <c r="A3124" s="81">
        <v>20037612</v>
      </c>
      <c r="B3124" s="80" t="s">
        <v>3407</v>
      </c>
      <c r="C3124" s="81" t="s">
        <v>8629</v>
      </c>
    </row>
    <row r="3125" spans="1:3" s="79" customFormat="1" ht="68.849999999999994" customHeight="1" x14ac:dyDescent="0.2">
      <c r="A3125" s="81">
        <v>20037613</v>
      </c>
      <c r="B3125" s="80" t="s">
        <v>3408</v>
      </c>
      <c r="C3125" s="81" t="s">
        <v>8630</v>
      </c>
    </row>
    <row r="3126" spans="1:3" s="79" customFormat="1" ht="139.15" customHeight="1" x14ac:dyDescent="0.2">
      <c r="A3126" s="81">
        <v>20037618</v>
      </c>
      <c r="B3126" s="80" t="s">
        <v>11026</v>
      </c>
      <c r="C3126" s="82" t="s">
        <v>8631</v>
      </c>
    </row>
    <row r="3127" spans="1:3" s="79" customFormat="1" ht="158.85" customHeight="1" x14ac:dyDescent="0.2">
      <c r="A3127" s="81">
        <v>20037619</v>
      </c>
      <c r="B3127" s="80" t="s">
        <v>11027</v>
      </c>
      <c r="C3127" s="82" t="s">
        <v>8632</v>
      </c>
    </row>
    <row r="3128" spans="1:3" s="79" customFormat="1" ht="28.7" customHeight="1" x14ac:dyDescent="0.2">
      <c r="A3128" s="81">
        <v>20037670</v>
      </c>
      <c r="B3128" s="80" t="s">
        <v>3409</v>
      </c>
      <c r="C3128" s="81" t="s">
        <v>8633</v>
      </c>
    </row>
    <row r="3129" spans="1:3" s="79" customFormat="1" ht="28.7" customHeight="1" x14ac:dyDescent="0.2">
      <c r="A3129" s="81">
        <v>20037672</v>
      </c>
      <c r="B3129" s="80" t="s">
        <v>3410</v>
      </c>
      <c r="C3129" s="82" t="s">
        <v>8634</v>
      </c>
    </row>
    <row r="3130" spans="1:3" s="79" customFormat="1" ht="179.1" customHeight="1" x14ac:dyDescent="0.2">
      <c r="A3130" s="81">
        <v>20037673</v>
      </c>
      <c r="B3130" s="80" t="s">
        <v>11331</v>
      </c>
      <c r="C3130" s="82" t="s">
        <v>8635</v>
      </c>
    </row>
    <row r="3131" spans="1:3" s="79" customFormat="1" ht="59.1" customHeight="1" x14ac:dyDescent="0.2">
      <c r="A3131" s="81">
        <v>20037678</v>
      </c>
      <c r="B3131" s="80" t="s">
        <v>11028</v>
      </c>
      <c r="C3131" s="82" t="s">
        <v>8636</v>
      </c>
    </row>
    <row r="3132" spans="1:3" s="79" customFormat="1" ht="99.2" customHeight="1" x14ac:dyDescent="0.2">
      <c r="A3132" s="81">
        <v>20037685</v>
      </c>
      <c r="B3132" s="80" t="s">
        <v>11428</v>
      </c>
      <c r="C3132" s="81" t="s">
        <v>8637</v>
      </c>
    </row>
    <row r="3133" spans="1:3" s="79" customFormat="1" ht="28.7" customHeight="1" x14ac:dyDescent="0.2">
      <c r="A3133" s="81">
        <v>20037698</v>
      </c>
      <c r="B3133" s="80" t="s">
        <v>3411</v>
      </c>
      <c r="C3133" s="81" t="s">
        <v>8638</v>
      </c>
    </row>
    <row r="3134" spans="1:3" s="79" customFormat="1" ht="249" customHeight="1" x14ac:dyDescent="0.2">
      <c r="A3134" s="81">
        <v>20037699</v>
      </c>
      <c r="B3134" s="80" t="s">
        <v>3412</v>
      </c>
      <c r="C3134" s="81" t="s">
        <v>8639</v>
      </c>
    </row>
    <row r="3135" spans="1:3" s="79" customFormat="1" ht="118.9" customHeight="1" x14ac:dyDescent="0.2">
      <c r="A3135" s="81">
        <v>20037708</v>
      </c>
      <c r="B3135" s="80" t="s">
        <v>3413</v>
      </c>
      <c r="C3135" s="80"/>
    </row>
    <row r="3136" spans="1:3" s="79" customFormat="1" ht="89.1" customHeight="1" x14ac:dyDescent="0.2">
      <c r="A3136" s="81">
        <v>20037709</v>
      </c>
      <c r="B3136" s="80" t="s">
        <v>3415</v>
      </c>
      <c r="C3136" s="82" t="s">
        <v>8640</v>
      </c>
    </row>
    <row r="3137" spans="1:3" s="79" customFormat="1" ht="19.149999999999999" customHeight="1" x14ac:dyDescent="0.2">
      <c r="A3137" s="81">
        <v>20037748</v>
      </c>
      <c r="B3137" s="80" t="s">
        <v>3414</v>
      </c>
      <c r="C3137" s="80" t="s">
        <v>8641</v>
      </c>
    </row>
    <row r="3138" spans="1:3" s="79" customFormat="1" ht="38.85" customHeight="1" x14ac:dyDescent="0.2">
      <c r="A3138" s="81">
        <v>20037800</v>
      </c>
      <c r="B3138" s="80" t="s">
        <v>3416</v>
      </c>
      <c r="C3138" s="82" t="s">
        <v>8642</v>
      </c>
    </row>
    <row r="3139" spans="1:3" s="79" customFormat="1" ht="19.149999999999999" customHeight="1" x14ac:dyDescent="0.2">
      <c r="A3139" s="81">
        <v>20037818</v>
      </c>
      <c r="B3139" s="80" t="s">
        <v>3417</v>
      </c>
      <c r="C3139" s="82" t="s">
        <v>8643</v>
      </c>
    </row>
    <row r="3140" spans="1:3" s="79" customFormat="1" ht="68.849999999999994" customHeight="1" x14ac:dyDescent="0.2">
      <c r="A3140" s="81">
        <v>20037819</v>
      </c>
      <c r="B3140" s="80" t="s">
        <v>3418</v>
      </c>
      <c r="C3140" s="81" t="s">
        <v>8644</v>
      </c>
    </row>
    <row r="3141" spans="1:3" s="79" customFormat="1" ht="68.849999999999994" customHeight="1" x14ac:dyDescent="0.2">
      <c r="A3141" s="81">
        <v>20037820</v>
      </c>
      <c r="B3141" s="80" t="s">
        <v>3419</v>
      </c>
      <c r="C3141" s="81" t="s">
        <v>8645</v>
      </c>
    </row>
    <row r="3142" spans="1:3" s="79" customFormat="1" ht="198.95" customHeight="1" x14ac:dyDescent="0.2">
      <c r="A3142" s="81">
        <v>20037858</v>
      </c>
      <c r="B3142" s="80" t="s">
        <v>11332</v>
      </c>
      <c r="C3142" s="82" t="s">
        <v>8646</v>
      </c>
    </row>
    <row r="3143" spans="1:3" s="79" customFormat="1" ht="78.95" customHeight="1" x14ac:dyDescent="0.2">
      <c r="A3143" s="81">
        <v>20037868</v>
      </c>
      <c r="B3143" s="80" t="s">
        <v>3420</v>
      </c>
      <c r="C3143" s="81" t="s">
        <v>8647</v>
      </c>
    </row>
    <row r="3144" spans="1:3" s="79" customFormat="1" ht="99.2" customHeight="1" x14ac:dyDescent="0.2">
      <c r="A3144" s="81">
        <v>20037878</v>
      </c>
      <c r="B3144" s="80" t="s">
        <v>3421</v>
      </c>
      <c r="C3144" s="82" t="s">
        <v>8648</v>
      </c>
    </row>
    <row r="3145" spans="1:3" s="79" customFormat="1" ht="89.1" customHeight="1" x14ac:dyDescent="0.2">
      <c r="A3145" s="81">
        <v>20037879</v>
      </c>
      <c r="B3145" s="80" t="s">
        <v>3422</v>
      </c>
      <c r="C3145" s="82" t="s">
        <v>8649</v>
      </c>
    </row>
    <row r="3146" spans="1:3" s="79" customFormat="1" ht="59.1" customHeight="1" x14ac:dyDescent="0.2">
      <c r="A3146" s="81">
        <v>20037880</v>
      </c>
      <c r="B3146" s="80" t="s">
        <v>3423</v>
      </c>
      <c r="C3146" s="82" t="s">
        <v>8650</v>
      </c>
    </row>
    <row r="3147" spans="1:3" s="79" customFormat="1" ht="68.849999999999994" customHeight="1" x14ac:dyDescent="0.2">
      <c r="A3147" s="81">
        <v>20037881</v>
      </c>
      <c r="B3147" s="80" t="s">
        <v>3424</v>
      </c>
      <c r="C3147" s="81" t="s">
        <v>8651</v>
      </c>
    </row>
    <row r="3148" spans="1:3" s="79" customFormat="1" ht="78.95" customHeight="1" x14ac:dyDescent="0.2">
      <c r="A3148" s="81">
        <v>20037899</v>
      </c>
      <c r="B3148" s="80" t="s">
        <v>3425</v>
      </c>
      <c r="C3148" s="82" t="s">
        <v>8652</v>
      </c>
    </row>
    <row r="3149" spans="1:3" s="79" customFormat="1" ht="99.2" customHeight="1" x14ac:dyDescent="0.2">
      <c r="A3149" s="81">
        <v>20037908</v>
      </c>
      <c r="B3149" s="80" t="s">
        <v>3426</v>
      </c>
      <c r="C3149" s="82" t="s">
        <v>8653</v>
      </c>
    </row>
    <row r="3150" spans="1:3" s="79" customFormat="1" ht="38.85" customHeight="1" x14ac:dyDescent="0.2">
      <c r="A3150" s="81">
        <v>20037919</v>
      </c>
      <c r="B3150" s="80" t="s">
        <v>3427</v>
      </c>
      <c r="C3150" s="82" t="s">
        <v>8654</v>
      </c>
    </row>
    <row r="3151" spans="1:3" s="79" customFormat="1" ht="38.85" customHeight="1" x14ac:dyDescent="0.2">
      <c r="A3151" s="81">
        <v>20037921</v>
      </c>
      <c r="B3151" s="80" t="s">
        <v>11429</v>
      </c>
      <c r="C3151" s="82" t="s">
        <v>8655</v>
      </c>
    </row>
    <row r="3152" spans="1:3" s="79" customFormat="1" ht="59.1" customHeight="1" x14ac:dyDescent="0.2">
      <c r="A3152" s="81">
        <v>20037922</v>
      </c>
      <c r="B3152" s="80" t="s">
        <v>3428</v>
      </c>
      <c r="C3152" s="82" t="s">
        <v>8656</v>
      </c>
    </row>
    <row r="3153" spans="1:3" s="79" customFormat="1" ht="68.849999999999994" customHeight="1" x14ac:dyDescent="0.2">
      <c r="A3153" s="81">
        <v>20037923</v>
      </c>
      <c r="B3153" s="80" t="s">
        <v>3429</v>
      </c>
      <c r="C3153" s="82" t="s">
        <v>8657</v>
      </c>
    </row>
    <row r="3154" spans="1:3" s="79" customFormat="1" ht="59.1" customHeight="1" x14ac:dyDescent="0.2">
      <c r="A3154" s="81">
        <v>20037924</v>
      </c>
      <c r="B3154" s="80" t="s">
        <v>3430</v>
      </c>
      <c r="C3154" s="82" t="s">
        <v>8658</v>
      </c>
    </row>
    <row r="3155" spans="1:3" s="79" customFormat="1" ht="68.849999999999994" customHeight="1" x14ac:dyDescent="0.2">
      <c r="A3155" s="81">
        <v>20037925</v>
      </c>
      <c r="B3155" s="80" t="s">
        <v>3431</v>
      </c>
      <c r="C3155" s="82" t="s">
        <v>8659</v>
      </c>
    </row>
    <row r="3156" spans="1:3" s="79" customFormat="1" ht="78.95" customHeight="1" x14ac:dyDescent="0.2">
      <c r="A3156" s="81">
        <v>20037926</v>
      </c>
      <c r="B3156" s="80" t="s">
        <v>3432</v>
      </c>
      <c r="C3156" s="81" t="s">
        <v>8660</v>
      </c>
    </row>
    <row r="3157" spans="1:3" s="79" customFormat="1" ht="139.15" customHeight="1" x14ac:dyDescent="0.2">
      <c r="A3157" s="81">
        <v>20037927</v>
      </c>
      <c r="B3157" s="80" t="s">
        <v>3433</v>
      </c>
      <c r="C3157" s="82" t="s">
        <v>8661</v>
      </c>
    </row>
    <row r="3158" spans="1:3" s="79" customFormat="1" ht="89.1" customHeight="1" x14ac:dyDescent="0.2">
      <c r="A3158" s="81">
        <v>20037938</v>
      </c>
      <c r="B3158" s="80" t="s">
        <v>3434</v>
      </c>
      <c r="C3158" s="81" t="s">
        <v>8662</v>
      </c>
    </row>
    <row r="3159" spans="1:3" s="79" customFormat="1" ht="99.2" customHeight="1" x14ac:dyDescent="0.2">
      <c r="A3159" s="81">
        <v>20037939</v>
      </c>
      <c r="B3159" s="80" t="s">
        <v>3435</v>
      </c>
      <c r="C3159" s="81" t="s">
        <v>8663</v>
      </c>
    </row>
    <row r="3160" spans="1:3" s="79" customFormat="1" ht="129" customHeight="1" x14ac:dyDescent="0.2">
      <c r="A3160" s="81">
        <v>20037940</v>
      </c>
      <c r="B3160" s="80" t="s">
        <v>3436</v>
      </c>
      <c r="C3160" s="81" t="s">
        <v>8664</v>
      </c>
    </row>
    <row r="3161" spans="1:3" s="79" customFormat="1" ht="139.15" customHeight="1" x14ac:dyDescent="0.2">
      <c r="A3161" s="81">
        <v>20037941</v>
      </c>
      <c r="B3161" s="80" t="s">
        <v>3437</v>
      </c>
      <c r="C3161" s="81" t="s">
        <v>8665</v>
      </c>
    </row>
    <row r="3162" spans="1:3" s="79" customFormat="1" ht="149.25" customHeight="1" x14ac:dyDescent="0.2">
      <c r="A3162" s="81">
        <v>20037942</v>
      </c>
      <c r="B3162" s="80" t="s">
        <v>3438</v>
      </c>
      <c r="C3162" s="81" t="s">
        <v>8666</v>
      </c>
    </row>
    <row r="3163" spans="1:3" s="79" customFormat="1" ht="158.85" customHeight="1" x14ac:dyDescent="0.2">
      <c r="A3163" s="81">
        <v>20037943</v>
      </c>
      <c r="B3163" s="80" t="s">
        <v>3439</v>
      </c>
      <c r="C3163" s="81" t="s">
        <v>8667</v>
      </c>
    </row>
    <row r="3164" spans="1:3" s="79" customFormat="1" ht="169.15" customHeight="1" x14ac:dyDescent="0.2">
      <c r="A3164" s="81">
        <v>20037944</v>
      </c>
      <c r="B3164" s="80" t="s">
        <v>3440</v>
      </c>
      <c r="C3164" s="81" t="s">
        <v>8668</v>
      </c>
    </row>
    <row r="3165" spans="1:3" s="79" customFormat="1" ht="179.1" customHeight="1" x14ac:dyDescent="0.2">
      <c r="A3165" s="81">
        <v>20037945</v>
      </c>
      <c r="B3165" s="80" t="s">
        <v>3441</v>
      </c>
      <c r="C3165" s="81" t="s">
        <v>8669</v>
      </c>
    </row>
    <row r="3166" spans="1:3" s="79" customFormat="1" ht="189.4" customHeight="1" x14ac:dyDescent="0.2">
      <c r="A3166" s="81">
        <v>20037946</v>
      </c>
      <c r="B3166" s="80" t="s">
        <v>3442</v>
      </c>
      <c r="C3166" s="81" t="s">
        <v>8670</v>
      </c>
    </row>
    <row r="3167" spans="1:3" s="79" customFormat="1" ht="189.4" customHeight="1" x14ac:dyDescent="0.2">
      <c r="A3167" s="81">
        <v>20037947</v>
      </c>
      <c r="B3167" s="80" t="s">
        <v>3443</v>
      </c>
      <c r="C3167" s="81" t="s">
        <v>8671</v>
      </c>
    </row>
    <row r="3168" spans="1:3" s="79" customFormat="1" ht="198.95" customHeight="1" x14ac:dyDescent="0.2">
      <c r="A3168" s="81">
        <v>20037948</v>
      </c>
      <c r="B3168" s="80" t="s">
        <v>3444</v>
      </c>
      <c r="C3168" s="81" t="s">
        <v>8672</v>
      </c>
    </row>
    <row r="3169" spans="1:3" s="79" customFormat="1" ht="209.1" customHeight="1" x14ac:dyDescent="0.2">
      <c r="A3169" s="81">
        <v>20037949</v>
      </c>
      <c r="B3169" s="80" t="s">
        <v>3445</v>
      </c>
      <c r="C3169" s="82" t="s">
        <v>8673</v>
      </c>
    </row>
    <row r="3170" spans="1:3" s="79" customFormat="1" ht="78.95" customHeight="1" x14ac:dyDescent="0.2">
      <c r="A3170" s="81">
        <v>20037958</v>
      </c>
      <c r="B3170" s="80" t="s">
        <v>3446</v>
      </c>
      <c r="C3170" s="81" t="s">
        <v>8674</v>
      </c>
    </row>
    <row r="3171" spans="1:3" s="79" customFormat="1" ht="89.1" customHeight="1" x14ac:dyDescent="0.2">
      <c r="A3171" s="81">
        <v>20037960</v>
      </c>
      <c r="B3171" s="80" t="s">
        <v>3448</v>
      </c>
      <c r="C3171" s="81" t="s">
        <v>8675</v>
      </c>
    </row>
    <row r="3172" spans="1:3" s="79" customFormat="1" ht="118.9" customHeight="1" x14ac:dyDescent="0.2">
      <c r="A3172" s="81">
        <v>20037988</v>
      </c>
      <c r="B3172" s="80" t="s">
        <v>3447</v>
      </c>
      <c r="C3172" s="82" t="s">
        <v>8676</v>
      </c>
    </row>
    <row r="3173" spans="1:3" s="79" customFormat="1" ht="139.15" customHeight="1" x14ac:dyDescent="0.2">
      <c r="A3173" s="81">
        <v>20038009</v>
      </c>
      <c r="B3173" s="80" t="s">
        <v>3449</v>
      </c>
      <c r="C3173" s="81" t="s">
        <v>8677</v>
      </c>
    </row>
    <row r="3174" spans="1:3" s="79" customFormat="1" ht="59.1" customHeight="1" x14ac:dyDescent="0.2">
      <c r="A3174" s="81">
        <v>20038018</v>
      </c>
      <c r="B3174" s="80" t="s">
        <v>11029</v>
      </c>
      <c r="C3174" s="81" t="s">
        <v>11030</v>
      </c>
    </row>
    <row r="3175" spans="1:3" s="79" customFormat="1" ht="109.35" customHeight="1" x14ac:dyDescent="0.2">
      <c r="A3175" s="81">
        <v>20038019</v>
      </c>
      <c r="B3175" s="80" t="s">
        <v>11209</v>
      </c>
      <c r="C3175" s="81" t="s">
        <v>11210</v>
      </c>
    </row>
    <row r="3176" spans="1:3" s="79" customFormat="1" ht="78.95" customHeight="1" x14ac:dyDescent="0.2">
      <c r="A3176" s="81">
        <v>20038028</v>
      </c>
      <c r="B3176" s="80" t="s">
        <v>3450</v>
      </c>
      <c r="C3176" s="80" t="s">
        <v>8678</v>
      </c>
    </row>
    <row r="3177" spans="1:3" s="79" customFormat="1" ht="78.95" customHeight="1" x14ac:dyDescent="0.2">
      <c r="A3177" s="81">
        <v>20038029</v>
      </c>
      <c r="B3177" s="80" t="s">
        <v>3451</v>
      </c>
      <c r="C3177" s="80" t="s">
        <v>8679</v>
      </c>
    </row>
    <row r="3178" spans="1:3" s="79" customFormat="1" ht="19.149999999999999" customHeight="1" x14ac:dyDescent="0.2">
      <c r="A3178" s="81">
        <v>20038030</v>
      </c>
      <c r="B3178" s="80" t="s">
        <v>3452</v>
      </c>
      <c r="C3178" s="80" t="s">
        <v>8680</v>
      </c>
    </row>
    <row r="3179" spans="1:3" s="79" customFormat="1" ht="19.149999999999999" customHeight="1" x14ac:dyDescent="0.2">
      <c r="A3179" s="81">
        <v>20038034</v>
      </c>
      <c r="B3179" s="80" t="s">
        <v>3456</v>
      </c>
      <c r="C3179" s="81" t="s">
        <v>8681</v>
      </c>
    </row>
    <row r="3180" spans="1:3" s="79" customFormat="1" ht="19.149999999999999" customHeight="1" x14ac:dyDescent="0.2">
      <c r="A3180" s="81">
        <v>20038038</v>
      </c>
      <c r="B3180" s="80" t="s">
        <v>3453</v>
      </c>
      <c r="C3180" s="82" t="s">
        <v>8682</v>
      </c>
    </row>
    <row r="3181" spans="1:3" s="79" customFormat="1" ht="99.2" customHeight="1" x14ac:dyDescent="0.2">
      <c r="A3181" s="81">
        <v>20038039</v>
      </c>
      <c r="B3181" s="80" t="s">
        <v>3454</v>
      </c>
      <c r="C3181" s="80" t="s">
        <v>8683</v>
      </c>
    </row>
    <row r="3182" spans="1:3" s="79" customFormat="1" ht="49.15" customHeight="1" x14ac:dyDescent="0.2">
      <c r="A3182" s="81">
        <v>20038040</v>
      </c>
      <c r="B3182" s="80" t="s">
        <v>3455</v>
      </c>
      <c r="C3182" s="82" t="s">
        <v>8684</v>
      </c>
    </row>
    <row r="3183" spans="1:3" s="79" customFormat="1" ht="19.149999999999999" customHeight="1" x14ac:dyDescent="0.2">
      <c r="A3183" s="81">
        <v>20038049</v>
      </c>
      <c r="B3183" s="80" t="s">
        <v>11031</v>
      </c>
      <c r="C3183" s="81" t="s">
        <v>11032</v>
      </c>
    </row>
    <row r="3184" spans="1:3" s="79" customFormat="1" ht="38.85" customHeight="1" x14ac:dyDescent="0.2">
      <c r="A3184" s="81">
        <v>20038086</v>
      </c>
      <c r="B3184" s="80" t="s">
        <v>3457</v>
      </c>
      <c r="C3184" s="82" t="s">
        <v>8685</v>
      </c>
    </row>
    <row r="3185" spans="1:3" s="79" customFormat="1" ht="78.95" customHeight="1" x14ac:dyDescent="0.2">
      <c r="A3185" s="81">
        <v>20038087</v>
      </c>
      <c r="B3185" s="80" t="s">
        <v>3458</v>
      </c>
      <c r="C3185" s="82" t="s">
        <v>8686</v>
      </c>
    </row>
    <row r="3186" spans="1:3" s="79" customFormat="1" ht="49.15" customHeight="1" x14ac:dyDescent="0.2">
      <c r="A3186" s="81">
        <v>20038088</v>
      </c>
      <c r="B3186" s="80" t="s">
        <v>3459</v>
      </c>
      <c r="C3186" s="82" t="s">
        <v>8687</v>
      </c>
    </row>
    <row r="3187" spans="1:3" s="79" customFormat="1" ht="59.1" customHeight="1" x14ac:dyDescent="0.2">
      <c r="A3187" s="81">
        <v>20038089</v>
      </c>
      <c r="B3187" s="80" t="s">
        <v>3460</v>
      </c>
      <c r="C3187" s="82" t="s">
        <v>8688</v>
      </c>
    </row>
    <row r="3188" spans="1:3" s="79" customFormat="1" ht="59.1" customHeight="1" x14ac:dyDescent="0.2">
      <c r="A3188" s="81">
        <v>20038090</v>
      </c>
      <c r="B3188" s="80" t="s">
        <v>3461</v>
      </c>
      <c r="C3188" s="82" t="s">
        <v>8689</v>
      </c>
    </row>
    <row r="3189" spans="1:3" s="79" customFormat="1" ht="59.1" customHeight="1" x14ac:dyDescent="0.2">
      <c r="A3189" s="81">
        <v>20038091</v>
      </c>
      <c r="B3189" s="80" t="s">
        <v>3462</v>
      </c>
      <c r="C3189" s="82" t="s">
        <v>8690</v>
      </c>
    </row>
    <row r="3190" spans="1:3" s="79" customFormat="1" ht="59.1" customHeight="1" x14ac:dyDescent="0.2">
      <c r="A3190" s="81">
        <v>20038092</v>
      </c>
      <c r="B3190" s="80" t="s">
        <v>3463</v>
      </c>
      <c r="C3190" s="82" t="s">
        <v>8691</v>
      </c>
    </row>
    <row r="3191" spans="1:3" s="79" customFormat="1" ht="59.1" customHeight="1" x14ac:dyDescent="0.2">
      <c r="A3191" s="81">
        <v>20038093</v>
      </c>
      <c r="B3191" s="80" t="s">
        <v>3464</v>
      </c>
      <c r="C3191" s="82" t="s">
        <v>8692</v>
      </c>
    </row>
    <row r="3192" spans="1:3" s="79" customFormat="1" ht="59.1" customHeight="1" x14ac:dyDescent="0.2">
      <c r="A3192" s="81">
        <v>20038095</v>
      </c>
      <c r="B3192" s="80" t="s">
        <v>3465</v>
      </c>
      <c r="C3192" s="82" t="s">
        <v>8693</v>
      </c>
    </row>
    <row r="3193" spans="1:3" s="79" customFormat="1" ht="49.15" customHeight="1" x14ac:dyDescent="0.2">
      <c r="A3193" s="81">
        <v>20038096</v>
      </c>
      <c r="B3193" s="80" t="s">
        <v>3466</v>
      </c>
      <c r="C3193" s="82" t="s">
        <v>8694</v>
      </c>
    </row>
    <row r="3194" spans="1:3" s="79" customFormat="1" ht="49.15" customHeight="1" x14ac:dyDescent="0.2">
      <c r="A3194" s="81">
        <v>20038108</v>
      </c>
      <c r="B3194" s="80" t="s">
        <v>3467</v>
      </c>
      <c r="C3194" s="82" t="s">
        <v>8695</v>
      </c>
    </row>
    <row r="3195" spans="1:3" s="79" customFormat="1" ht="49.15" customHeight="1" x14ac:dyDescent="0.2">
      <c r="A3195" s="81">
        <v>20038148</v>
      </c>
      <c r="B3195" s="80" t="s">
        <v>3468</v>
      </c>
      <c r="C3195" s="82" t="s">
        <v>8696</v>
      </c>
    </row>
    <row r="3196" spans="1:3" s="79" customFormat="1" ht="118.9" customHeight="1" x14ac:dyDescent="0.2">
      <c r="A3196" s="81">
        <v>20038178</v>
      </c>
      <c r="B3196" s="80" t="s">
        <v>3469</v>
      </c>
      <c r="C3196" s="82" t="s">
        <v>8697</v>
      </c>
    </row>
    <row r="3197" spans="1:3" s="79" customFormat="1" ht="49.15" customHeight="1" x14ac:dyDescent="0.2">
      <c r="A3197" s="81">
        <v>20038189</v>
      </c>
      <c r="B3197" s="80" t="s">
        <v>3470</v>
      </c>
      <c r="C3197" s="81" t="s">
        <v>8698</v>
      </c>
    </row>
    <row r="3198" spans="1:3" s="79" customFormat="1" ht="28.7" customHeight="1" x14ac:dyDescent="0.2">
      <c r="A3198" s="81">
        <v>20038208</v>
      </c>
      <c r="B3198" s="80" t="s">
        <v>3471</v>
      </c>
      <c r="C3198" s="82" t="s">
        <v>8699</v>
      </c>
    </row>
    <row r="3199" spans="1:3" s="79" customFormat="1" ht="109.35" customHeight="1" x14ac:dyDescent="0.2">
      <c r="A3199" s="81">
        <v>20038209</v>
      </c>
      <c r="B3199" s="80" t="s">
        <v>11430</v>
      </c>
      <c r="C3199" s="82" t="s">
        <v>8700</v>
      </c>
    </row>
    <row r="3200" spans="1:3" s="79" customFormat="1" ht="68.849999999999994" customHeight="1" x14ac:dyDescent="0.2">
      <c r="A3200" s="81">
        <v>20038231</v>
      </c>
      <c r="B3200" s="80" t="s">
        <v>3472</v>
      </c>
      <c r="C3200" s="82" t="s">
        <v>8701</v>
      </c>
    </row>
    <row r="3201" spans="1:3" s="79" customFormat="1" ht="49.15" customHeight="1" x14ac:dyDescent="0.2">
      <c r="A3201" s="81">
        <v>20038233</v>
      </c>
      <c r="B3201" s="80" t="s">
        <v>3484</v>
      </c>
      <c r="C3201" s="82" t="s">
        <v>8702</v>
      </c>
    </row>
    <row r="3202" spans="1:3" s="79" customFormat="1" ht="49.15" customHeight="1" x14ac:dyDescent="0.2">
      <c r="A3202" s="81">
        <v>20038234</v>
      </c>
      <c r="B3202" s="80" t="s">
        <v>3485</v>
      </c>
      <c r="C3202" s="82" t="s">
        <v>8703</v>
      </c>
    </row>
    <row r="3203" spans="1:3" s="79" customFormat="1" ht="28.7" customHeight="1" x14ac:dyDescent="0.2">
      <c r="A3203" s="81">
        <v>20038235</v>
      </c>
      <c r="B3203" s="80" t="s">
        <v>3486</v>
      </c>
      <c r="C3203" s="81" t="s">
        <v>8704</v>
      </c>
    </row>
    <row r="3204" spans="1:3" s="79" customFormat="1" ht="68.849999999999994" customHeight="1" x14ac:dyDescent="0.2">
      <c r="A3204" s="81">
        <v>20038236</v>
      </c>
      <c r="B3204" s="80" t="s">
        <v>3487</v>
      </c>
      <c r="C3204" s="82" t="s">
        <v>8705</v>
      </c>
    </row>
    <row r="3205" spans="1:3" s="79" customFormat="1" ht="89.1" customHeight="1" x14ac:dyDescent="0.2">
      <c r="A3205" s="81">
        <v>20038238</v>
      </c>
      <c r="B3205" s="80" t="s">
        <v>3473</v>
      </c>
      <c r="C3205" s="82" t="s">
        <v>8706</v>
      </c>
    </row>
    <row r="3206" spans="1:3" s="79" customFormat="1" ht="99.2" customHeight="1" x14ac:dyDescent="0.2">
      <c r="A3206" s="81">
        <v>20038239</v>
      </c>
      <c r="B3206" s="80" t="s">
        <v>3474</v>
      </c>
      <c r="C3206" s="80" t="s">
        <v>8707</v>
      </c>
    </row>
    <row r="3207" spans="1:3" s="79" customFormat="1" ht="89.1" customHeight="1" x14ac:dyDescent="0.2">
      <c r="A3207" s="81">
        <v>20038240</v>
      </c>
      <c r="B3207" s="80" t="s">
        <v>3475</v>
      </c>
      <c r="C3207" s="82" t="s">
        <v>8708</v>
      </c>
    </row>
    <row r="3208" spans="1:3" s="79" customFormat="1" ht="19.149999999999999" customHeight="1" x14ac:dyDescent="0.2">
      <c r="A3208" s="81">
        <v>20038241</v>
      </c>
      <c r="B3208" s="80" t="s">
        <v>3476</v>
      </c>
      <c r="C3208" s="80" t="s">
        <v>8709</v>
      </c>
    </row>
    <row r="3209" spans="1:3" s="79" customFormat="1" ht="19.149999999999999" customHeight="1" x14ac:dyDescent="0.2">
      <c r="A3209" s="81">
        <v>20038242</v>
      </c>
      <c r="B3209" s="80" t="s">
        <v>3477</v>
      </c>
      <c r="C3209" s="80" t="s">
        <v>8710</v>
      </c>
    </row>
    <row r="3210" spans="1:3" s="79" customFormat="1" ht="19.149999999999999" customHeight="1" x14ac:dyDescent="0.2">
      <c r="A3210" s="81">
        <v>20038243</v>
      </c>
      <c r="B3210" s="80" t="s">
        <v>3478</v>
      </c>
      <c r="C3210" s="80" t="s">
        <v>8711</v>
      </c>
    </row>
    <row r="3211" spans="1:3" s="79" customFormat="1" ht="19.149999999999999" customHeight="1" x14ac:dyDescent="0.2">
      <c r="A3211" s="81">
        <v>20038244</v>
      </c>
      <c r="B3211" s="80" t="s">
        <v>3479</v>
      </c>
      <c r="C3211" s="82" t="s">
        <v>8712</v>
      </c>
    </row>
    <row r="3212" spans="1:3" s="79" customFormat="1" ht="19.149999999999999" customHeight="1" x14ac:dyDescent="0.2">
      <c r="A3212" s="81">
        <v>20038245</v>
      </c>
      <c r="B3212" s="80" t="s">
        <v>3480</v>
      </c>
      <c r="C3212" s="82" t="s">
        <v>8713</v>
      </c>
    </row>
    <row r="3213" spans="1:3" s="79" customFormat="1" ht="19.149999999999999" customHeight="1" x14ac:dyDescent="0.2">
      <c r="A3213" s="81">
        <v>20038246</v>
      </c>
      <c r="B3213" s="80" t="s">
        <v>3481</v>
      </c>
      <c r="C3213" s="82" t="s">
        <v>8714</v>
      </c>
    </row>
    <row r="3214" spans="1:3" s="79" customFormat="1" ht="28.7" customHeight="1" x14ac:dyDescent="0.2">
      <c r="A3214" s="81">
        <v>20038247</v>
      </c>
      <c r="B3214" s="80" t="s">
        <v>3482</v>
      </c>
      <c r="C3214" s="82" t="s">
        <v>8715</v>
      </c>
    </row>
    <row r="3215" spans="1:3" s="79" customFormat="1" ht="28.7" customHeight="1" x14ac:dyDescent="0.2">
      <c r="A3215" s="81">
        <v>20038248</v>
      </c>
      <c r="B3215" s="80" t="s">
        <v>3483</v>
      </c>
      <c r="C3215" s="82" t="s">
        <v>8716</v>
      </c>
    </row>
    <row r="3216" spans="1:3" s="79" customFormat="1" ht="28.7" customHeight="1" x14ac:dyDescent="0.2">
      <c r="A3216" s="81">
        <v>20038259</v>
      </c>
      <c r="B3216" s="80" t="s">
        <v>3488</v>
      </c>
      <c r="C3216" s="82" t="s">
        <v>8717</v>
      </c>
    </row>
    <row r="3217" spans="1:3" s="79" customFormat="1" ht="19.149999999999999" customHeight="1" x14ac:dyDescent="0.2">
      <c r="A3217" s="81">
        <v>20038260</v>
      </c>
      <c r="B3217" s="80" t="s">
        <v>3489</v>
      </c>
      <c r="C3217" s="82" t="s">
        <v>8718</v>
      </c>
    </row>
    <row r="3218" spans="1:3" s="79" customFormat="1" ht="19.149999999999999" customHeight="1" x14ac:dyDescent="0.2">
      <c r="A3218" s="81">
        <v>20038268</v>
      </c>
      <c r="B3218" s="80" t="s">
        <v>3490</v>
      </c>
      <c r="C3218" s="82" t="s">
        <v>8719</v>
      </c>
    </row>
    <row r="3219" spans="1:3" s="79" customFormat="1" ht="28.7" customHeight="1" x14ac:dyDescent="0.2">
      <c r="A3219" s="81">
        <v>20038269</v>
      </c>
      <c r="B3219" s="80" t="s">
        <v>3491</v>
      </c>
      <c r="C3219" s="81" t="s">
        <v>8720</v>
      </c>
    </row>
    <row r="3220" spans="1:3" s="79" customFormat="1" ht="28.7" customHeight="1" x14ac:dyDescent="0.2">
      <c r="A3220" s="81">
        <v>20038270</v>
      </c>
      <c r="B3220" s="80" t="s">
        <v>3492</v>
      </c>
      <c r="C3220" s="81" t="s">
        <v>8721</v>
      </c>
    </row>
    <row r="3221" spans="1:3" s="79" customFormat="1" ht="28.7" customHeight="1" x14ac:dyDescent="0.2">
      <c r="A3221" s="81">
        <v>20038271</v>
      </c>
      <c r="B3221" s="80" t="s">
        <v>3493</v>
      </c>
      <c r="C3221" s="81" t="s">
        <v>8722</v>
      </c>
    </row>
    <row r="3222" spans="1:3" s="79" customFormat="1" ht="59.1" customHeight="1" x14ac:dyDescent="0.2">
      <c r="A3222" s="81">
        <v>20038272</v>
      </c>
      <c r="B3222" s="80" t="s">
        <v>3494</v>
      </c>
      <c r="C3222" s="81" t="s">
        <v>8723</v>
      </c>
    </row>
    <row r="3223" spans="1:3" s="79" customFormat="1" ht="59.1" customHeight="1" x14ac:dyDescent="0.2">
      <c r="A3223" s="81">
        <v>20038276</v>
      </c>
      <c r="B3223" s="80" t="s">
        <v>3495</v>
      </c>
      <c r="C3223" s="82" t="s">
        <v>8724</v>
      </c>
    </row>
    <row r="3224" spans="1:3" s="79" customFormat="1" ht="59.1" customHeight="1" x14ac:dyDescent="0.2">
      <c r="A3224" s="81">
        <v>20038277</v>
      </c>
      <c r="B3224" s="80" t="s">
        <v>3496</v>
      </c>
      <c r="C3224" s="82" t="s">
        <v>8725</v>
      </c>
    </row>
    <row r="3225" spans="1:3" s="79" customFormat="1" ht="78.95" customHeight="1" x14ac:dyDescent="0.2">
      <c r="A3225" s="81">
        <v>20038278</v>
      </c>
      <c r="B3225" s="80" t="s">
        <v>3497</v>
      </c>
      <c r="C3225" s="82" t="s">
        <v>8726</v>
      </c>
    </row>
    <row r="3226" spans="1:3" s="79" customFormat="1" ht="19.149999999999999" customHeight="1" x14ac:dyDescent="0.2">
      <c r="A3226" s="81">
        <v>20038279</v>
      </c>
      <c r="B3226" s="80" t="s">
        <v>3498</v>
      </c>
      <c r="C3226" s="80" t="s">
        <v>8727</v>
      </c>
    </row>
    <row r="3227" spans="1:3" s="79" customFormat="1" ht="19.149999999999999" customHeight="1" x14ac:dyDescent="0.2">
      <c r="A3227" s="81">
        <v>20038280</v>
      </c>
      <c r="B3227" s="80" t="s">
        <v>3499</v>
      </c>
      <c r="C3227" s="82" t="s">
        <v>8728</v>
      </c>
    </row>
    <row r="3228" spans="1:3" s="79" customFormat="1" ht="28.7" customHeight="1" x14ac:dyDescent="0.2">
      <c r="A3228" s="81">
        <v>20038281</v>
      </c>
      <c r="B3228" s="80" t="s">
        <v>3500</v>
      </c>
      <c r="C3228" s="82" t="s">
        <v>8729</v>
      </c>
    </row>
    <row r="3229" spans="1:3" s="79" customFormat="1" ht="19.149999999999999" customHeight="1" x14ac:dyDescent="0.2">
      <c r="A3229" s="81">
        <v>20038283</v>
      </c>
      <c r="B3229" s="80" t="s">
        <v>3510</v>
      </c>
      <c r="C3229" s="81" t="s">
        <v>8730</v>
      </c>
    </row>
    <row r="3230" spans="1:3" s="79" customFormat="1" ht="19.149999999999999" customHeight="1" x14ac:dyDescent="0.2">
      <c r="A3230" s="81">
        <v>20038284</v>
      </c>
      <c r="B3230" s="80" t="s">
        <v>3511</v>
      </c>
      <c r="C3230" s="82" t="s">
        <v>8731</v>
      </c>
    </row>
    <row r="3231" spans="1:3" s="79" customFormat="1" ht="19.149999999999999" customHeight="1" x14ac:dyDescent="0.2">
      <c r="A3231" s="81">
        <v>20038289</v>
      </c>
      <c r="B3231" s="80" t="s">
        <v>3501</v>
      </c>
      <c r="C3231" s="80" t="s">
        <v>8732</v>
      </c>
    </row>
    <row r="3232" spans="1:3" s="79" customFormat="1" ht="68.849999999999994" customHeight="1" x14ac:dyDescent="0.2">
      <c r="A3232" s="81">
        <v>20038292</v>
      </c>
      <c r="B3232" s="80" t="s">
        <v>3502</v>
      </c>
      <c r="C3232" s="80" t="s">
        <v>8733</v>
      </c>
    </row>
    <row r="3233" spans="1:3" s="79" customFormat="1" ht="89.1" customHeight="1" x14ac:dyDescent="0.2">
      <c r="A3233" s="81">
        <v>20038293</v>
      </c>
      <c r="B3233" s="80" t="s">
        <v>3503</v>
      </c>
      <c r="C3233" s="82" t="s">
        <v>8734</v>
      </c>
    </row>
    <row r="3234" spans="1:3" s="79" customFormat="1" ht="19.149999999999999" customHeight="1" x14ac:dyDescent="0.2">
      <c r="A3234" s="81">
        <v>20038294</v>
      </c>
      <c r="B3234" s="80" t="s">
        <v>3504</v>
      </c>
      <c r="C3234" s="82" t="s">
        <v>8735</v>
      </c>
    </row>
    <row r="3235" spans="1:3" s="79" customFormat="1" ht="19.149999999999999" customHeight="1" x14ac:dyDescent="0.2">
      <c r="A3235" s="81">
        <v>20038295</v>
      </c>
      <c r="B3235" s="80" t="s">
        <v>3505</v>
      </c>
      <c r="C3235" s="82" t="s">
        <v>8736</v>
      </c>
    </row>
    <row r="3236" spans="1:3" s="79" customFormat="1" ht="28.7" customHeight="1" x14ac:dyDescent="0.2">
      <c r="A3236" s="81">
        <v>20038296</v>
      </c>
      <c r="B3236" s="80" t="s">
        <v>3506</v>
      </c>
      <c r="C3236" s="82" t="s">
        <v>8737</v>
      </c>
    </row>
    <row r="3237" spans="1:3" s="79" customFormat="1" ht="28.7" customHeight="1" x14ac:dyDescent="0.2">
      <c r="A3237" s="81">
        <v>20038297</v>
      </c>
      <c r="B3237" s="80" t="s">
        <v>3507</v>
      </c>
      <c r="C3237" s="82" t="s">
        <v>8738</v>
      </c>
    </row>
    <row r="3238" spans="1:3" s="79" customFormat="1" ht="78.95" customHeight="1" x14ac:dyDescent="0.2">
      <c r="A3238" s="81">
        <v>20038298</v>
      </c>
      <c r="B3238" s="80" t="s">
        <v>3508</v>
      </c>
      <c r="C3238" s="82" t="s">
        <v>8739</v>
      </c>
    </row>
    <row r="3239" spans="1:3" s="79" customFormat="1" ht="78.95" customHeight="1" x14ac:dyDescent="0.2">
      <c r="A3239" s="81">
        <v>20038299</v>
      </c>
      <c r="B3239" s="80" t="s">
        <v>3509</v>
      </c>
      <c r="C3239" s="82" t="s">
        <v>8740</v>
      </c>
    </row>
    <row r="3240" spans="1:3" s="79" customFormat="1" ht="49.15" customHeight="1" x14ac:dyDescent="0.2">
      <c r="A3240" s="81">
        <v>20038333</v>
      </c>
      <c r="B3240" s="80" t="s">
        <v>3520</v>
      </c>
      <c r="C3240" s="82" t="s">
        <v>8741</v>
      </c>
    </row>
    <row r="3241" spans="1:3" s="79" customFormat="1" ht="59.1" customHeight="1" x14ac:dyDescent="0.2">
      <c r="A3241" s="81">
        <v>20038340</v>
      </c>
      <c r="B3241" s="80" t="s">
        <v>3512</v>
      </c>
      <c r="C3241" s="81" t="s">
        <v>8742</v>
      </c>
    </row>
    <row r="3242" spans="1:3" s="79" customFormat="1" ht="99.2" customHeight="1" x14ac:dyDescent="0.2">
      <c r="A3242" s="81">
        <v>20038341</v>
      </c>
      <c r="B3242" s="80" t="s">
        <v>3513</v>
      </c>
      <c r="C3242" s="82" t="s">
        <v>8743</v>
      </c>
    </row>
    <row r="3243" spans="1:3" s="79" customFormat="1" ht="38.85" customHeight="1" x14ac:dyDescent="0.2">
      <c r="A3243" s="81">
        <v>20038342</v>
      </c>
      <c r="B3243" s="80" t="s">
        <v>3514</v>
      </c>
      <c r="C3243" s="82" t="s">
        <v>8743</v>
      </c>
    </row>
    <row r="3244" spans="1:3" s="79" customFormat="1" ht="259.14999999999998" customHeight="1" x14ac:dyDescent="0.2">
      <c r="A3244" s="81">
        <v>20038343</v>
      </c>
      <c r="B3244" s="80" t="s">
        <v>3515</v>
      </c>
      <c r="C3244" s="82" t="s">
        <v>8743</v>
      </c>
    </row>
    <row r="3245" spans="1:3" s="79" customFormat="1" ht="28.7" customHeight="1" x14ac:dyDescent="0.2">
      <c r="A3245" s="81">
        <v>20038344</v>
      </c>
      <c r="B3245" s="80" t="s">
        <v>3516</v>
      </c>
      <c r="C3245" s="82" t="s">
        <v>8743</v>
      </c>
    </row>
    <row r="3246" spans="1:3" s="79" customFormat="1" ht="28.7" customHeight="1" x14ac:dyDescent="0.2">
      <c r="A3246" s="81">
        <v>20038345</v>
      </c>
      <c r="B3246" s="80" t="s">
        <v>3517</v>
      </c>
      <c r="C3246" s="82" t="s">
        <v>8743</v>
      </c>
    </row>
    <row r="3247" spans="1:3" s="79" customFormat="1" ht="28.7" customHeight="1" x14ac:dyDescent="0.2">
      <c r="A3247" s="81">
        <v>20038346</v>
      </c>
      <c r="B3247" s="80" t="s">
        <v>3518</v>
      </c>
      <c r="C3247" s="82" t="s">
        <v>8743</v>
      </c>
    </row>
    <row r="3248" spans="1:3" s="79" customFormat="1" ht="28.7" customHeight="1" x14ac:dyDescent="0.2">
      <c r="A3248" s="81">
        <v>20038347</v>
      </c>
      <c r="B3248" s="80" t="s">
        <v>3519</v>
      </c>
      <c r="C3248" s="82" t="s">
        <v>8743</v>
      </c>
    </row>
    <row r="3249" spans="1:3" s="79" customFormat="1" ht="28.7" customHeight="1" x14ac:dyDescent="0.2">
      <c r="A3249" s="81">
        <v>20038398</v>
      </c>
      <c r="B3249" s="80" t="s">
        <v>3521</v>
      </c>
      <c r="C3249" s="82" t="s">
        <v>8744</v>
      </c>
    </row>
    <row r="3250" spans="1:3" s="79" customFormat="1" ht="28.7" customHeight="1" x14ac:dyDescent="0.2">
      <c r="A3250" s="81">
        <v>20038399</v>
      </c>
      <c r="B3250" s="80" t="s">
        <v>3522</v>
      </c>
      <c r="C3250" s="82" t="s">
        <v>8745</v>
      </c>
    </row>
    <row r="3251" spans="1:3" s="79" customFormat="1" ht="28.7" customHeight="1" x14ac:dyDescent="0.2">
      <c r="A3251" s="81">
        <v>20038401</v>
      </c>
      <c r="B3251" s="80" t="s">
        <v>3523</v>
      </c>
      <c r="C3251" s="82" t="s">
        <v>8746</v>
      </c>
    </row>
    <row r="3252" spans="1:3" s="79" customFormat="1" ht="28.7" customHeight="1" x14ac:dyDescent="0.2">
      <c r="A3252" s="81">
        <v>20038402</v>
      </c>
      <c r="B3252" s="80" t="s">
        <v>3524</v>
      </c>
      <c r="C3252" s="82" t="s">
        <v>8747</v>
      </c>
    </row>
    <row r="3253" spans="1:3" s="79" customFormat="1" ht="38.85" customHeight="1" x14ac:dyDescent="0.2">
      <c r="A3253" s="81">
        <v>20038403</v>
      </c>
      <c r="B3253" s="80" t="s">
        <v>3525</v>
      </c>
      <c r="C3253" s="82" t="s">
        <v>8748</v>
      </c>
    </row>
    <row r="3254" spans="1:3" s="79" customFormat="1" ht="59.1" customHeight="1" x14ac:dyDescent="0.2">
      <c r="A3254" s="81">
        <v>20038496</v>
      </c>
      <c r="B3254" s="80" t="s">
        <v>3534</v>
      </c>
      <c r="C3254" s="82" t="s">
        <v>8749</v>
      </c>
    </row>
    <row r="3255" spans="1:3" s="79" customFormat="1" ht="59.1" customHeight="1" x14ac:dyDescent="0.2">
      <c r="A3255" s="81">
        <v>20038498</v>
      </c>
      <c r="B3255" s="80" t="s">
        <v>3526</v>
      </c>
      <c r="C3255" s="81" t="s">
        <v>8750</v>
      </c>
    </row>
    <row r="3256" spans="1:3" s="79" customFormat="1" ht="49.15" customHeight="1" x14ac:dyDescent="0.2">
      <c r="A3256" s="81">
        <v>20038518</v>
      </c>
      <c r="B3256" s="80" t="s">
        <v>3527</v>
      </c>
      <c r="C3256" s="81" t="s">
        <v>8751</v>
      </c>
    </row>
    <row r="3257" spans="1:3" s="79" customFormat="1" ht="99.2" customHeight="1" x14ac:dyDescent="0.2">
      <c r="A3257" s="81">
        <v>20038520</v>
      </c>
      <c r="B3257" s="80" t="s">
        <v>3528</v>
      </c>
      <c r="C3257" s="82" t="s">
        <v>8752</v>
      </c>
    </row>
    <row r="3258" spans="1:3" s="79" customFormat="1" ht="68.849999999999994" customHeight="1" x14ac:dyDescent="0.2">
      <c r="A3258" s="81">
        <v>20038521</v>
      </c>
      <c r="B3258" s="80" t="s">
        <v>3529</v>
      </c>
      <c r="C3258" s="82" t="s">
        <v>8753</v>
      </c>
    </row>
    <row r="3259" spans="1:3" s="79" customFormat="1" ht="89.1" customHeight="1" x14ac:dyDescent="0.2">
      <c r="A3259" s="81">
        <v>20038523</v>
      </c>
      <c r="B3259" s="80" t="s">
        <v>3530</v>
      </c>
      <c r="C3259" s="81" t="s">
        <v>8754</v>
      </c>
    </row>
    <row r="3260" spans="1:3" s="79" customFormat="1" ht="68.849999999999994" customHeight="1" x14ac:dyDescent="0.2">
      <c r="A3260" s="81">
        <v>20038524</v>
      </c>
      <c r="B3260" s="80" t="s">
        <v>3531</v>
      </c>
      <c r="C3260" s="81" t="s">
        <v>8755</v>
      </c>
    </row>
    <row r="3261" spans="1:3" s="79" customFormat="1" ht="78.95" customHeight="1" x14ac:dyDescent="0.2">
      <c r="A3261" s="81">
        <v>20038525</v>
      </c>
      <c r="B3261" s="80" t="s">
        <v>3532</v>
      </c>
      <c r="C3261" s="82" t="s">
        <v>8756</v>
      </c>
    </row>
    <row r="3262" spans="1:3" s="79" customFormat="1" ht="169.15" customHeight="1" x14ac:dyDescent="0.2">
      <c r="A3262" s="81">
        <v>20038526</v>
      </c>
      <c r="B3262" s="80" t="s">
        <v>3533</v>
      </c>
      <c r="C3262" s="82" t="s">
        <v>8757</v>
      </c>
    </row>
    <row r="3263" spans="1:3" s="79" customFormat="1" ht="179.1" customHeight="1" x14ac:dyDescent="0.2">
      <c r="A3263" s="81">
        <v>20038538</v>
      </c>
      <c r="B3263" s="80" t="s">
        <v>3535</v>
      </c>
      <c r="C3263" s="82" t="s">
        <v>8758</v>
      </c>
    </row>
    <row r="3264" spans="1:3" s="79" customFormat="1" ht="28.7" customHeight="1" x14ac:dyDescent="0.2">
      <c r="A3264" s="81">
        <v>20038539</v>
      </c>
      <c r="B3264" s="80" t="s">
        <v>3536</v>
      </c>
      <c r="C3264" s="80" t="s">
        <v>8759</v>
      </c>
    </row>
    <row r="3265" spans="1:3" s="79" customFormat="1" ht="28.7" customHeight="1" x14ac:dyDescent="0.2">
      <c r="A3265" s="81">
        <v>20038558</v>
      </c>
      <c r="B3265" s="80" t="s">
        <v>3537</v>
      </c>
      <c r="C3265" s="81" t="s">
        <v>8760</v>
      </c>
    </row>
    <row r="3266" spans="1:3" s="79" customFormat="1" ht="59.1" customHeight="1" x14ac:dyDescent="0.2">
      <c r="A3266" s="81">
        <v>20038559</v>
      </c>
      <c r="B3266" s="80" t="s">
        <v>3538</v>
      </c>
      <c r="C3266" s="80" t="s">
        <v>8761</v>
      </c>
    </row>
    <row r="3267" spans="1:3" s="79" customFormat="1" ht="19.149999999999999" customHeight="1" x14ac:dyDescent="0.2">
      <c r="A3267" s="81">
        <v>20038560</v>
      </c>
      <c r="B3267" s="80" t="s">
        <v>3539</v>
      </c>
      <c r="C3267" s="82" t="s">
        <v>8762</v>
      </c>
    </row>
    <row r="3268" spans="1:3" s="79" customFormat="1" ht="89.1" customHeight="1" x14ac:dyDescent="0.2">
      <c r="A3268" s="81">
        <v>20038562</v>
      </c>
      <c r="B3268" s="80" t="s">
        <v>3540</v>
      </c>
      <c r="C3268" s="81" t="s">
        <v>8763</v>
      </c>
    </row>
    <row r="3269" spans="1:3" s="79" customFormat="1" ht="19.149999999999999" customHeight="1" x14ac:dyDescent="0.2">
      <c r="A3269" s="81">
        <v>20038563</v>
      </c>
      <c r="B3269" s="80" t="s">
        <v>3541</v>
      </c>
      <c r="C3269" s="81" t="s">
        <v>8764</v>
      </c>
    </row>
    <row r="3270" spans="1:3" s="79" customFormat="1" ht="99.2" customHeight="1" x14ac:dyDescent="0.2">
      <c r="A3270" s="81">
        <v>20038564</v>
      </c>
      <c r="B3270" s="80" t="s">
        <v>3542</v>
      </c>
      <c r="C3270" s="81" t="s">
        <v>8765</v>
      </c>
    </row>
    <row r="3271" spans="1:3" s="79" customFormat="1" ht="139.15" customHeight="1" x14ac:dyDescent="0.2">
      <c r="A3271" s="81">
        <v>20038565</v>
      </c>
      <c r="B3271" s="80" t="s">
        <v>3543</v>
      </c>
      <c r="C3271" s="81" t="s">
        <v>8766</v>
      </c>
    </row>
    <row r="3272" spans="1:3" s="79" customFormat="1" ht="129" customHeight="1" x14ac:dyDescent="0.2">
      <c r="A3272" s="81">
        <v>20038566</v>
      </c>
      <c r="B3272" s="80" t="s">
        <v>3544</v>
      </c>
      <c r="C3272" s="81" t="s">
        <v>8767</v>
      </c>
    </row>
    <row r="3273" spans="1:3" s="79" customFormat="1" ht="129" customHeight="1" x14ac:dyDescent="0.2">
      <c r="A3273" s="81">
        <v>20038588</v>
      </c>
      <c r="B3273" s="80" t="s">
        <v>3545</v>
      </c>
      <c r="C3273" s="82" t="s">
        <v>8768</v>
      </c>
    </row>
    <row r="3274" spans="1:3" s="79" customFormat="1" ht="179.1" customHeight="1" x14ac:dyDescent="0.2">
      <c r="A3274" s="81">
        <v>20038592</v>
      </c>
      <c r="B3274" s="80" t="s">
        <v>3558</v>
      </c>
      <c r="C3274" s="82" t="s">
        <v>8769</v>
      </c>
    </row>
    <row r="3275" spans="1:3" s="79" customFormat="1" ht="118.9" customHeight="1" x14ac:dyDescent="0.2">
      <c r="A3275" s="81">
        <v>20038593</v>
      </c>
      <c r="B3275" s="80" t="s">
        <v>3559</v>
      </c>
      <c r="C3275" s="82" t="s">
        <v>8770</v>
      </c>
    </row>
    <row r="3276" spans="1:3" s="79" customFormat="1" ht="28.7" customHeight="1" x14ac:dyDescent="0.2">
      <c r="A3276" s="81">
        <v>20038594</v>
      </c>
      <c r="B3276" s="80" t="s">
        <v>3560</v>
      </c>
      <c r="C3276" s="82" t="s">
        <v>8771</v>
      </c>
    </row>
    <row r="3277" spans="1:3" s="79" customFormat="1" ht="28.7" customHeight="1" x14ac:dyDescent="0.2">
      <c r="A3277" s="81">
        <v>20038595</v>
      </c>
      <c r="B3277" s="80" t="s">
        <v>3561</v>
      </c>
      <c r="C3277" s="81" t="s">
        <v>8772</v>
      </c>
    </row>
    <row r="3278" spans="1:3" s="79" customFormat="1" ht="49.15" customHeight="1" x14ac:dyDescent="0.2">
      <c r="A3278" s="81">
        <v>20038599</v>
      </c>
      <c r="B3278" s="80" t="s">
        <v>3546</v>
      </c>
      <c r="C3278" s="82" t="s">
        <v>8773</v>
      </c>
    </row>
    <row r="3279" spans="1:3" s="79" customFormat="1" ht="99.2" customHeight="1" x14ac:dyDescent="0.2">
      <c r="A3279" s="81">
        <v>20038600</v>
      </c>
      <c r="B3279" s="80" t="s">
        <v>3547</v>
      </c>
      <c r="C3279" s="82" t="s">
        <v>8774</v>
      </c>
    </row>
    <row r="3280" spans="1:3" s="79" customFormat="1" ht="99.2" customHeight="1" x14ac:dyDescent="0.2">
      <c r="A3280" s="81">
        <v>20038601</v>
      </c>
      <c r="B3280" s="80" t="s">
        <v>3548</v>
      </c>
      <c r="C3280" s="82" t="s">
        <v>8775</v>
      </c>
    </row>
    <row r="3281" spans="1:3" s="79" customFormat="1" ht="59.1" customHeight="1" x14ac:dyDescent="0.2">
      <c r="A3281" s="81">
        <v>20038602</v>
      </c>
      <c r="B3281" s="80" t="s">
        <v>3549</v>
      </c>
      <c r="C3281" s="82" t="s">
        <v>8776</v>
      </c>
    </row>
    <row r="3282" spans="1:3" s="79" customFormat="1" ht="59.1" customHeight="1" x14ac:dyDescent="0.2">
      <c r="A3282" s="81">
        <v>20038603</v>
      </c>
      <c r="B3282" s="80" t="s">
        <v>3550</v>
      </c>
      <c r="C3282" s="82" t="s">
        <v>8777</v>
      </c>
    </row>
    <row r="3283" spans="1:3" s="79" customFormat="1" ht="49.15" customHeight="1" x14ac:dyDescent="0.2">
      <c r="A3283" s="81">
        <v>20038604</v>
      </c>
      <c r="B3283" s="80" t="s">
        <v>3551</v>
      </c>
      <c r="C3283" s="82" t="s">
        <v>8778</v>
      </c>
    </row>
    <row r="3284" spans="1:3" s="79" customFormat="1" ht="49.15" customHeight="1" x14ac:dyDescent="0.2">
      <c r="A3284" s="81">
        <v>20038605</v>
      </c>
      <c r="B3284" s="80" t="s">
        <v>3552</v>
      </c>
      <c r="C3284" s="82" t="s">
        <v>8779</v>
      </c>
    </row>
    <row r="3285" spans="1:3" s="79" customFormat="1" ht="49.15" customHeight="1" x14ac:dyDescent="0.2">
      <c r="A3285" s="81">
        <v>20038619</v>
      </c>
      <c r="B3285" s="80" t="s">
        <v>3553</v>
      </c>
      <c r="C3285" s="81" t="s">
        <v>8780</v>
      </c>
    </row>
    <row r="3286" spans="1:3" s="79" customFormat="1" ht="49.15" customHeight="1" x14ac:dyDescent="0.2">
      <c r="A3286" s="81">
        <v>20038620</v>
      </c>
      <c r="B3286" s="80" t="s">
        <v>3554</v>
      </c>
      <c r="C3286" s="82" t="s">
        <v>8781</v>
      </c>
    </row>
    <row r="3287" spans="1:3" s="79" customFormat="1" ht="89.1" customHeight="1" x14ac:dyDescent="0.2">
      <c r="A3287" s="81">
        <v>20038622</v>
      </c>
      <c r="B3287" s="80" t="s">
        <v>3555</v>
      </c>
      <c r="C3287" s="81" t="s">
        <v>8782</v>
      </c>
    </row>
    <row r="3288" spans="1:3" s="79" customFormat="1" ht="169.15" customHeight="1" x14ac:dyDescent="0.2">
      <c r="A3288" s="81">
        <v>20038623</v>
      </c>
      <c r="B3288" s="80" t="s">
        <v>3556</v>
      </c>
      <c r="C3288" s="82" t="s">
        <v>8783</v>
      </c>
    </row>
    <row r="3289" spans="1:3" s="79" customFormat="1" ht="78.95" customHeight="1" x14ac:dyDescent="0.2">
      <c r="A3289" s="81">
        <v>20038638</v>
      </c>
      <c r="B3289" s="80" t="s">
        <v>3557</v>
      </c>
      <c r="C3289" s="82" t="s">
        <v>8784</v>
      </c>
    </row>
    <row r="3290" spans="1:3" s="79" customFormat="1" ht="249" customHeight="1" x14ac:dyDescent="0.2">
      <c r="A3290" s="81">
        <v>20038658</v>
      </c>
      <c r="B3290" s="80" t="s">
        <v>3562</v>
      </c>
      <c r="C3290" s="82" t="s">
        <v>8785</v>
      </c>
    </row>
    <row r="3291" spans="1:3" s="79" customFormat="1" ht="78.95" customHeight="1" x14ac:dyDescent="0.2">
      <c r="A3291" s="81">
        <v>20038668</v>
      </c>
      <c r="B3291" s="80" t="s">
        <v>3563</v>
      </c>
      <c r="C3291" s="81" t="s">
        <v>8786</v>
      </c>
    </row>
    <row r="3292" spans="1:3" s="79" customFormat="1" ht="49.15" customHeight="1" x14ac:dyDescent="0.2">
      <c r="A3292" s="81">
        <v>20038669</v>
      </c>
      <c r="B3292" s="80" t="s">
        <v>3564</v>
      </c>
      <c r="C3292" s="81" t="s">
        <v>8787</v>
      </c>
    </row>
    <row r="3293" spans="1:3" s="79" customFormat="1" ht="49.15" customHeight="1" x14ac:dyDescent="0.2">
      <c r="A3293" s="81">
        <v>20038676</v>
      </c>
      <c r="B3293" s="80" t="s">
        <v>3565</v>
      </c>
      <c r="C3293" s="82" t="s">
        <v>8788</v>
      </c>
    </row>
    <row r="3294" spans="1:3" s="79" customFormat="1" ht="99.2" customHeight="1" x14ac:dyDescent="0.2">
      <c r="A3294" s="81">
        <v>20038680</v>
      </c>
      <c r="B3294" s="80" t="s">
        <v>3570</v>
      </c>
      <c r="C3294" s="82" t="s">
        <v>8789</v>
      </c>
    </row>
    <row r="3295" spans="1:3" s="79" customFormat="1" ht="109.35" customHeight="1" x14ac:dyDescent="0.2">
      <c r="A3295" s="81">
        <v>20038699</v>
      </c>
      <c r="B3295" s="80" t="s">
        <v>3568</v>
      </c>
      <c r="C3295" s="82" t="s">
        <v>8790</v>
      </c>
    </row>
    <row r="3296" spans="1:3" s="79" customFormat="1" ht="19.149999999999999" customHeight="1" x14ac:dyDescent="0.2">
      <c r="A3296" s="81">
        <v>20038700</v>
      </c>
      <c r="B3296" s="80" t="s">
        <v>3569</v>
      </c>
      <c r="C3296" s="82" t="s">
        <v>8791</v>
      </c>
    </row>
    <row r="3297" spans="1:3" s="79" customFormat="1" ht="19.149999999999999" customHeight="1" x14ac:dyDescent="0.2">
      <c r="A3297" s="81">
        <v>20038708</v>
      </c>
      <c r="B3297" s="80" t="s">
        <v>3566</v>
      </c>
      <c r="C3297" s="82" t="s">
        <v>8792</v>
      </c>
    </row>
    <row r="3298" spans="1:3" s="79" customFormat="1" ht="78.95" customHeight="1" x14ac:dyDescent="0.2">
      <c r="A3298" s="81">
        <v>20038710</v>
      </c>
      <c r="B3298" s="80" t="s">
        <v>3567</v>
      </c>
      <c r="C3298" s="81" t="s">
        <v>8793</v>
      </c>
    </row>
    <row r="3299" spans="1:3" s="79" customFormat="1" ht="68.849999999999994" customHeight="1" x14ac:dyDescent="0.2">
      <c r="A3299" s="81">
        <v>20038718</v>
      </c>
      <c r="B3299" s="80" t="s">
        <v>3571</v>
      </c>
      <c r="C3299" s="82" t="s">
        <v>8794</v>
      </c>
    </row>
    <row r="3300" spans="1:3" s="79" customFormat="1" ht="49.15" customHeight="1" x14ac:dyDescent="0.2">
      <c r="A3300" s="81">
        <v>20038719</v>
      </c>
      <c r="B3300" s="80" t="s">
        <v>3572</v>
      </c>
      <c r="C3300" s="82" t="s">
        <v>8795</v>
      </c>
    </row>
    <row r="3301" spans="1:3" s="79" customFormat="1" ht="78.95" customHeight="1" x14ac:dyDescent="0.2">
      <c r="A3301" s="81">
        <v>20038720</v>
      </c>
      <c r="B3301" s="80" t="s">
        <v>3573</v>
      </c>
      <c r="C3301" s="82" t="s">
        <v>8796</v>
      </c>
    </row>
    <row r="3302" spans="1:3" s="79" customFormat="1" ht="38.85" customHeight="1" x14ac:dyDescent="0.2">
      <c r="A3302" s="81">
        <v>20038721</v>
      </c>
      <c r="B3302" s="80" t="s">
        <v>3574</v>
      </c>
      <c r="C3302" s="82" t="s">
        <v>8797</v>
      </c>
    </row>
    <row r="3303" spans="1:3" s="79" customFormat="1" ht="38.85" customHeight="1" x14ac:dyDescent="0.2">
      <c r="A3303" s="81">
        <v>20038722</v>
      </c>
      <c r="B3303" s="80" t="s">
        <v>3575</v>
      </c>
      <c r="C3303" s="82" t="s">
        <v>8798</v>
      </c>
    </row>
    <row r="3304" spans="1:3" s="79" customFormat="1" ht="38.85" customHeight="1" x14ac:dyDescent="0.2">
      <c r="A3304" s="81">
        <v>20038723</v>
      </c>
      <c r="B3304" s="80" t="s">
        <v>3576</v>
      </c>
      <c r="C3304" s="82" t="s">
        <v>8799</v>
      </c>
    </row>
    <row r="3305" spans="1:3" s="79" customFormat="1" ht="38.85" customHeight="1" x14ac:dyDescent="0.2">
      <c r="A3305" s="81">
        <v>20038724</v>
      </c>
      <c r="B3305" s="80" t="s">
        <v>3577</v>
      </c>
      <c r="C3305" s="82" t="s">
        <v>8800</v>
      </c>
    </row>
    <row r="3306" spans="1:3" s="79" customFormat="1" ht="28.7" customHeight="1" x14ac:dyDescent="0.2">
      <c r="A3306" s="81">
        <v>20038728</v>
      </c>
      <c r="B3306" s="80" t="s">
        <v>3578</v>
      </c>
      <c r="C3306" s="81" t="s">
        <v>8801</v>
      </c>
    </row>
    <row r="3307" spans="1:3" s="79" customFormat="1" ht="28.7" customHeight="1" x14ac:dyDescent="0.2">
      <c r="A3307" s="81">
        <v>20038729</v>
      </c>
      <c r="B3307" s="80" t="s">
        <v>3581</v>
      </c>
      <c r="C3307" s="82" t="s">
        <v>8802</v>
      </c>
    </row>
    <row r="3308" spans="1:3" s="79" customFormat="1" ht="28.7" customHeight="1" x14ac:dyDescent="0.2">
      <c r="A3308" s="81">
        <v>20038739</v>
      </c>
      <c r="B3308" s="80" t="s">
        <v>3579</v>
      </c>
      <c r="C3308" s="82" t="s">
        <v>8803</v>
      </c>
    </row>
    <row r="3309" spans="1:3" s="79" customFormat="1" ht="99.2" customHeight="1" x14ac:dyDescent="0.2">
      <c r="A3309" s="81">
        <v>20038740</v>
      </c>
      <c r="B3309" s="80" t="s">
        <v>3580</v>
      </c>
      <c r="C3309" s="81" t="s">
        <v>8804</v>
      </c>
    </row>
    <row r="3310" spans="1:3" s="79" customFormat="1" ht="28.7" customHeight="1" x14ac:dyDescent="0.2">
      <c r="A3310" s="81">
        <v>20038748</v>
      </c>
      <c r="B3310" s="80" t="s">
        <v>3582</v>
      </c>
      <c r="C3310" s="80" t="s">
        <v>8805</v>
      </c>
    </row>
    <row r="3311" spans="1:3" s="79" customFormat="1" ht="49.15" customHeight="1" x14ac:dyDescent="0.2">
      <c r="A3311" s="81">
        <v>20038751</v>
      </c>
      <c r="B3311" s="80" t="s">
        <v>3583</v>
      </c>
      <c r="C3311" s="82" t="s">
        <v>8806</v>
      </c>
    </row>
    <row r="3312" spans="1:3" s="79" customFormat="1" ht="129" customHeight="1" x14ac:dyDescent="0.2">
      <c r="A3312" s="81">
        <v>20038768</v>
      </c>
      <c r="B3312" s="80" t="s">
        <v>3584</v>
      </c>
      <c r="C3312" s="80" t="s">
        <v>8807</v>
      </c>
    </row>
    <row r="3313" spans="1:3" s="79" customFormat="1" ht="19.149999999999999" customHeight="1" x14ac:dyDescent="0.2">
      <c r="A3313" s="81">
        <v>20038793</v>
      </c>
      <c r="B3313" s="80" t="s">
        <v>3588</v>
      </c>
      <c r="C3313" s="82" t="s">
        <v>8808</v>
      </c>
    </row>
    <row r="3314" spans="1:3" s="79" customFormat="1" ht="38.85" customHeight="1" x14ac:dyDescent="0.2">
      <c r="A3314" s="81">
        <v>20038810</v>
      </c>
      <c r="B3314" s="80" t="s">
        <v>3585</v>
      </c>
      <c r="C3314" s="81" t="s">
        <v>8809</v>
      </c>
    </row>
    <row r="3315" spans="1:3" s="79" customFormat="1" ht="19.149999999999999" customHeight="1" x14ac:dyDescent="0.2">
      <c r="A3315" s="81">
        <v>20038811</v>
      </c>
      <c r="B3315" s="80" t="s">
        <v>3586</v>
      </c>
      <c r="C3315" s="82" t="s">
        <v>8810</v>
      </c>
    </row>
    <row r="3316" spans="1:3" s="79" customFormat="1" ht="59.1" customHeight="1" x14ac:dyDescent="0.2">
      <c r="A3316" s="81">
        <v>20038812</v>
      </c>
      <c r="B3316" s="80" t="s">
        <v>3590</v>
      </c>
      <c r="C3316" s="81" t="s">
        <v>8811</v>
      </c>
    </row>
    <row r="3317" spans="1:3" s="79" customFormat="1" ht="89.1" customHeight="1" x14ac:dyDescent="0.2">
      <c r="A3317" s="81">
        <v>20038815</v>
      </c>
      <c r="B3317" s="80" t="s">
        <v>3592</v>
      </c>
      <c r="C3317" s="82" t="s">
        <v>8812</v>
      </c>
    </row>
    <row r="3318" spans="1:3" s="79" customFormat="1" ht="28.7" customHeight="1" x14ac:dyDescent="0.2">
      <c r="A3318" s="81">
        <v>20038830</v>
      </c>
      <c r="B3318" s="80" t="s">
        <v>3587</v>
      </c>
      <c r="C3318" s="81" t="s">
        <v>8813</v>
      </c>
    </row>
    <row r="3319" spans="1:3" s="79" customFormat="1" ht="89.1" customHeight="1" x14ac:dyDescent="0.2">
      <c r="A3319" s="81">
        <v>20038832</v>
      </c>
      <c r="B3319" s="80" t="s">
        <v>3591</v>
      </c>
      <c r="C3319" s="82" t="s">
        <v>8814</v>
      </c>
    </row>
    <row r="3320" spans="1:3" s="79" customFormat="1" ht="49.15" customHeight="1" x14ac:dyDescent="0.2">
      <c r="A3320" s="81">
        <v>20038838</v>
      </c>
      <c r="B3320" s="80" t="s">
        <v>3589</v>
      </c>
      <c r="C3320" s="81" t="s">
        <v>8815</v>
      </c>
    </row>
    <row r="3321" spans="1:3" s="79" customFormat="1" ht="68.849999999999994" customHeight="1" x14ac:dyDescent="0.2">
      <c r="A3321" s="81">
        <v>20038849</v>
      </c>
      <c r="B3321" s="80" t="s">
        <v>3593</v>
      </c>
      <c r="C3321" s="82" t="s">
        <v>8816</v>
      </c>
    </row>
    <row r="3322" spans="1:3" s="79" customFormat="1" ht="49.15" customHeight="1" x14ac:dyDescent="0.2">
      <c r="A3322" s="81">
        <v>20038870</v>
      </c>
      <c r="B3322" s="80" t="s">
        <v>3594</v>
      </c>
      <c r="C3322" s="81" t="s">
        <v>8817</v>
      </c>
    </row>
    <row r="3323" spans="1:3" s="79" customFormat="1" ht="68.849999999999994" customHeight="1" x14ac:dyDescent="0.2">
      <c r="A3323" s="81">
        <v>20038871</v>
      </c>
      <c r="B3323" s="80" t="s">
        <v>3595</v>
      </c>
      <c r="C3323" s="81" t="s">
        <v>8818</v>
      </c>
    </row>
    <row r="3324" spans="1:3" s="79" customFormat="1" ht="19.149999999999999" customHeight="1" x14ac:dyDescent="0.2">
      <c r="A3324" s="81">
        <v>20038872</v>
      </c>
      <c r="B3324" s="80" t="s">
        <v>3596</v>
      </c>
      <c r="C3324" s="81" t="s">
        <v>8819</v>
      </c>
    </row>
    <row r="3325" spans="1:3" s="79" customFormat="1" ht="89.1" customHeight="1" x14ac:dyDescent="0.2">
      <c r="A3325" s="81">
        <v>20038873</v>
      </c>
      <c r="B3325" s="80" t="s">
        <v>3597</v>
      </c>
      <c r="C3325" s="81" t="s">
        <v>8820</v>
      </c>
    </row>
    <row r="3326" spans="1:3" s="79" customFormat="1" ht="99.2" customHeight="1" x14ac:dyDescent="0.2">
      <c r="A3326" s="81">
        <v>20038874</v>
      </c>
      <c r="B3326" s="80" t="s">
        <v>3598</v>
      </c>
      <c r="C3326" s="81" t="s">
        <v>8821</v>
      </c>
    </row>
    <row r="3327" spans="1:3" s="79" customFormat="1" ht="99.2" customHeight="1" x14ac:dyDescent="0.2">
      <c r="A3327" s="81">
        <v>20038875</v>
      </c>
      <c r="B3327" s="80" t="s">
        <v>3599</v>
      </c>
      <c r="C3327" s="81" t="s">
        <v>8822</v>
      </c>
    </row>
    <row r="3328" spans="1:3" s="79" customFormat="1" ht="109.35" customHeight="1" x14ac:dyDescent="0.2">
      <c r="A3328" s="81">
        <v>20038876</v>
      </c>
      <c r="B3328" s="80" t="s">
        <v>3600</v>
      </c>
      <c r="C3328" s="81" t="s">
        <v>8823</v>
      </c>
    </row>
    <row r="3329" spans="1:3" s="79" customFormat="1" ht="109.35" customHeight="1" x14ac:dyDescent="0.2">
      <c r="A3329" s="81">
        <v>20038877</v>
      </c>
      <c r="B3329" s="80" t="s">
        <v>3601</v>
      </c>
      <c r="C3329" s="81" t="s">
        <v>8824</v>
      </c>
    </row>
    <row r="3330" spans="1:3" s="79" customFormat="1" ht="99.2" customHeight="1" x14ac:dyDescent="0.2">
      <c r="A3330" s="81">
        <v>20038878</v>
      </c>
      <c r="B3330" s="80" t="s">
        <v>3602</v>
      </c>
      <c r="C3330" s="81" t="s">
        <v>8825</v>
      </c>
    </row>
    <row r="3331" spans="1:3" s="79" customFormat="1" ht="118.9" customHeight="1" x14ac:dyDescent="0.2">
      <c r="A3331" s="81">
        <v>20038879</v>
      </c>
      <c r="B3331" s="80" t="s">
        <v>3603</v>
      </c>
      <c r="C3331" s="81" t="s">
        <v>8826</v>
      </c>
    </row>
    <row r="3332" spans="1:3" s="79" customFormat="1" ht="109.35" customHeight="1" x14ac:dyDescent="0.2">
      <c r="A3332" s="81">
        <v>20038880</v>
      </c>
      <c r="B3332" s="80" t="s">
        <v>3604</v>
      </c>
      <c r="C3332" s="81" t="s">
        <v>8827</v>
      </c>
    </row>
    <row r="3333" spans="1:3" s="79" customFormat="1" ht="99.2" customHeight="1" x14ac:dyDescent="0.2">
      <c r="A3333" s="81">
        <v>20038881</v>
      </c>
      <c r="B3333" s="80" t="s">
        <v>3605</v>
      </c>
      <c r="C3333" s="81" t="s">
        <v>8828</v>
      </c>
    </row>
    <row r="3334" spans="1:3" s="79" customFormat="1" ht="109.35" customHeight="1" x14ac:dyDescent="0.2">
      <c r="A3334" s="81">
        <v>20038882</v>
      </c>
      <c r="B3334" s="80" t="s">
        <v>3606</v>
      </c>
      <c r="C3334" s="81" t="s">
        <v>8829</v>
      </c>
    </row>
    <row r="3335" spans="1:3" s="79" customFormat="1" ht="109.35" customHeight="1" x14ac:dyDescent="0.2">
      <c r="A3335" s="81">
        <v>20038884</v>
      </c>
      <c r="B3335" s="80" t="s">
        <v>3607</v>
      </c>
      <c r="C3335" s="81" t="s">
        <v>8830</v>
      </c>
    </row>
    <row r="3336" spans="1:3" s="79" customFormat="1" ht="99.2" customHeight="1" x14ac:dyDescent="0.2">
      <c r="A3336" s="81">
        <v>20038885</v>
      </c>
      <c r="B3336" s="80" t="s">
        <v>3608</v>
      </c>
      <c r="C3336" s="81" t="s">
        <v>8831</v>
      </c>
    </row>
    <row r="3337" spans="1:3" s="79" customFormat="1" ht="109.35" customHeight="1" x14ac:dyDescent="0.2">
      <c r="A3337" s="81">
        <v>20038888</v>
      </c>
      <c r="B3337" s="80" t="s">
        <v>3609</v>
      </c>
      <c r="C3337" s="81" t="s">
        <v>8832</v>
      </c>
    </row>
    <row r="3338" spans="1:3" s="79" customFormat="1" ht="109.35" customHeight="1" x14ac:dyDescent="0.2">
      <c r="A3338" s="81">
        <v>20038889</v>
      </c>
      <c r="B3338" s="80" t="s">
        <v>3610</v>
      </c>
      <c r="C3338" s="81" t="s">
        <v>8833</v>
      </c>
    </row>
    <row r="3339" spans="1:3" s="79" customFormat="1" ht="99.2" customHeight="1" x14ac:dyDescent="0.2">
      <c r="A3339" s="81">
        <v>20038890</v>
      </c>
      <c r="B3339" s="80" t="s">
        <v>3611</v>
      </c>
      <c r="C3339" s="81" t="s">
        <v>8834</v>
      </c>
    </row>
    <row r="3340" spans="1:3" s="79" customFormat="1" ht="99.2" customHeight="1" x14ac:dyDescent="0.2">
      <c r="A3340" s="81">
        <v>20038891</v>
      </c>
      <c r="B3340" s="80" t="s">
        <v>3612</v>
      </c>
      <c r="C3340" s="81" t="s">
        <v>8835</v>
      </c>
    </row>
    <row r="3341" spans="1:3" s="79" customFormat="1" ht="99.2" customHeight="1" x14ac:dyDescent="0.2">
      <c r="A3341" s="81">
        <v>20038893</v>
      </c>
      <c r="B3341" s="80" t="s">
        <v>3613</v>
      </c>
      <c r="C3341" s="81" t="s">
        <v>8836</v>
      </c>
    </row>
    <row r="3342" spans="1:3" s="79" customFormat="1" ht="99.2" customHeight="1" x14ac:dyDescent="0.2">
      <c r="A3342" s="81">
        <v>20038894</v>
      </c>
      <c r="B3342" s="80" t="s">
        <v>3614</v>
      </c>
      <c r="C3342" s="81" t="s">
        <v>8837</v>
      </c>
    </row>
    <row r="3343" spans="1:3" s="79" customFormat="1" ht="99.2" customHeight="1" x14ac:dyDescent="0.2">
      <c r="A3343" s="81">
        <v>20038895</v>
      </c>
      <c r="B3343" s="80" t="s">
        <v>3615</v>
      </c>
      <c r="C3343" s="81" t="s">
        <v>8838</v>
      </c>
    </row>
    <row r="3344" spans="1:3" s="79" customFormat="1" ht="99.2" customHeight="1" x14ac:dyDescent="0.2">
      <c r="A3344" s="81">
        <v>20038896</v>
      </c>
      <c r="B3344" s="80" t="s">
        <v>3616</v>
      </c>
      <c r="C3344" s="81" t="s">
        <v>8839</v>
      </c>
    </row>
    <row r="3345" spans="1:3" s="79" customFormat="1" ht="99.2" customHeight="1" x14ac:dyDescent="0.2">
      <c r="A3345" s="81">
        <v>20038898</v>
      </c>
      <c r="B3345" s="80" t="s">
        <v>3617</v>
      </c>
      <c r="C3345" s="81" t="s">
        <v>8840</v>
      </c>
    </row>
    <row r="3346" spans="1:3" s="79" customFormat="1" ht="99.2" customHeight="1" x14ac:dyDescent="0.2">
      <c r="A3346" s="81">
        <v>20038921</v>
      </c>
      <c r="B3346" s="80" t="s">
        <v>11608</v>
      </c>
      <c r="C3346" s="81" t="s">
        <v>8841</v>
      </c>
    </row>
    <row r="3347" spans="1:3" s="79" customFormat="1" ht="99.2" customHeight="1" x14ac:dyDescent="0.2">
      <c r="A3347" s="81">
        <v>20038922</v>
      </c>
      <c r="B3347" s="80" t="s">
        <v>11609</v>
      </c>
      <c r="C3347" s="81" t="s">
        <v>8842</v>
      </c>
    </row>
    <row r="3348" spans="1:3" s="79" customFormat="1" ht="89.1" customHeight="1" x14ac:dyDescent="0.2">
      <c r="A3348" s="81">
        <v>20038923</v>
      </c>
      <c r="B3348" s="80" t="s">
        <v>11610</v>
      </c>
      <c r="C3348" s="81" t="s">
        <v>8843</v>
      </c>
    </row>
    <row r="3349" spans="1:3" s="79" customFormat="1" ht="89.1" customHeight="1" x14ac:dyDescent="0.2">
      <c r="A3349" s="81">
        <v>20038924</v>
      </c>
      <c r="B3349" s="80" t="s">
        <v>11611</v>
      </c>
      <c r="C3349" s="81" t="s">
        <v>8844</v>
      </c>
    </row>
    <row r="3350" spans="1:3" s="79" customFormat="1" ht="99.2" customHeight="1" x14ac:dyDescent="0.2">
      <c r="A3350" s="81">
        <v>20038925</v>
      </c>
      <c r="B3350" s="80" t="s">
        <v>11612</v>
      </c>
      <c r="C3350" s="81" t="s">
        <v>8845</v>
      </c>
    </row>
    <row r="3351" spans="1:3" s="79" customFormat="1" ht="89.1" customHeight="1" x14ac:dyDescent="0.2">
      <c r="A3351" s="81">
        <v>20038926</v>
      </c>
      <c r="B3351" s="80" t="s">
        <v>11613</v>
      </c>
      <c r="C3351" s="81" t="s">
        <v>8846</v>
      </c>
    </row>
    <row r="3352" spans="1:3" s="79" customFormat="1" ht="89.1" customHeight="1" x14ac:dyDescent="0.2">
      <c r="A3352" s="81">
        <v>20038927</v>
      </c>
      <c r="B3352" s="80" t="s">
        <v>11614</v>
      </c>
      <c r="C3352" s="81" t="s">
        <v>8847</v>
      </c>
    </row>
    <row r="3353" spans="1:3" s="79" customFormat="1" ht="89.1" customHeight="1" x14ac:dyDescent="0.2">
      <c r="A3353" s="81">
        <v>20038928</v>
      </c>
      <c r="B3353" s="80" t="s">
        <v>11615</v>
      </c>
      <c r="C3353" s="81" t="s">
        <v>8848</v>
      </c>
    </row>
    <row r="3354" spans="1:3" s="79" customFormat="1" ht="89.1" customHeight="1" x14ac:dyDescent="0.2">
      <c r="A3354" s="81">
        <v>20038939</v>
      </c>
      <c r="B3354" s="80" t="s">
        <v>3618</v>
      </c>
      <c r="C3354" s="82" t="s">
        <v>8849</v>
      </c>
    </row>
    <row r="3355" spans="1:3" s="79" customFormat="1" ht="89.1" customHeight="1" x14ac:dyDescent="0.2">
      <c r="A3355" s="81">
        <v>20038940</v>
      </c>
      <c r="B3355" s="80" t="s">
        <v>3619</v>
      </c>
      <c r="C3355" s="81" t="s">
        <v>8850</v>
      </c>
    </row>
    <row r="3356" spans="1:3" s="79" customFormat="1" ht="99.2" customHeight="1" x14ac:dyDescent="0.2">
      <c r="A3356" s="81">
        <v>20038941</v>
      </c>
      <c r="B3356" s="80" t="s">
        <v>3620</v>
      </c>
      <c r="C3356" s="81" t="s">
        <v>8851</v>
      </c>
    </row>
    <row r="3357" spans="1:3" s="79" customFormat="1" ht="38.85" customHeight="1" x14ac:dyDescent="0.2">
      <c r="A3357" s="81">
        <v>20038953</v>
      </c>
      <c r="B3357" s="80" t="s">
        <v>3623</v>
      </c>
      <c r="C3357" s="82" t="s">
        <v>8852</v>
      </c>
    </row>
    <row r="3358" spans="1:3" s="79" customFormat="1" ht="179.1" customHeight="1" x14ac:dyDescent="0.2">
      <c r="A3358" s="81">
        <v>20038969</v>
      </c>
      <c r="B3358" s="80" t="s">
        <v>3626</v>
      </c>
      <c r="C3358" s="81" t="s">
        <v>8853</v>
      </c>
    </row>
    <row r="3359" spans="1:3" s="79" customFormat="1" ht="78.95" customHeight="1" x14ac:dyDescent="0.2">
      <c r="A3359" s="81">
        <v>20038988</v>
      </c>
      <c r="B3359" s="80" t="s">
        <v>3627</v>
      </c>
      <c r="C3359" s="81" t="s">
        <v>8854</v>
      </c>
    </row>
    <row r="3360" spans="1:3" s="79" customFormat="1" ht="59.1" customHeight="1" x14ac:dyDescent="0.2">
      <c r="A3360" s="81">
        <v>20039018</v>
      </c>
      <c r="B3360" s="80" t="s">
        <v>3628</v>
      </c>
      <c r="C3360" s="81" t="s">
        <v>8855</v>
      </c>
    </row>
    <row r="3361" spans="1:3" s="79" customFormat="1" ht="359.45" customHeight="1" x14ac:dyDescent="0.2">
      <c r="A3361" s="81">
        <v>20039019</v>
      </c>
      <c r="B3361" s="80" t="s">
        <v>3629</v>
      </c>
      <c r="C3361" s="80" t="s">
        <v>8856</v>
      </c>
    </row>
    <row r="3362" spans="1:3" s="79" customFormat="1" ht="78.95" customHeight="1" x14ac:dyDescent="0.2">
      <c r="A3362" s="81">
        <v>20039029</v>
      </c>
      <c r="B3362" s="80" t="s">
        <v>3631</v>
      </c>
      <c r="C3362" s="81" t="s">
        <v>8857</v>
      </c>
    </row>
    <row r="3363" spans="1:3" s="79" customFormat="1" ht="68.849999999999994" customHeight="1" x14ac:dyDescent="0.2">
      <c r="A3363" s="81">
        <v>20039039</v>
      </c>
      <c r="B3363" s="80" t="s">
        <v>3630</v>
      </c>
      <c r="C3363" s="82" t="s">
        <v>8858</v>
      </c>
    </row>
    <row r="3364" spans="1:3" s="79" customFormat="1" ht="19.149999999999999" customHeight="1" x14ac:dyDescent="0.2">
      <c r="A3364" s="81">
        <v>20039077</v>
      </c>
      <c r="B3364" s="80" t="s">
        <v>3633</v>
      </c>
      <c r="C3364" s="81" t="s">
        <v>8859</v>
      </c>
    </row>
    <row r="3365" spans="1:3" s="79" customFormat="1" ht="129" customHeight="1" x14ac:dyDescent="0.2">
      <c r="A3365" s="81">
        <v>20039078</v>
      </c>
      <c r="B3365" s="80" t="s">
        <v>3632</v>
      </c>
      <c r="C3365" s="82" t="s">
        <v>8860</v>
      </c>
    </row>
    <row r="3366" spans="1:3" s="79" customFormat="1" ht="49.15" customHeight="1" x14ac:dyDescent="0.2">
      <c r="A3366" s="81">
        <v>20039090</v>
      </c>
      <c r="B3366" s="80" t="s">
        <v>3635</v>
      </c>
      <c r="C3366" s="82" t="s">
        <v>8861</v>
      </c>
    </row>
    <row r="3367" spans="1:3" s="79" customFormat="1" ht="89.1" customHeight="1" x14ac:dyDescent="0.2">
      <c r="A3367" s="81">
        <v>20039098</v>
      </c>
      <c r="B3367" s="80" t="s">
        <v>3634</v>
      </c>
      <c r="C3367" s="82" t="s">
        <v>8862</v>
      </c>
    </row>
    <row r="3368" spans="1:3" s="79" customFormat="1" ht="38.85" customHeight="1" x14ac:dyDescent="0.2">
      <c r="A3368" s="81">
        <v>20039108</v>
      </c>
      <c r="B3368" s="80" t="s">
        <v>3636</v>
      </c>
      <c r="C3368" s="81" t="s">
        <v>8863</v>
      </c>
    </row>
    <row r="3369" spans="1:3" s="79" customFormat="1" ht="28.7" customHeight="1" x14ac:dyDescent="0.2">
      <c r="A3369" s="81">
        <v>20039118</v>
      </c>
      <c r="B3369" s="80" t="s">
        <v>11515</v>
      </c>
      <c r="C3369" s="82" t="s">
        <v>11516</v>
      </c>
    </row>
    <row r="3370" spans="1:3" s="79" customFormat="1" ht="28.7" customHeight="1" x14ac:dyDescent="0.2">
      <c r="A3370" s="81">
        <v>20039133</v>
      </c>
      <c r="B3370" s="80" t="s">
        <v>3640</v>
      </c>
      <c r="C3370" s="82" t="s">
        <v>8864</v>
      </c>
    </row>
    <row r="3371" spans="1:3" s="79" customFormat="1" ht="249" customHeight="1" x14ac:dyDescent="0.2">
      <c r="A3371" s="81">
        <v>20039138</v>
      </c>
      <c r="B3371" s="80" t="s">
        <v>3638</v>
      </c>
      <c r="C3371" s="82" t="s">
        <v>8865</v>
      </c>
    </row>
    <row r="3372" spans="1:3" s="79" customFormat="1" ht="38.85" customHeight="1" x14ac:dyDescent="0.2">
      <c r="A3372" s="81">
        <v>20039139</v>
      </c>
      <c r="B3372" s="80" t="s">
        <v>3639</v>
      </c>
      <c r="C3372" s="81" t="s">
        <v>8866</v>
      </c>
    </row>
    <row r="3373" spans="1:3" s="79" customFormat="1" ht="49.15" customHeight="1" x14ac:dyDescent="0.2">
      <c r="A3373" s="81">
        <v>20039140</v>
      </c>
      <c r="B3373" s="80" t="s">
        <v>11669</v>
      </c>
      <c r="C3373" s="81" t="s">
        <v>8867</v>
      </c>
    </row>
    <row r="3374" spans="1:3" s="79" customFormat="1" ht="59.1" customHeight="1" x14ac:dyDescent="0.2">
      <c r="A3374" s="81">
        <v>20039149</v>
      </c>
      <c r="B3374" s="80" t="s">
        <v>3643</v>
      </c>
      <c r="C3374" s="82" t="s">
        <v>8868</v>
      </c>
    </row>
    <row r="3375" spans="1:3" s="79" customFormat="1" ht="179.1" customHeight="1" x14ac:dyDescent="0.2">
      <c r="A3375" s="81">
        <v>20039150</v>
      </c>
      <c r="B3375" s="80" t="s">
        <v>3644</v>
      </c>
      <c r="C3375" s="82" t="s">
        <v>8869</v>
      </c>
    </row>
    <row r="3376" spans="1:3" s="79" customFormat="1" ht="179.1" customHeight="1" x14ac:dyDescent="0.2">
      <c r="A3376" s="81">
        <v>20039151</v>
      </c>
      <c r="B3376" s="80" t="s">
        <v>3645</v>
      </c>
      <c r="C3376" s="82" t="s">
        <v>8870</v>
      </c>
    </row>
    <row r="3377" spans="1:3" s="79" customFormat="1" ht="38.85" customHeight="1" x14ac:dyDescent="0.2">
      <c r="A3377" s="81">
        <v>20039152</v>
      </c>
      <c r="B3377" s="80" t="s">
        <v>3646</v>
      </c>
      <c r="C3377" s="82" t="s">
        <v>8871</v>
      </c>
    </row>
    <row r="3378" spans="1:3" s="79" customFormat="1" ht="38.85" customHeight="1" x14ac:dyDescent="0.2">
      <c r="A3378" s="81">
        <v>20039153</v>
      </c>
      <c r="B3378" s="80" t="s">
        <v>3647</v>
      </c>
      <c r="C3378" s="82" t="s">
        <v>8872</v>
      </c>
    </row>
    <row r="3379" spans="1:3" s="79" customFormat="1" ht="38.85" customHeight="1" x14ac:dyDescent="0.2">
      <c r="A3379" s="81">
        <v>20039154</v>
      </c>
      <c r="B3379" s="80" t="s">
        <v>3648</v>
      </c>
      <c r="C3379" s="82" t="s">
        <v>8873</v>
      </c>
    </row>
    <row r="3380" spans="1:3" s="79" customFormat="1" ht="38.85" customHeight="1" x14ac:dyDescent="0.2">
      <c r="A3380" s="81">
        <v>20039155</v>
      </c>
      <c r="B3380" s="80" t="s">
        <v>3649</v>
      </c>
      <c r="C3380" s="82" t="s">
        <v>8874</v>
      </c>
    </row>
    <row r="3381" spans="1:3" s="79" customFormat="1" ht="38.85" customHeight="1" x14ac:dyDescent="0.2">
      <c r="A3381" s="81">
        <v>20039158</v>
      </c>
      <c r="B3381" s="80" t="s">
        <v>3650</v>
      </c>
      <c r="C3381" s="81" t="s">
        <v>8875</v>
      </c>
    </row>
    <row r="3382" spans="1:3" s="79" customFormat="1" ht="38.85" customHeight="1" x14ac:dyDescent="0.2">
      <c r="A3382" s="81">
        <v>20039159</v>
      </c>
      <c r="B3382" s="80" t="s">
        <v>3651</v>
      </c>
      <c r="C3382" s="81" t="s">
        <v>8876</v>
      </c>
    </row>
    <row r="3383" spans="1:3" s="79" customFormat="1" ht="38.85" customHeight="1" x14ac:dyDescent="0.2">
      <c r="A3383" s="81">
        <v>20039199</v>
      </c>
      <c r="B3383" s="80" t="s">
        <v>3652</v>
      </c>
      <c r="C3383" s="82" t="s">
        <v>8877</v>
      </c>
    </row>
    <row r="3384" spans="1:3" s="79" customFormat="1" ht="109.35" customHeight="1" x14ac:dyDescent="0.2">
      <c r="A3384" s="81">
        <v>20039201</v>
      </c>
      <c r="B3384" s="80" t="s">
        <v>3653</v>
      </c>
      <c r="C3384" s="81" t="s">
        <v>8878</v>
      </c>
    </row>
    <row r="3385" spans="1:3" s="79" customFormat="1" ht="109.35" customHeight="1" x14ac:dyDescent="0.2">
      <c r="A3385" s="81">
        <v>20039202</v>
      </c>
      <c r="B3385" s="80" t="s">
        <v>3654</v>
      </c>
      <c r="C3385" s="82" t="s">
        <v>8879</v>
      </c>
    </row>
    <row r="3386" spans="1:3" s="79" customFormat="1" ht="28.7" customHeight="1" x14ac:dyDescent="0.2">
      <c r="A3386" s="81">
        <v>20039203</v>
      </c>
      <c r="B3386" s="80" t="s">
        <v>3655</v>
      </c>
      <c r="C3386" s="82" t="s">
        <v>8880</v>
      </c>
    </row>
    <row r="3387" spans="1:3" s="79" customFormat="1" ht="99.2" customHeight="1" x14ac:dyDescent="0.2">
      <c r="A3387" s="81">
        <v>20039218</v>
      </c>
      <c r="B3387" s="80" t="s">
        <v>3656</v>
      </c>
      <c r="C3387" s="82" t="s">
        <v>8881</v>
      </c>
    </row>
    <row r="3388" spans="1:3" s="79" customFormat="1" ht="38.85" customHeight="1" x14ac:dyDescent="0.2">
      <c r="A3388" s="81">
        <v>20039219</v>
      </c>
      <c r="B3388" s="80" t="s">
        <v>3657</v>
      </c>
      <c r="C3388" s="82" t="s">
        <v>8882</v>
      </c>
    </row>
    <row r="3389" spans="1:3" s="79" customFormat="1" ht="38.85" customHeight="1" x14ac:dyDescent="0.2">
      <c r="A3389" s="81">
        <v>20039220</v>
      </c>
      <c r="B3389" s="80" t="s">
        <v>3658</v>
      </c>
      <c r="C3389" s="82" t="s">
        <v>8883</v>
      </c>
    </row>
    <row r="3390" spans="1:3" s="79" customFormat="1" ht="38.85" customHeight="1" x14ac:dyDescent="0.2">
      <c r="A3390" s="81">
        <v>20039221</v>
      </c>
      <c r="B3390" s="80" t="s">
        <v>3659</v>
      </c>
      <c r="C3390" s="82" t="s">
        <v>8884</v>
      </c>
    </row>
    <row r="3391" spans="1:3" s="79" customFormat="1" ht="38.85" customHeight="1" x14ac:dyDescent="0.2">
      <c r="A3391" s="81">
        <v>20039222</v>
      </c>
      <c r="B3391" s="80" t="s">
        <v>3660</v>
      </c>
      <c r="C3391" s="82" t="s">
        <v>8885</v>
      </c>
    </row>
    <row r="3392" spans="1:3" s="79" customFormat="1" ht="38.85" customHeight="1" x14ac:dyDescent="0.2">
      <c r="A3392" s="81">
        <v>20039223</v>
      </c>
      <c r="B3392" s="80" t="s">
        <v>3661</v>
      </c>
      <c r="C3392" s="82" t="s">
        <v>8886</v>
      </c>
    </row>
    <row r="3393" spans="1:3" s="79" customFormat="1" ht="38.85" customHeight="1" x14ac:dyDescent="0.2">
      <c r="A3393" s="81">
        <v>20039224</v>
      </c>
      <c r="B3393" s="80" t="s">
        <v>3662</v>
      </c>
      <c r="C3393" s="82" t="s">
        <v>8887</v>
      </c>
    </row>
    <row r="3394" spans="1:3" s="79" customFormat="1" ht="38.85" customHeight="1" x14ac:dyDescent="0.2">
      <c r="A3394" s="81">
        <v>20039228</v>
      </c>
      <c r="B3394" s="80" t="s">
        <v>3663</v>
      </c>
      <c r="C3394" s="81" t="s">
        <v>8888</v>
      </c>
    </row>
    <row r="3395" spans="1:3" s="79" customFormat="1" ht="38.85" customHeight="1" x14ac:dyDescent="0.2">
      <c r="A3395" s="81">
        <v>20039232</v>
      </c>
      <c r="B3395" s="80" t="s">
        <v>11670</v>
      </c>
      <c r="C3395" s="81" t="s">
        <v>8889</v>
      </c>
    </row>
    <row r="3396" spans="1:3" s="79" customFormat="1" ht="49.15" customHeight="1" x14ac:dyDescent="0.2">
      <c r="A3396" s="81">
        <v>20039238</v>
      </c>
      <c r="B3396" s="80" t="s">
        <v>3664</v>
      </c>
      <c r="C3396" s="81" t="s">
        <v>8890</v>
      </c>
    </row>
    <row r="3397" spans="1:3" s="79" customFormat="1" ht="179.1" customHeight="1" x14ac:dyDescent="0.2">
      <c r="A3397" s="81">
        <v>20039239</v>
      </c>
      <c r="B3397" s="80" t="s">
        <v>11671</v>
      </c>
      <c r="C3397" s="81" t="s">
        <v>8891</v>
      </c>
    </row>
    <row r="3398" spans="1:3" s="79" customFormat="1" ht="179.1" customHeight="1" x14ac:dyDescent="0.2">
      <c r="A3398" s="81">
        <v>20039240</v>
      </c>
      <c r="B3398" s="80" t="s">
        <v>4477</v>
      </c>
      <c r="C3398" s="81" t="s">
        <v>8892</v>
      </c>
    </row>
    <row r="3399" spans="1:3" s="79" customFormat="1" ht="169.15" customHeight="1" x14ac:dyDescent="0.2">
      <c r="A3399" s="81">
        <v>20039241</v>
      </c>
      <c r="B3399" s="80" t="s">
        <v>3665</v>
      </c>
      <c r="C3399" s="81" t="s">
        <v>8893</v>
      </c>
    </row>
    <row r="3400" spans="1:3" s="79" customFormat="1" ht="158.85" customHeight="1" x14ac:dyDescent="0.2">
      <c r="A3400" s="81">
        <v>20039242</v>
      </c>
      <c r="B3400" s="80" t="s">
        <v>11672</v>
      </c>
      <c r="C3400" s="81" t="s">
        <v>8894</v>
      </c>
    </row>
    <row r="3401" spans="1:3" s="79" customFormat="1" ht="169.15" customHeight="1" x14ac:dyDescent="0.2">
      <c r="A3401" s="81">
        <v>20039243</v>
      </c>
      <c r="B3401" s="80" t="s">
        <v>11673</v>
      </c>
      <c r="C3401" s="81" t="s">
        <v>8895</v>
      </c>
    </row>
    <row r="3402" spans="1:3" s="79" customFormat="1" ht="169.15" customHeight="1" x14ac:dyDescent="0.2">
      <c r="A3402" s="81">
        <v>20039244</v>
      </c>
      <c r="B3402" s="80" t="s">
        <v>11674</v>
      </c>
      <c r="C3402" s="81" t="s">
        <v>8896</v>
      </c>
    </row>
    <row r="3403" spans="1:3" s="79" customFormat="1" ht="169.15" customHeight="1" x14ac:dyDescent="0.2">
      <c r="A3403" s="81">
        <v>20039249</v>
      </c>
      <c r="B3403" s="80" t="s">
        <v>3666</v>
      </c>
      <c r="C3403" s="81" t="s">
        <v>8897</v>
      </c>
    </row>
    <row r="3404" spans="1:3" s="79" customFormat="1" ht="179.1" customHeight="1" x14ac:dyDescent="0.2">
      <c r="A3404" s="81">
        <v>20039250</v>
      </c>
      <c r="B3404" s="80" t="s">
        <v>3667</v>
      </c>
      <c r="C3404" s="81" t="s">
        <v>8898</v>
      </c>
    </row>
    <row r="3405" spans="1:3" s="79" customFormat="1" ht="169.15" customHeight="1" x14ac:dyDescent="0.2">
      <c r="A3405" s="81">
        <v>20039251</v>
      </c>
      <c r="B3405" s="80" t="s">
        <v>3668</v>
      </c>
      <c r="C3405" s="81" t="s">
        <v>8899</v>
      </c>
    </row>
    <row r="3406" spans="1:3" s="79" customFormat="1" ht="118.9" customHeight="1" x14ac:dyDescent="0.2">
      <c r="A3406" s="81">
        <v>20039252</v>
      </c>
      <c r="B3406" s="80" t="s">
        <v>3669</v>
      </c>
      <c r="C3406" s="82" t="s">
        <v>8900</v>
      </c>
    </row>
    <row r="3407" spans="1:3" s="79" customFormat="1" ht="89.1" customHeight="1" x14ac:dyDescent="0.2">
      <c r="A3407" s="81">
        <v>20039268</v>
      </c>
      <c r="B3407" s="80" t="s">
        <v>3670</v>
      </c>
      <c r="C3407" s="80" t="s">
        <v>8901</v>
      </c>
    </row>
    <row r="3408" spans="1:3" s="79" customFormat="1" ht="89.1" customHeight="1" x14ac:dyDescent="0.2">
      <c r="A3408" s="81">
        <v>20039269</v>
      </c>
      <c r="B3408" s="80" t="s">
        <v>3671</v>
      </c>
      <c r="C3408" s="80" t="s">
        <v>8902</v>
      </c>
    </row>
    <row r="3409" spans="1:3" s="79" customFormat="1" ht="28.7" customHeight="1" x14ac:dyDescent="0.2">
      <c r="A3409" s="81">
        <v>20039270</v>
      </c>
      <c r="B3409" s="80" t="s">
        <v>3672</v>
      </c>
      <c r="C3409" s="80" t="s">
        <v>8903</v>
      </c>
    </row>
    <row r="3410" spans="1:3" s="79" customFormat="1" ht="19.149999999999999" customHeight="1" x14ac:dyDescent="0.2">
      <c r="A3410" s="81">
        <v>20039272</v>
      </c>
      <c r="B3410" s="80" t="s">
        <v>3673</v>
      </c>
      <c r="C3410" s="80" t="s">
        <v>8904</v>
      </c>
    </row>
    <row r="3411" spans="1:3" s="79" customFormat="1" ht="19.149999999999999" customHeight="1" x14ac:dyDescent="0.2">
      <c r="A3411" s="81">
        <v>20039273</v>
      </c>
      <c r="B3411" s="80" t="s">
        <v>3674</v>
      </c>
      <c r="C3411" s="80" t="s">
        <v>8905</v>
      </c>
    </row>
    <row r="3412" spans="1:3" s="79" customFormat="1" ht="19.149999999999999" customHeight="1" x14ac:dyDescent="0.2">
      <c r="A3412" s="81">
        <v>20039275</v>
      </c>
      <c r="B3412" s="80" t="s">
        <v>3702</v>
      </c>
      <c r="C3412" s="82" t="s">
        <v>8906</v>
      </c>
    </row>
    <row r="3413" spans="1:3" s="79" customFormat="1" ht="19.149999999999999" customHeight="1" x14ac:dyDescent="0.2">
      <c r="A3413" s="81">
        <v>20039276</v>
      </c>
      <c r="B3413" s="80" t="s">
        <v>3703</v>
      </c>
      <c r="C3413" s="82" t="s">
        <v>8907</v>
      </c>
    </row>
    <row r="3414" spans="1:3" s="79" customFormat="1" ht="19.149999999999999" customHeight="1" x14ac:dyDescent="0.2">
      <c r="A3414" s="81">
        <v>20039281</v>
      </c>
      <c r="B3414" s="80" t="s">
        <v>3704</v>
      </c>
      <c r="C3414" s="82" t="s">
        <v>8908</v>
      </c>
    </row>
    <row r="3415" spans="1:3" s="79" customFormat="1" ht="78.95" customHeight="1" x14ac:dyDescent="0.2">
      <c r="A3415" s="81">
        <v>20039285</v>
      </c>
      <c r="B3415" s="80" t="s">
        <v>3705</v>
      </c>
      <c r="C3415" s="82" t="s">
        <v>8909</v>
      </c>
    </row>
    <row r="3416" spans="1:3" s="79" customFormat="1" ht="49.15" customHeight="1" x14ac:dyDescent="0.2">
      <c r="A3416" s="81">
        <v>20039287</v>
      </c>
      <c r="B3416" s="80" t="s">
        <v>3706</v>
      </c>
      <c r="C3416" s="82" t="s">
        <v>8910</v>
      </c>
    </row>
    <row r="3417" spans="1:3" s="79" customFormat="1" ht="38.85" customHeight="1" x14ac:dyDescent="0.2">
      <c r="A3417" s="81">
        <v>20039288</v>
      </c>
      <c r="B3417" s="80" t="s">
        <v>3707</v>
      </c>
      <c r="C3417" s="82" t="s">
        <v>8911</v>
      </c>
    </row>
    <row r="3418" spans="1:3" s="79" customFormat="1" ht="49.15" customHeight="1" x14ac:dyDescent="0.2">
      <c r="A3418" s="81">
        <v>20039289</v>
      </c>
      <c r="B3418" s="80" t="s">
        <v>3708</v>
      </c>
      <c r="C3418" s="82" t="s">
        <v>8912</v>
      </c>
    </row>
    <row r="3419" spans="1:3" s="79" customFormat="1" ht="49.15" customHeight="1" x14ac:dyDescent="0.2">
      <c r="A3419" s="81">
        <v>20039290</v>
      </c>
      <c r="B3419" s="80" t="s">
        <v>3709</v>
      </c>
      <c r="C3419" s="82" t="s">
        <v>8913</v>
      </c>
    </row>
    <row r="3420" spans="1:3" s="79" customFormat="1" ht="49.15" customHeight="1" x14ac:dyDescent="0.2">
      <c r="A3420" s="81">
        <v>20039292</v>
      </c>
      <c r="B3420" s="80" t="s">
        <v>3710</v>
      </c>
      <c r="C3420" s="82" t="s">
        <v>8914</v>
      </c>
    </row>
    <row r="3421" spans="1:3" s="79" customFormat="1" ht="59.1" customHeight="1" x14ac:dyDescent="0.2">
      <c r="A3421" s="81">
        <v>20039293</v>
      </c>
      <c r="B3421" s="80" t="s">
        <v>3711</v>
      </c>
      <c r="C3421" s="82" t="s">
        <v>8915</v>
      </c>
    </row>
    <row r="3422" spans="1:3" s="79" customFormat="1" ht="49.15" customHeight="1" x14ac:dyDescent="0.2">
      <c r="A3422" s="81">
        <v>20039298</v>
      </c>
      <c r="B3422" s="80" t="s">
        <v>3712</v>
      </c>
      <c r="C3422" s="82" t="s">
        <v>8916</v>
      </c>
    </row>
    <row r="3423" spans="1:3" s="79" customFormat="1" ht="78.95" customHeight="1" x14ac:dyDescent="0.2">
      <c r="A3423" s="81">
        <v>20039299</v>
      </c>
      <c r="B3423" s="80" t="s">
        <v>3713</v>
      </c>
      <c r="C3423" s="82" t="s">
        <v>8917</v>
      </c>
    </row>
    <row r="3424" spans="1:3" s="79" customFormat="1" ht="49.15" customHeight="1" x14ac:dyDescent="0.2">
      <c r="A3424" s="81">
        <v>20039300</v>
      </c>
      <c r="B3424" s="80" t="s">
        <v>3714</v>
      </c>
      <c r="C3424" s="82" t="s">
        <v>8918</v>
      </c>
    </row>
    <row r="3425" spans="1:3" s="79" customFormat="1" ht="59.1" customHeight="1" x14ac:dyDescent="0.2">
      <c r="A3425" s="81">
        <v>20039301</v>
      </c>
      <c r="B3425" s="80" t="s">
        <v>3715</v>
      </c>
      <c r="C3425" s="82" t="s">
        <v>8919</v>
      </c>
    </row>
    <row r="3426" spans="1:3" s="79" customFormat="1" ht="59.1" customHeight="1" x14ac:dyDescent="0.2">
      <c r="A3426" s="81">
        <v>20039302</v>
      </c>
      <c r="B3426" s="80" t="s">
        <v>3716</v>
      </c>
      <c r="C3426" s="82" t="s">
        <v>8920</v>
      </c>
    </row>
    <row r="3427" spans="1:3" s="79" customFormat="1" ht="59.1" customHeight="1" x14ac:dyDescent="0.2">
      <c r="A3427" s="81">
        <v>20039303</v>
      </c>
      <c r="B3427" s="80" t="s">
        <v>3717</v>
      </c>
      <c r="C3427" s="82" t="s">
        <v>11033</v>
      </c>
    </row>
    <row r="3428" spans="1:3" s="79" customFormat="1" ht="68.849999999999994" customHeight="1" x14ac:dyDescent="0.2">
      <c r="A3428" s="81">
        <v>20039304</v>
      </c>
      <c r="B3428" s="80" t="s">
        <v>3718</v>
      </c>
      <c r="C3428" s="82" t="s">
        <v>8921</v>
      </c>
    </row>
    <row r="3429" spans="1:3" s="79" customFormat="1" ht="68.849999999999994" customHeight="1" x14ac:dyDescent="0.2">
      <c r="A3429" s="81">
        <v>20039305</v>
      </c>
      <c r="B3429" s="80" t="s">
        <v>3719</v>
      </c>
      <c r="C3429" s="82" t="s">
        <v>8922</v>
      </c>
    </row>
    <row r="3430" spans="1:3" s="79" customFormat="1" ht="59.1" customHeight="1" x14ac:dyDescent="0.2">
      <c r="A3430" s="81">
        <v>20039306</v>
      </c>
      <c r="B3430" s="80" t="s">
        <v>3720</v>
      </c>
      <c r="C3430" s="82" t="s">
        <v>8923</v>
      </c>
    </row>
    <row r="3431" spans="1:3" s="79" customFormat="1" ht="49.15" customHeight="1" x14ac:dyDescent="0.2">
      <c r="A3431" s="81">
        <v>20039307</v>
      </c>
      <c r="B3431" s="80" t="s">
        <v>3721</v>
      </c>
      <c r="C3431" s="82" t="s">
        <v>8924</v>
      </c>
    </row>
    <row r="3432" spans="1:3" s="79" customFormat="1" ht="38.85" customHeight="1" x14ac:dyDescent="0.2">
      <c r="A3432" s="81">
        <v>20039308</v>
      </c>
      <c r="B3432" s="80" t="s">
        <v>3722</v>
      </c>
      <c r="C3432" s="82" t="s">
        <v>8925</v>
      </c>
    </row>
    <row r="3433" spans="1:3" s="79" customFormat="1" ht="49.15" customHeight="1" x14ac:dyDescent="0.2">
      <c r="A3433" s="81">
        <v>20039309</v>
      </c>
      <c r="B3433" s="80" t="s">
        <v>3723</v>
      </c>
      <c r="C3433" s="82" t="s">
        <v>8926</v>
      </c>
    </row>
    <row r="3434" spans="1:3" s="79" customFormat="1" ht="59.1" customHeight="1" x14ac:dyDescent="0.2">
      <c r="A3434" s="81">
        <v>20039310</v>
      </c>
      <c r="B3434" s="80" t="s">
        <v>3724</v>
      </c>
      <c r="C3434" s="82" t="s">
        <v>8927</v>
      </c>
    </row>
    <row r="3435" spans="1:3" s="79" customFormat="1" ht="59.1" customHeight="1" x14ac:dyDescent="0.2">
      <c r="A3435" s="81">
        <v>20039311</v>
      </c>
      <c r="B3435" s="80" t="s">
        <v>3725</v>
      </c>
      <c r="C3435" s="82" t="s">
        <v>8928</v>
      </c>
    </row>
    <row r="3436" spans="1:3" s="79" customFormat="1" ht="49.15" customHeight="1" x14ac:dyDescent="0.2">
      <c r="A3436" s="81">
        <v>20039312</v>
      </c>
      <c r="B3436" s="80" t="s">
        <v>3726</v>
      </c>
      <c r="C3436" s="82" t="s">
        <v>8929</v>
      </c>
    </row>
    <row r="3437" spans="1:3" s="79" customFormat="1" ht="59.1" customHeight="1" x14ac:dyDescent="0.2">
      <c r="A3437" s="81">
        <v>20039316</v>
      </c>
      <c r="B3437" s="80" t="s">
        <v>3727</v>
      </c>
      <c r="C3437" s="80" t="s">
        <v>219</v>
      </c>
    </row>
    <row r="3438" spans="1:3" s="79" customFormat="1" ht="49.15" customHeight="1" x14ac:dyDescent="0.2">
      <c r="A3438" s="81">
        <v>20039319</v>
      </c>
      <c r="B3438" s="80" t="s">
        <v>3728</v>
      </c>
      <c r="C3438" s="82" t="s">
        <v>8930</v>
      </c>
    </row>
    <row r="3439" spans="1:3" s="79" customFormat="1" ht="38.85" customHeight="1" x14ac:dyDescent="0.2">
      <c r="A3439" s="81">
        <v>20039320</v>
      </c>
      <c r="B3439" s="80" t="s">
        <v>3729</v>
      </c>
      <c r="C3439" s="82" t="s">
        <v>8931</v>
      </c>
    </row>
    <row r="3440" spans="1:3" s="79" customFormat="1" ht="19.149999999999999" customHeight="1" x14ac:dyDescent="0.2">
      <c r="A3440" s="81">
        <v>20039328</v>
      </c>
      <c r="B3440" s="80" t="s">
        <v>3752</v>
      </c>
      <c r="C3440" s="82" t="s">
        <v>8932</v>
      </c>
    </row>
    <row r="3441" spans="1:3" s="79" customFormat="1" ht="28.7" customHeight="1" x14ac:dyDescent="0.2">
      <c r="A3441" s="81">
        <v>20039331</v>
      </c>
      <c r="B3441" s="80" t="s">
        <v>3754</v>
      </c>
      <c r="C3441" s="81" t="s">
        <v>8933</v>
      </c>
    </row>
    <row r="3442" spans="1:3" s="79" customFormat="1" ht="28.7" customHeight="1" x14ac:dyDescent="0.2">
      <c r="A3442" s="81">
        <v>20039332</v>
      </c>
      <c r="B3442" s="80" t="s">
        <v>3755</v>
      </c>
      <c r="C3442" s="81" t="s">
        <v>8934</v>
      </c>
    </row>
    <row r="3443" spans="1:3" s="79" customFormat="1" ht="38.85" customHeight="1" x14ac:dyDescent="0.2">
      <c r="A3443" s="81">
        <v>20039333</v>
      </c>
      <c r="B3443" s="80" t="s">
        <v>3756</v>
      </c>
      <c r="C3443" s="82" t="s">
        <v>8935</v>
      </c>
    </row>
    <row r="3444" spans="1:3" s="79" customFormat="1" ht="59.1" customHeight="1" x14ac:dyDescent="0.2">
      <c r="A3444" s="81">
        <v>20039334</v>
      </c>
      <c r="B3444" s="80" t="s">
        <v>3757</v>
      </c>
      <c r="C3444" s="82" t="s">
        <v>8936</v>
      </c>
    </row>
    <row r="3445" spans="1:3" s="79" customFormat="1" ht="68.849999999999994" customHeight="1" x14ac:dyDescent="0.2">
      <c r="A3445" s="81">
        <v>20039413</v>
      </c>
      <c r="B3445" s="80" t="s">
        <v>3762</v>
      </c>
      <c r="C3445" s="80"/>
    </row>
    <row r="3446" spans="1:3" s="79" customFormat="1" ht="38.85" customHeight="1" x14ac:dyDescent="0.2">
      <c r="A3446" s="81">
        <v>20039418</v>
      </c>
      <c r="B3446" s="80" t="s">
        <v>3758</v>
      </c>
      <c r="C3446" s="81" t="s">
        <v>8937</v>
      </c>
    </row>
    <row r="3447" spans="1:3" s="79" customFormat="1" ht="28.7" customHeight="1" x14ac:dyDescent="0.2">
      <c r="A3447" s="81">
        <v>20039419</v>
      </c>
      <c r="B3447" s="80" t="s">
        <v>3759</v>
      </c>
      <c r="C3447" s="81" t="s">
        <v>8938</v>
      </c>
    </row>
    <row r="3448" spans="1:3" s="79" customFormat="1" ht="19.149999999999999" customHeight="1" x14ac:dyDescent="0.2">
      <c r="A3448" s="81">
        <v>20039420</v>
      </c>
      <c r="B3448" s="80" t="s">
        <v>3760</v>
      </c>
      <c r="C3448" s="81" t="s">
        <v>8939</v>
      </c>
    </row>
    <row r="3449" spans="1:3" s="79" customFormat="1" ht="59.1" customHeight="1" x14ac:dyDescent="0.2">
      <c r="A3449" s="81">
        <v>20039421</v>
      </c>
      <c r="B3449" s="80" t="s">
        <v>3761</v>
      </c>
      <c r="C3449" s="82" t="s">
        <v>8940</v>
      </c>
    </row>
    <row r="3450" spans="1:3" s="79" customFormat="1" ht="59.1" customHeight="1" x14ac:dyDescent="0.2">
      <c r="A3450" s="81">
        <v>20039429</v>
      </c>
      <c r="B3450" s="80" t="s">
        <v>3763</v>
      </c>
      <c r="C3450" s="82" t="s">
        <v>8941</v>
      </c>
    </row>
    <row r="3451" spans="1:3" s="79" customFormat="1" ht="129" customHeight="1" x14ac:dyDescent="0.2">
      <c r="A3451" s="81">
        <v>20039430</v>
      </c>
      <c r="B3451" s="80" t="s">
        <v>3764</v>
      </c>
      <c r="C3451" s="82" t="s">
        <v>8942</v>
      </c>
    </row>
    <row r="3452" spans="1:3" s="79" customFormat="1" ht="49.15" customHeight="1" x14ac:dyDescent="0.2">
      <c r="A3452" s="81">
        <v>20039431</v>
      </c>
      <c r="B3452" s="80" t="s">
        <v>3765</v>
      </c>
      <c r="C3452" s="82" t="s">
        <v>8943</v>
      </c>
    </row>
    <row r="3453" spans="1:3" s="79" customFormat="1" ht="38.85" customHeight="1" x14ac:dyDescent="0.2">
      <c r="A3453" s="81">
        <v>20039438</v>
      </c>
      <c r="B3453" s="80" t="s">
        <v>3766</v>
      </c>
      <c r="C3453" s="82" t="s">
        <v>8944</v>
      </c>
    </row>
    <row r="3454" spans="1:3" s="79" customFormat="1" ht="38.85" customHeight="1" x14ac:dyDescent="0.2">
      <c r="A3454" s="81">
        <v>20039448</v>
      </c>
      <c r="B3454" s="80" t="s">
        <v>3767</v>
      </c>
      <c r="C3454" s="82" t="s">
        <v>8945</v>
      </c>
    </row>
    <row r="3455" spans="1:3" s="79" customFormat="1" ht="38.85" customHeight="1" x14ac:dyDescent="0.2">
      <c r="A3455" s="81">
        <v>20039450</v>
      </c>
      <c r="B3455" s="80" t="s">
        <v>3768</v>
      </c>
      <c r="C3455" s="82" t="s">
        <v>8946</v>
      </c>
    </row>
    <row r="3456" spans="1:3" s="79" customFormat="1" ht="129" customHeight="1" x14ac:dyDescent="0.2">
      <c r="A3456" s="81">
        <v>20039451</v>
      </c>
      <c r="B3456" s="80" t="s">
        <v>3772</v>
      </c>
      <c r="C3456" s="82" t="s">
        <v>8947</v>
      </c>
    </row>
    <row r="3457" spans="1:3" s="79" customFormat="1" ht="99.2" customHeight="1" x14ac:dyDescent="0.2">
      <c r="A3457" s="81">
        <v>20039453</v>
      </c>
      <c r="B3457" s="80" t="s">
        <v>3773</v>
      </c>
      <c r="C3457" s="81" t="s">
        <v>8948</v>
      </c>
    </row>
    <row r="3458" spans="1:3" s="79" customFormat="1" ht="28.7" customHeight="1" x14ac:dyDescent="0.2">
      <c r="A3458" s="81">
        <v>20039454</v>
      </c>
      <c r="B3458" s="80" t="s">
        <v>3780</v>
      </c>
      <c r="C3458" s="81" t="s">
        <v>8949</v>
      </c>
    </row>
    <row r="3459" spans="1:3" s="79" customFormat="1" ht="59.1" customHeight="1" x14ac:dyDescent="0.2">
      <c r="A3459" s="81">
        <v>20039455</v>
      </c>
      <c r="B3459" s="80" t="s">
        <v>11431</v>
      </c>
      <c r="C3459" s="81" t="s">
        <v>8950</v>
      </c>
    </row>
    <row r="3460" spans="1:3" s="79" customFormat="1" ht="78.95" customHeight="1" x14ac:dyDescent="0.2">
      <c r="A3460" s="81">
        <v>20039468</v>
      </c>
      <c r="B3460" s="80" t="s">
        <v>3769</v>
      </c>
      <c r="C3460" s="82" t="s">
        <v>8951</v>
      </c>
    </row>
    <row r="3461" spans="1:3" s="79" customFormat="1" ht="169.15" customHeight="1" x14ac:dyDescent="0.2">
      <c r="A3461" s="81">
        <v>20039469</v>
      </c>
      <c r="B3461" s="80" t="s">
        <v>3770</v>
      </c>
      <c r="C3461" s="82" t="s">
        <v>8952</v>
      </c>
    </row>
    <row r="3462" spans="1:3" s="79" customFormat="1" ht="118.9" customHeight="1" x14ac:dyDescent="0.2">
      <c r="A3462" s="81">
        <v>20039470</v>
      </c>
      <c r="B3462" s="80" t="s">
        <v>3771</v>
      </c>
      <c r="C3462" s="82" t="s">
        <v>8953</v>
      </c>
    </row>
    <row r="3463" spans="1:3" s="79" customFormat="1" ht="109.35" customHeight="1" x14ac:dyDescent="0.2">
      <c r="A3463" s="81">
        <v>20039472</v>
      </c>
      <c r="B3463" s="80" t="s">
        <v>3779</v>
      </c>
      <c r="C3463" s="82" t="s">
        <v>8954</v>
      </c>
    </row>
    <row r="3464" spans="1:3" s="79" customFormat="1" ht="78.95" customHeight="1" x14ac:dyDescent="0.2">
      <c r="A3464" s="81">
        <v>20039484</v>
      </c>
      <c r="B3464" s="80" t="s">
        <v>3774</v>
      </c>
      <c r="C3464" s="82" t="s">
        <v>8955</v>
      </c>
    </row>
    <row r="3465" spans="1:3" s="79" customFormat="1" ht="28.7" customHeight="1" x14ac:dyDescent="0.2">
      <c r="A3465" s="81">
        <v>20039485</v>
      </c>
      <c r="B3465" s="80" t="s">
        <v>3775</v>
      </c>
      <c r="C3465" s="82" t="s">
        <v>8956</v>
      </c>
    </row>
    <row r="3466" spans="1:3" s="79" customFormat="1" ht="49.15" customHeight="1" x14ac:dyDescent="0.2">
      <c r="A3466" s="81">
        <v>20039498</v>
      </c>
      <c r="B3466" s="80" t="s">
        <v>3781</v>
      </c>
      <c r="C3466" s="82" t="s">
        <v>8957</v>
      </c>
    </row>
    <row r="3467" spans="1:3" s="79" customFormat="1" ht="38.85" customHeight="1" x14ac:dyDescent="0.2">
      <c r="A3467" s="81">
        <v>20039502</v>
      </c>
      <c r="B3467" s="80" t="s">
        <v>3782</v>
      </c>
      <c r="C3467" s="82" t="s">
        <v>8958</v>
      </c>
    </row>
    <row r="3468" spans="1:3" s="79" customFormat="1" ht="59.1" customHeight="1" x14ac:dyDescent="0.2">
      <c r="A3468" s="81">
        <v>20039504</v>
      </c>
      <c r="B3468" s="80" t="s">
        <v>3783</v>
      </c>
      <c r="C3468" s="82" t="s">
        <v>8959</v>
      </c>
    </row>
    <row r="3469" spans="1:3" s="79" customFormat="1" ht="38.85" customHeight="1" x14ac:dyDescent="0.2">
      <c r="A3469" s="81">
        <v>20039606</v>
      </c>
      <c r="B3469" s="80" t="s">
        <v>3784</v>
      </c>
      <c r="C3469" s="82" t="s">
        <v>8960</v>
      </c>
    </row>
    <row r="3470" spans="1:3" s="79" customFormat="1" ht="68.849999999999994" customHeight="1" x14ac:dyDescent="0.2">
      <c r="A3470" s="81">
        <v>20039608</v>
      </c>
      <c r="B3470" s="80" t="s">
        <v>3785</v>
      </c>
      <c r="C3470" s="82" t="s">
        <v>8961</v>
      </c>
    </row>
    <row r="3471" spans="1:3" s="79" customFormat="1" ht="59.1" customHeight="1" x14ac:dyDescent="0.2">
      <c r="A3471" s="81">
        <v>20039609</v>
      </c>
      <c r="B3471" s="80" t="s">
        <v>3786</v>
      </c>
      <c r="C3471" s="82" t="s">
        <v>8962</v>
      </c>
    </row>
    <row r="3472" spans="1:3" s="79" customFormat="1" ht="28.7" customHeight="1" x14ac:dyDescent="0.2">
      <c r="A3472" s="81">
        <v>20039612</v>
      </c>
      <c r="B3472" s="80" t="s">
        <v>3787</v>
      </c>
      <c r="C3472" s="82" t="s">
        <v>8963</v>
      </c>
    </row>
    <row r="3473" spans="1:3" s="79" customFormat="1" ht="28.7" customHeight="1" x14ac:dyDescent="0.2">
      <c r="A3473" s="81">
        <v>20039628</v>
      </c>
      <c r="B3473" s="80" t="s">
        <v>3788</v>
      </c>
      <c r="C3473" s="81" t="s">
        <v>8964</v>
      </c>
    </row>
    <row r="3474" spans="1:3" s="79" customFormat="1" ht="28.7" customHeight="1" x14ac:dyDescent="0.2">
      <c r="A3474" s="81">
        <v>20039629</v>
      </c>
      <c r="B3474" s="80" t="s">
        <v>3789</v>
      </c>
      <c r="C3474" s="81" t="s">
        <v>8965</v>
      </c>
    </row>
    <row r="3475" spans="1:3" s="79" customFormat="1" ht="28.7" customHeight="1" x14ac:dyDescent="0.2">
      <c r="A3475" s="81">
        <v>20039640</v>
      </c>
      <c r="B3475" s="80" t="s">
        <v>3790</v>
      </c>
      <c r="C3475" s="80" t="s">
        <v>8966</v>
      </c>
    </row>
    <row r="3476" spans="1:3" s="79" customFormat="1" ht="89.1" customHeight="1" x14ac:dyDescent="0.2">
      <c r="A3476" s="81">
        <v>20039648</v>
      </c>
      <c r="B3476" s="80" t="s">
        <v>3791</v>
      </c>
      <c r="C3476" s="82" t="s">
        <v>8967</v>
      </c>
    </row>
    <row r="3477" spans="1:3" s="79" customFormat="1" ht="99.2" customHeight="1" x14ac:dyDescent="0.2">
      <c r="A3477" s="81">
        <v>20039663</v>
      </c>
      <c r="B3477" s="80" t="s">
        <v>3792</v>
      </c>
      <c r="C3477" s="82" t="s">
        <v>8968</v>
      </c>
    </row>
    <row r="3478" spans="1:3" s="79" customFormat="1" ht="19.149999999999999" customHeight="1" x14ac:dyDescent="0.2">
      <c r="A3478" s="81">
        <v>20039678</v>
      </c>
      <c r="B3478" s="80" t="s">
        <v>3793</v>
      </c>
      <c r="C3478" s="82" t="s">
        <v>8969</v>
      </c>
    </row>
    <row r="3479" spans="1:3" s="79" customFormat="1" ht="59.1" customHeight="1" x14ac:dyDescent="0.2">
      <c r="A3479" s="81">
        <v>20039689</v>
      </c>
      <c r="B3479" s="80" t="s">
        <v>3794</v>
      </c>
      <c r="C3479" s="82" t="s">
        <v>8970</v>
      </c>
    </row>
    <row r="3480" spans="1:3" s="79" customFormat="1" ht="38.85" customHeight="1" x14ac:dyDescent="0.2">
      <c r="A3480" s="81">
        <v>20039690</v>
      </c>
      <c r="B3480" s="80" t="s">
        <v>3795</v>
      </c>
      <c r="C3480" s="82" t="s">
        <v>8971</v>
      </c>
    </row>
    <row r="3481" spans="1:3" s="79" customFormat="1" ht="28.7" customHeight="1" x14ac:dyDescent="0.2">
      <c r="A3481" s="81">
        <v>20039701</v>
      </c>
      <c r="B3481" s="80" t="s">
        <v>3798</v>
      </c>
      <c r="C3481" s="82" t="s">
        <v>8972</v>
      </c>
    </row>
    <row r="3482" spans="1:3" s="79" customFormat="1" ht="38.85" customHeight="1" x14ac:dyDescent="0.2">
      <c r="A3482" s="81">
        <v>20039702</v>
      </c>
      <c r="B3482" s="80" t="s">
        <v>3799</v>
      </c>
      <c r="C3482" s="82" t="s">
        <v>8973</v>
      </c>
    </row>
    <row r="3483" spans="1:3" s="79" customFormat="1" ht="59.1" customHeight="1" x14ac:dyDescent="0.2">
      <c r="A3483" s="81">
        <v>20039703</v>
      </c>
      <c r="B3483" s="80" t="s">
        <v>3800</v>
      </c>
      <c r="C3483" s="82" t="s">
        <v>8974</v>
      </c>
    </row>
    <row r="3484" spans="1:3" s="79" customFormat="1" ht="19.149999999999999" customHeight="1" x14ac:dyDescent="0.2">
      <c r="A3484" s="81">
        <v>20039704</v>
      </c>
      <c r="B3484" s="80" t="s">
        <v>3801</v>
      </c>
      <c r="C3484" s="82" t="s">
        <v>8975</v>
      </c>
    </row>
    <row r="3485" spans="1:3" s="79" customFormat="1" ht="19.149999999999999" customHeight="1" x14ac:dyDescent="0.2">
      <c r="A3485" s="81">
        <v>20039705</v>
      </c>
      <c r="B3485" s="80" t="s">
        <v>3802</v>
      </c>
      <c r="C3485" s="82" t="s">
        <v>8976</v>
      </c>
    </row>
    <row r="3486" spans="1:3" s="79" customFormat="1" ht="19.149999999999999" customHeight="1" x14ac:dyDescent="0.2">
      <c r="A3486" s="81">
        <v>20039706</v>
      </c>
      <c r="B3486" s="80" t="s">
        <v>3803</v>
      </c>
      <c r="C3486" s="82" t="s">
        <v>8977</v>
      </c>
    </row>
    <row r="3487" spans="1:3" s="79" customFormat="1" ht="19.149999999999999" customHeight="1" x14ac:dyDescent="0.2">
      <c r="A3487" s="81">
        <v>20039707</v>
      </c>
      <c r="B3487" s="80" t="s">
        <v>3804</v>
      </c>
      <c r="C3487" s="82" t="s">
        <v>8978</v>
      </c>
    </row>
    <row r="3488" spans="1:3" s="79" customFormat="1" ht="19.149999999999999" customHeight="1" x14ac:dyDescent="0.2">
      <c r="A3488" s="81">
        <v>20039708</v>
      </c>
      <c r="B3488" s="80" t="s">
        <v>3796</v>
      </c>
      <c r="C3488" s="81" t="s">
        <v>8979</v>
      </c>
    </row>
    <row r="3489" spans="1:3" s="79" customFormat="1" ht="19.149999999999999" customHeight="1" x14ac:dyDescent="0.2">
      <c r="A3489" s="81">
        <v>20039711</v>
      </c>
      <c r="B3489" s="80" t="s">
        <v>3797</v>
      </c>
      <c r="C3489" s="81" t="s">
        <v>8980</v>
      </c>
    </row>
    <row r="3490" spans="1:3" s="79" customFormat="1" ht="38.85" customHeight="1" x14ac:dyDescent="0.2">
      <c r="A3490" s="81">
        <v>20039712</v>
      </c>
      <c r="B3490" s="80" t="s">
        <v>3808</v>
      </c>
      <c r="C3490" s="81" t="s">
        <v>8981</v>
      </c>
    </row>
    <row r="3491" spans="1:3" s="79" customFormat="1" ht="179.1" customHeight="1" x14ac:dyDescent="0.2">
      <c r="A3491" s="81">
        <v>20039714</v>
      </c>
      <c r="B3491" s="80" t="s">
        <v>3809</v>
      </c>
      <c r="C3491" s="81" t="s">
        <v>8982</v>
      </c>
    </row>
    <row r="3492" spans="1:3" s="79" customFormat="1" ht="158.85" customHeight="1" x14ac:dyDescent="0.2">
      <c r="A3492" s="81">
        <v>20039715</v>
      </c>
      <c r="B3492" s="80" t="s">
        <v>3810</v>
      </c>
      <c r="C3492" s="82" t="s">
        <v>8983</v>
      </c>
    </row>
    <row r="3493" spans="1:3" s="79" customFormat="1" ht="59.1" customHeight="1" x14ac:dyDescent="0.2">
      <c r="A3493" s="81">
        <v>20039728</v>
      </c>
      <c r="B3493" s="80" t="s">
        <v>3805</v>
      </c>
      <c r="C3493" s="82" t="s">
        <v>8984</v>
      </c>
    </row>
    <row r="3494" spans="1:3" s="79" customFormat="1" ht="68.849999999999994" customHeight="1" x14ac:dyDescent="0.2">
      <c r="A3494" s="81">
        <v>20039729</v>
      </c>
      <c r="B3494" s="80" t="s">
        <v>11333</v>
      </c>
      <c r="C3494" s="81" t="s">
        <v>8985</v>
      </c>
    </row>
    <row r="3495" spans="1:3" s="79" customFormat="1" ht="49.15" customHeight="1" x14ac:dyDescent="0.2">
      <c r="A3495" s="81">
        <v>20039730</v>
      </c>
      <c r="B3495" s="80" t="s">
        <v>3806</v>
      </c>
      <c r="C3495" s="81" t="s">
        <v>8986</v>
      </c>
    </row>
    <row r="3496" spans="1:3" s="79" customFormat="1" ht="38.85" customHeight="1" x14ac:dyDescent="0.2">
      <c r="A3496" s="81">
        <v>20039731</v>
      </c>
      <c r="B3496" s="80" t="s">
        <v>3807</v>
      </c>
      <c r="C3496" s="82" t="s">
        <v>8987</v>
      </c>
    </row>
    <row r="3497" spans="1:3" s="79" customFormat="1" ht="59.1" customHeight="1" x14ac:dyDescent="0.2">
      <c r="A3497" s="81">
        <v>20039750</v>
      </c>
      <c r="B3497" s="80" t="s">
        <v>3812</v>
      </c>
      <c r="C3497" s="82" t="s">
        <v>8988</v>
      </c>
    </row>
    <row r="3498" spans="1:3" s="79" customFormat="1" ht="68.849999999999994" customHeight="1" x14ac:dyDescent="0.2">
      <c r="A3498" s="81">
        <v>20039752</v>
      </c>
      <c r="B3498" s="80" t="s">
        <v>3823</v>
      </c>
      <c r="C3498" s="82" t="s">
        <v>8989</v>
      </c>
    </row>
    <row r="3499" spans="1:3" s="79" customFormat="1" ht="49.15" customHeight="1" x14ac:dyDescent="0.2">
      <c r="A3499" s="81">
        <v>20039753</v>
      </c>
      <c r="B3499" s="80" t="s">
        <v>3824</v>
      </c>
      <c r="C3499" s="82" t="s">
        <v>8990</v>
      </c>
    </row>
    <row r="3500" spans="1:3" s="79" customFormat="1" ht="28.7" customHeight="1" x14ac:dyDescent="0.2">
      <c r="A3500" s="81">
        <v>20039754</v>
      </c>
      <c r="B3500" s="80" t="s">
        <v>3826</v>
      </c>
      <c r="C3500" s="82" t="s">
        <v>8991</v>
      </c>
    </row>
    <row r="3501" spans="1:3" s="79" customFormat="1" ht="28.7" customHeight="1" x14ac:dyDescent="0.2">
      <c r="A3501" s="81">
        <v>20039758</v>
      </c>
      <c r="B3501" s="80" t="s">
        <v>3813</v>
      </c>
      <c r="C3501" s="82" t="s">
        <v>8992</v>
      </c>
    </row>
    <row r="3502" spans="1:3" s="79" customFormat="1" ht="28.7" customHeight="1" x14ac:dyDescent="0.2">
      <c r="A3502" s="81">
        <v>20039759</v>
      </c>
      <c r="B3502" s="80" t="s">
        <v>3814</v>
      </c>
      <c r="C3502" s="82" t="s">
        <v>8993</v>
      </c>
    </row>
    <row r="3503" spans="1:3" s="79" customFormat="1" ht="28.7" customHeight="1" x14ac:dyDescent="0.2">
      <c r="A3503" s="81">
        <v>20039760</v>
      </c>
      <c r="B3503" s="80" t="s">
        <v>3818</v>
      </c>
      <c r="C3503" s="81" t="s">
        <v>8994</v>
      </c>
    </row>
    <row r="3504" spans="1:3" s="79" customFormat="1" ht="68.849999999999994" customHeight="1" x14ac:dyDescent="0.2">
      <c r="A3504" s="81">
        <v>20039762</v>
      </c>
      <c r="B3504" s="80" t="s">
        <v>3822</v>
      </c>
      <c r="C3504" s="82" t="s">
        <v>8995</v>
      </c>
    </row>
    <row r="3505" spans="1:3" s="79" customFormat="1" ht="28.7" customHeight="1" x14ac:dyDescent="0.2">
      <c r="A3505" s="81">
        <v>20039768</v>
      </c>
      <c r="B3505" s="80" t="s">
        <v>3815</v>
      </c>
      <c r="C3505" s="81" t="s">
        <v>8996</v>
      </c>
    </row>
    <row r="3506" spans="1:3" s="79" customFormat="1" ht="89.1" customHeight="1" x14ac:dyDescent="0.2">
      <c r="A3506" s="81">
        <v>20039769</v>
      </c>
      <c r="B3506" s="80" t="s">
        <v>3816</v>
      </c>
      <c r="C3506" s="82" t="s">
        <v>8997</v>
      </c>
    </row>
    <row r="3507" spans="1:3" s="79" customFormat="1" ht="19.149999999999999" customHeight="1" x14ac:dyDescent="0.2">
      <c r="A3507" s="81">
        <v>20039770</v>
      </c>
      <c r="B3507" s="80" t="s">
        <v>3817</v>
      </c>
      <c r="C3507" s="82" t="s">
        <v>8998</v>
      </c>
    </row>
    <row r="3508" spans="1:3" s="79" customFormat="1" ht="209.1" customHeight="1" x14ac:dyDescent="0.2">
      <c r="A3508" s="81">
        <v>20039778</v>
      </c>
      <c r="B3508" s="80" t="s">
        <v>3819</v>
      </c>
      <c r="C3508" s="81" t="s">
        <v>8999</v>
      </c>
    </row>
    <row r="3509" spans="1:3" s="79" customFormat="1" ht="49.15" customHeight="1" x14ac:dyDescent="0.2">
      <c r="A3509" s="81">
        <v>20039779</v>
      </c>
      <c r="B3509" s="80" t="s">
        <v>3825</v>
      </c>
      <c r="C3509" s="82" t="s">
        <v>9000</v>
      </c>
    </row>
    <row r="3510" spans="1:3" s="79" customFormat="1" ht="28.7" customHeight="1" x14ac:dyDescent="0.2">
      <c r="A3510" s="81">
        <v>20039788</v>
      </c>
      <c r="B3510" s="80" t="s">
        <v>3820</v>
      </c>
      <c r="C3510" s="81" t="s">
        <v>9001</v>
      </c>
    </row>
    <row r="3511" spans="1:3" s="79" customFormat="1" ht="78.95" customHeight="1" x14ac:dyDescent="0.2">
      <c r="A3511" s="81">
        <v>20039790</v>
      </c>
      <c r="B3511" s="80" t="s">
        <v>3821</v>
      </c>
      <c r="C3511" s="81" t="s">
        <v>9002</v>
      </c>
    </row>
    <row r="3512" spans="1:3" s="79" customFormat="1" ht="38.85" customHeight="1" x14ac:dyDescent="0.2">
      <c r="A3512" s="81">
        <v>20039808</v>
      </c>
      <c r="B3512" s="80" t="s">
        <v>3827</v>
      </c>
      <c r="C3512" s="82" t="s">
        <v>9003</v>
      </c>
    </row>
    <row r="3513" spans="1:3" s="79" customFormat="1" ht="78.95" customHeight="1" x14ac:dyDescent="0.2">
      <c r="A3513" s="81">
        <v>20039809</v>
      </c>
      <c r="B3513" s="80" t="s">
        <v>3828</v>
      </c>
      <c r="C3513" s="81" t="s">
        <v>9004</v>
      </c>
    </row>
    <row r="3514" spans="1:3" s="79" customFormat="1" ht="99.2" customHeight="1" x14ac:dyDescent="0.2">
      <c r="A3514" s="81">
        <v>20039810</v>
      </c>
      <c r="B3514" s="80" t="s">
        <v>3832</v>
      </c>
      <c r="C3514" s="82" t="s">
        <v>9005</v>
      </c>
    </row>
    <row r="3515" spans="1:3" s="79" customFormat="1" ht="28.7" customHeight="1" x14ac:dyDescent="0.2">
      <c r="A3515" s="81">
        <v>20039819</v>
      </c>
      <c r="B3515" s="80" t="s">
        <v>3829</v>
      </c>
      <c r="C3515" s="81" t="s">
        <v>9006</v>
      </c>
    </row>
    <row r="3516" spans="1:3" s="79" customFormat="1" ht="109.35" customHeight="1" x14ac:dyDescent="0.2">
      <c r="A3516" s="81">
        <v>20039828</v>
      </c>
      <c r="B3516" s="80" t="s">
        <v>3830</v>
      </c>
      <c r="C3516" s="81" t="s">
        <v>9007</v>
      </c>
    </row>
    <row r="3517" spans="1:3" s="79" customFormat="1" ht="38.85" customHeight="1" x14ac:dyDescent="0.2">
      <c r="A3517" s="81">
        <v>20039840</v>
      </c>
      <c r="B3517" s="80" t="s">
        <v>3833</v>
      </c>
      <c r="C3517" s="81" t="s">
        <v>9008</v>
      </c>
    </row>
    <row r="3518" spans="1:3" s="79" customFormat="1" ht="109.35" customHeight="1" x14ac:dyDescent="0.2">
      <c r="A3518" s="81">
        <v>20039843</v>
      </c>
      <c r="B3518" s="80" t="s">
        <v>3834</v>
      </c>
      <c r="C3518" s="82" t="s">
        <v>9009</v>
      </c>
    </row>
    <row r="3519" spans="1:3" s="79" customFormat="1" ht="189.4" customHeight="1" x14ac:dyDescent="0.2">
      <c r="A3519" s="81">
        <v>20039844</v>
      </c>
      <c r="B3519" s="80" t="s">
        <v>3835</v>
      </c>
      <c r="C3519" s="82" t="s">
        <v>9010</v>
      </c>
    </row>
    <row r="3520" spans="1:3" s="79" customFormat="1" ht="129" customHeight="1" x14ac:dyDescent="0.2">
      <c r="A3520" s="81">
        <v>20039845</v>
      </c>
      <c r="B3520" s="80" t="s">
        <v>3838</v>
      </c>
      <c r="C3520" s="81" t="s">
        <v>9011</v>
      </c>
    </row>
    <row r="3521" spans="1:3" s="79" customFormat="1" ht="38.85" customHeight="1" x14ac:dyDescent="0.2">
      <c r="A3521" s="81">
        <v>20039846</v>
      </c>
      <c r="B3521" s="80" t="s">
        <v>3839</v>
      </c>
      <c r="C3521" s="82" t="s">
        <v>9012</v>
      </c>
    </row>
    <row r="3522" spans="1:3" s="79" customFormat="1" ht="38.85" customHeight="1" x14ac:dyDescent="0.2">
      <c r="A3522" s="81">
        <v>20039850</v>
      </c>
      <c r="B3522" s="80" t="s">
        <v>3837</v>
      </c>
      <c r="C3522" s="81" t="s">
        <v>9013</v>
      </c>
    </row>
    <row r="3523" spans="1:3" s="79" customFormat="1" ht="139.15" customHeight="1" x14ac:dyDescent="0.2">
      <c r="A3523" s="81">
        <v>20039858</v>
      </c>
      <c r="B3523" s="80" t="s">
        <v>3836</v>
      </c>
      <c r="C3523" s="82" t="s">
        <v>9014</v>
      </c>
    </row>
    <row r="3524" spans="1:3" s="79" customFormat="1" ht="59.1" customHeight="1" x14ac:dyDescent="0.2">
      <c r="A3524" s="81">
        <v>20039878</v>
      </c>
      <c r="B3524" s="80" t="s">
        <v>3840</v>
      </c>
      <c r="C3524" s="82" t="s">
        <v>9015</v>
      </c>
    </row>
    <row r="3525" spans="1:3" s="79" customFormat="1" ht="59.1" customHeight="1" x14ac:dyDescent="0.2">
      <c r="A3525" s="81">
        <v>20039879</v>
      </c>
      <c r="B3525" s="80" t="s">
        <v>3841</v>
      </c>
      <c r="C3525" s="81" t="s">
        <v>9016</v>
      </c>
    </row>
    <row r="3526" spans="1:3" s="79" customFormat="1" ht="49.15" customHeight="1" x14ac:dyDescent="0.2">
      <c r="A3526" s="81">
        <v>20039890</v>
      </c>
      <c r="B3526" s="80" t="s">
        <v>11432</v>
      </c>
      <c r="C3526" s="81" t="s">
        <v>9017</v>
      </c>
    </row>
    <row r="3527" spans="1:3" s="79" customFormat="1" ht="38.85" customHeight="1" x14ac:dyDescent="0.2">
      <c r="A3527" s="81">
        <v>20039891</v>
      </c>
      <c r="B3527" s="80" t="s">
        <v>3842</v>
      </c>
      <c r="C3527" s="82" t="s">
        <v>9018</v>
      </c>
    </row>
    <row r="3528" spans="1:3" s="79" customFormat="1" ht="118.9" customHeight="1" x14ac:dyDescent="0.2">
      <c r="A3528" s="81">
        <v>20039892</v>
      </c>
      <c r="B3528" s="80" t="s">
        <v>3843</v>
      </c>
      <c r="C3528" s="82" t="s">
        <v>9019</v>
      </c>
    </row>
    <row r="3529" spans="1:3" s="79" customFormat="1" ht="319.35000000000002" customHeight="1" x14ac:dyDescent="0.2">
      <c r="A3529" s="81">
        <v>20039893</v>
      </c>
      <c r="B3529" s="80" t="s">
        <v>3844</v>
      </c>
      <c r="C3529" s="81" t="s">
        <v>9020</v>
      </c>
    </row>
    <row r="3530" spans="1:3" s="79" customFormat="1" ht="49.15" customHeight="1" x14ac:dyDescent="0.2">
      <c r="A3530" s="81">
        <v>20039894</v>
      </c>
      <c r="B3530" s="80" t="s">
        <v>3845</v>
      </c>
      <c r="C3530" s="82" t="s">
        <v>9021</v>
      </c>
    </row>
    <row r="3531" spans="1:3" s="79" customFormat="1" ht="68.849999999999994" customHeight="1" x14ac:dyDescent="0.2">
      <c r="A3531" s="81">
        <v>20039898</v>
      </c>
      <c r="B3531" s="80" t="s">
        <v>3846</v>
      </c>
      <c r="C3531" s="82" t="s">
        <v>9022</v>
      </c>
    </row>
    <row r="3532" spans="1:3" s="79" customFormat="1" ht="149.25" customHeight="1" x14ac:dyDescent="0.2">
      <c r="A3532" s="81">
        <v>20039901</v>
      </c>
      <c r="B3532" s="80" t="s">
        <v>3847</v>
      </c>
      <c r="C3532" s="82" t="s">
        <v>9023</v>
      </c>
    </row>
    <row r="3533" spans="1:3" s="79" customFormat="1" ht="28.7" customHeight="1" x14ac:dyDescent="0.2">
      <c r="A3533" s="81">
        <v>20039902</v>
      </c>
      <c r="B3533" s="80" t="s">
        <v>3848</v>
      </c>
      <c r="C3533" s="80" t="s">
        <v>9024</v>
      </c>
    </row>
    <row r="3534" spans="1:3" s="79" customFormat="1" ht="28.7" customHeight="1" x14ac:dyDescent="0.2">
      <c r="A3534" s="81">
        <v>20039903</v>
      </c>
      <c r="B3534" s="80" t="s">
        <v>3850</v>
      </c>
      <c r="C3534" s="81" t="s">
        <v>9025</v>
      </c>
    </row>
    <row r="3535" spans="1:3" s="79" customFormat="1" ht="28.7" customHeight="1" x14ac:dyDescent="0.2">
      <c r="A3535" s="81">
        <v>20039908</v>
      </c>
      <c r="B3535" s="80" t="s">
        <v>3849</v>
      </c>
      <c r="C3535" s="82" t="s">
        <v>9026</v>
      </c>
    </row>
    <row r="3536" spans="1:3" s="79" customFormat="1" ht="19.149999999999999" customHeight="1" x14ac:dyDescent="0.2">
      <c r="A3536" s="81">
        <v>20039910</v>
      </c>
      <c r="B3536" s="80" t="s">
        <v>3851</v>
      </c>
      <c r="C3536" s="81" t="s">
        <v>9027</v>
      </c>
    </row>
    <row r="3537" spans="1:3" s="79" customFormat="1" ht="89.1" customHeight="1" x14ac:dyDescent="0.2">
      <c r="A3537" s="81">
        <v>20039911</v>
      </c>
      <c r="B3537" s="80" t="s">
        <v>3852</v>
      </c>
      <c r="C3537" s="81" t="s">
        <v>9028</v>
      </c>
    </row>
    <row r="3538" spans="1:3" s="79" customFormat="1" ht="38.85" customHeight="1" x14ac:dyDescent="0.2">
      <c r="A3538" s="81">
        <v>20039921</v>
      </c>
      <c r="B3538" s="80" t="s">
        <v>3855</v>
      </c>
      <c r="C3538" s="81" t="s">
        <v>9029</v>
      </c>
    </row>
    <row r="3539" spans="1:3" s="79" customFormat="1" ht="99.2" customHeight="1" x14ac:dyDescent="0.2">
      <c r="A3539" s="81">
        <v>20039938</v>
      </c>
      <c r="B3539" s="80" t="s">
        <v>3856</v>
      </c>
      <c r="C3539" s="82" t="s">
        <v>9030</v>
      </c>
    </row>
    <row r="3540" spans="1:3" s="79" customFormat="1" ht="99.2" customHeight="1" x14ac:dyDescent="0.2">
      <c r="A3540" s="81">
        <v>20039948</v>
      </c>
      <c r="B3540" s="80" t="s">
        <v>3857</v>
      </c>
      <c r="C3540" s="81" t="s">
        <v>9031</v>
      </c>
    </row>
    <row r="3541" spans="1:3" s="79" customFormat="1" ht="109.35" customHeight="1" x14ac:dyDescent="0.2">
      <c r="A3541" s="81">
        <v>20039949</v>
      </c>
      <c r="B3541" s="80" t="s">
        <v>3858</v>
      </c>
      <c r="C3541" s="82" t="s">
        <v>9032</v>
      </c>
    </row>
    <row r="3542" spans="1:3" s="79" customFormat="1" ht="68.849999999999994" customHeight="1" x14ac:dyDescent="0.2">
      <c r="A3542" s="81">
        <v>20039950</v>
      </c>
      <c r="B3542" s="80" t="s">
        <v>3859</v>
      </c>
      <c r="C3542" s="82" t="s">
        <v>9033</v>
      </c>
    </row>
    <row r="3543" spans="1:3" s="79" customFormat="1" ht="109.35" customHeight="1" x14ac:dyDescent="0.2">
      <c r="A3543" s="81">
        <v>20039951</v>
      </c>
      <c r="B3543" s="80" t="s">
        <v>3860</v>
      </c>
      <c r="C3543" s="81" t="s">
        <v>9034</v>
      </c>
    </row>
    <row r="3544" spans="1:3" s="79" customFormat="1" ht="38.85" customHeight="1" x14ac:dyDescent="0.2">
      <c r="A3544" s="81">
        <v>20039989</v>
      </c>
      <c r="B3544" s="80" t="s">
        <v>3865</v>
      </c>
      <c r="C3544" s="82" t="s">
        <v>9035</v>
      </c>
    </row>
    <row r="3545" spans="1:3" s="79" customFormat="1" ht="59.1" customHeight="1" x14ac:dyDescent="0.2">
      <c r="A3545" s="81">
        <v>20039990</v>
      </c>
      <c r="B3545" s="80" t="s">
        <v>3868</v>
      </c>
      <c r="C3545" s="82" t="s">
        <v>9036</v>
      </c>
    </row>
    <row r="3546" spans="1:3" s="79" customFormat="1" ht="89.1" customHeight="1" x14ac:dyDescent="0.2">
      <c r="A3546" s="81">
        <v>20039991</v>
      </c>
      <c r="B3546" s="80" t="s">
        <v>3869</v>
      </c>
      <c r="C3546" s="82" t="s">
        <v>9037</v>
      </c>
    </row>
    <row r="3547" spans="1:3" s="79" customFormat="1" ht="38.85" customHeight="1" x14ac:dyDescent="0.2">
      <c r="A3547" s="81">
        <v>20039992</v>
      </c>
      <c r="B3547" s="80" t="s">
        <v>3870</v>
      </c>
      <c r="C3547" s="82" t="s">
        <v>9038</v>
      </c>
    </row>
    <row r="3548" spans="1:3" s="79" customFormat="1" ht="38.85" customHeight="1" x14ac:dyDescent="0.2">
      <c r="A3548" s="81">
        <v>20039993</v>
      </c>
      <c r="B3548" s="80" t="s">
        <v>3871</v>
      </c>
      <c r="C3548" s="82" t="s">
        <v>9039</v>
      </c>
    </row>
    <row r="3549" spans="1:3" s="79" customFormat="1" ht="49.15" customHeight="1" x14ac:dyDescent="0.2">
      <c r="A3549" s="81">
        <v>20039994</v>
      </c>
      <c r="B3549" s="80" t="s">
        <v>3872</v>
      </c>
      <c r="C3549" s="81" t="s">
        <v>9040</v>
      </c>
    </row>
    <row r="3550" spans="1:3" s="79" customFormat="1" ht="38.85" customHeight="1" x14ac:dyDescent="0.2">
      <c r="A3550" s="81">
        <v>20039998</v>
      </c>
      <c r="B3550" s="80" t="s">
        <v>3861</v>
      </c>
      <c r="C3550" s="82" t="s">
        <v>9041</v>
      </c>
    </row>
    <row r="3551" spans="1:3" s="79" customFormat="1" ht="68.849999999999994" customHeight="1" x14ac:dyDescent="0.2">
      <c r="A3551" s="81">
        <v>20039999</v>
      </c>
      <c r="B3551" s="80" t="s">
        <v>3862</v>
      </c>
      <c r="C3551" s="82" t="s">
        <v>9042</v>
      </c>
    </row>
    <row r="3552" spans="1:3" s="79" customFormat="1" ht="169.15" customHeight="1" x14ac:dyDescent="0.2">
      <c r="A3552" s="81">
        <v>20040000</v>
      </c>
      <c r="B3552" s="80" t="s">
        <v>3863</v>
      </c>
      <c r="C3552" s="81" t="s">
        <v>9043</v>
      </c>
    </row>
    <row r="3553" spans="1:3" s="79" customFormat="1" ht="38.85" customHeight="1" x14ac:dyDescent="0.2">
      <c r="A3553" s="81">
        <v>20040001</v>
      </c>
      <c r="B3553" s="80" t="s">
        <v>3864</v>
      </c>
      <c r="C3553" s="82" t="s">
        <v>9044</v>
      </c>
    </row>
    <row r="3554" spans="1:3" s="79" customFormat="1" ht="59.1" customHeight="1" x14ac:dyDescent="0.2">
      <c r="A3554" s="81">
        <v>20040018</v>
      </c>
      <c r="B3554" s="80" t="s">
        <v>3873</v>
      </c>
      <c r="C3554" s="82" t="s">
        <v>9045</v>
      </c>
    </row>
    <row r="3555" spans="1:3" s="79" customFormat="1" ht="139.15" customHeight="1" x14ac:dyDescent="0.2">
      <c r="A3555" s="81">
        <v>20040028</v>
      </c>
      <c r="B3555" s="80" t="s">
        <v>3874</v>
      </c>
      <c r="C3555" s="82" t="s">
        <v>9046</v>
      </c>
    </row>
    <row r="3556" spans="1:3" s="79" customFormat="1" ht="99.2" customHeight="1" x14ac:dyDescent="0.2">
      <c r="A3556" s="81">
        <v>20040048</v>
      </c>
      <c r="B3556" s="80" t="s">
        <v>3875</v>
      </c>
      <c r="C3556" s="81" t="s">
        <v>9047</v>
      </c>
    </row>
    <row r="3557" spans="1:3" s="79" customFormat="1" ht="68.849999999999994" customHeight="1" x14ac:dyDescent="0.2">
      <c r="A3557" s="81">
        <v>20040049</v>
      </c>
      <c r="B3557" s="80" t="s">
        <v>3876</v>
      </c>
      <c r="C3557" s="81" t="s">
        <v>9048</v>
      </c>
    </row>
    <row r="3558" spans="1:3" s="79" customFormat="1" ht="99.2" customHeight="1" x14ac:dyDescent="0.2">
      <c r="A3558" s="81">
        <v>20040050</v>
      </c>
      <c r="B3558" s="80" t="s">
        <v>3877</v>
      </c>
      <c r="C3558" s="81" t="s">
        <v>9049</v>
      </c>
    </row>
    <row r="3559" spans="1:3" s="79" customFormat="1" ht="118.9" customHeight="1" x14ac:dyDescent="0.2">
      <c r="A3559" s="81">
        <v>20040051</v>
      </c>
      <c r="B3559" s="80" t="s">
        <v>3878</v>
      </c>
      <c r="C3559" s="82" t="s">
        <v>9050</v>
      </c>
    </row>
    <row r="3560" spans="1:3" s="79" customFormat="1" ht="118.9" customHeight="1" x14ac:dyDescent="0.2">
      <c r="A3560" s="81">
        <v>20040060</v>
      </c>
      <c r="B3560" s="80" t="s">
        <v>3880</v>
      </c>
      <c r="C3560" s="81" t="s">
        <v>9051</v>
      </c>
    </row>
    <row r="3561" spans="1:3" s="79" customFormat="1" ht="169.15" customHeight="1" x14ac:dyDescent="0.2">
      <c r="A3561" s="81">
        <v>20040068</v>
      </c>
      <c r="B3561" s="80" t="s">
        <v>3879</v>
      </c>
      <c r="C3561" s="82" t="s">
        <v>9052</v>
      </c>
    </row>
    <row r="3562" spans="1:3" s="79" customFormat="1" ht="109.35" customHeight="1" x14ac:dyDescent="0.2">
      <c r="A3562" s="81">
        <v>20040088</v>
      </c>
      <c r="B3562" s="80" t="s">
        <v>3881</v>
      </c>
      <c r="C3562" s="82" t="s">
        <v>9053</v>
      </c>
    </row>
    <row r="3563" spans="1:3" s="79" customFormat="1" ht="118.9" customHeight="1" x14ac:dyDescent="0.2">
      <c r="A3563" s="81">
        <v>20040089</v>
      </c>
      <c r="B3563" s="80" t="s">
        <v>3882</v>
      </c>
      <c r="C3563" s="81" t="s">
        <v>9054</v>
      </c>
    </row>
    <row r="3564" spans="1:3" s="79" customFormat="1" ht="59.1" customHeight="1" x14ac:dyDescent="0.2">
      <c r="A3564" s="81">
        <v>20040090</v>
      </c>
      <c r="B3564" s="80" t="s">
        <v>3883</v>
      </c>
      <c r="C3564" s="81" t="s">
        <v>9055</v>
      </c>
    </row>
    <row r="3565" spans="1:3" s="79" customFormat="1" ht="49.15" customHeight="1" x14ac:dyDescent="0.2">
      <c r="A3565" s="81">
        <v>20040092</v>
      </c>
      <c r="B3565" s="80" t="s">
        <v>3884</v>
      </c>
      <c r="C3565" s="81" t="s">
        <v>9056</v>
      </c>
    </row>
    <row r="3566" spans="1:3" s="79" customFormat="1" ht="78.95" customHeight="1" x14ac:dyDescent="0.2">
      <c r="A3566" s="81">
        <v>20040108</v>
      </c>
      <c r="B3566" s="80" t="s">
        <v>3885</v>
      </c>
      <c r="C3566" s="82" t="s">
        <v>9057</v>
      </c>
    </row>
    <row r="3567" spans="1:3" s="79" customFormat="1" ht="78.95" customHeight="1" x14ac:dyDescent="0.2">
      <c r="A3567" s="81">
        <v>20040121</v>
      </c>
      <c r="B3567" s="80" t="s">
        <v>3886</v>
      </c>
      <c r="C3567" s="82" t="s">
        <v>9058</v>
      </c>
    </row>
    <row r="3568" spans="1:3" s="79" customFormat="1" ht="78.95" customHeight="1" x14ac:dyDescent="0.2">
      <c r="A3568" s="81">
        <v>20040129</v>
      </c>
      <c r="B3568" s="80" t="s">
        <v>3887</v>
      </c>
      <c r="C3568" s="81" t="s">
        <v>9059</v>
      </c>
    </row>
    <row r="3569" spans="1:3" s="79" customFormat="1" ht="99.2" customHeight="1" x14ac:dyDescent="0.2">
      <c r="A3569" s="81">
        <v>20040130</v>
      </c>
      <c r="B3569" s="80" t="s">
        <v>3888</v>
      </c>
      <c r="C3569" s="81" t="s">
        <v>9060</v>
      </c>
    </row>
    <row r="3570" spans="1:3" s="79" customFormat="1" ht="38.85" customHeight="1" x14ac:dyDescent="0.2">
      <c r="A3570" s="81">
        <v>20040132</v>
      </c>
      <c r="B3570" s="80" t="s">
        <v>3889</v>
      </c>
      <c r="C3570" s="82" t="s">
        <v>9061</v>
      </c>
    </row>
    <row r="3571" spans="1:3" s="79" customFormat="1" ht="279.39999999999998" customHeight="1" x14ac:dyDescent="0.2">
      <c r="A3571" s="81">
        <v>20040148</v>
      </c>
      <c r="B3571" s="80" t="s">
        <v>11034</v>
      </c>
      <c r="C3571" s="81" t="s">
        <v>9062</v>
      </c>
    </row>
    <row r="3572" spans="1:3" s="79" customFormat="1" ht="249" customHeight="1" x14ac:dyDescent="0.2">
      <c r="A3572" s="81">
        <v>20040149</v>
      </c>
      <c r="B3572" s="80" t="s">
        <v>3891</v>
      </c>
      <c r="C3572" s="80" t="s">
        <v>9063</v>
      </c>
    </row>
    <row r="3573" spans="1:3" s="79" customFormat="1" ht="49.15" customHeight="1" x14ac:dyDescent="0.2">
      <c r="A3573" s="81">
        <v>20040158</v>
      </c>
      <c r="B3573" s="80" t="s">
        <v>3892</v>
      </c>
      <c r="C3573" s="81" t="s">
        <v>9064</v>
      </c>
    </row>
    <row r="3574" spans="1:3" s="79" customFormat="1" ht="179.1" customHeight="1" x14ac:dyDescent="0.2">
      <c r="A3574" s="81">
        <v>20040168</v>
      </c>
      <c r="B3574" s="80" t="s">
        <v>3893</v>
      </c>
      <c r="C3574" s="82" t="s">
        <v>9065</v>
      </c>
    </row>
    <row r="3575" spans="1:3" s="79" customFormat="1" ht="19.149999999999999" customHeight="1" x14ac:dyDescent="0.2">
      <c r="A3575" s="81">
        <v>20040172</v>
      </c>
      <c r="B3575" s="80" t="s">
        <v>3908</v>
      </c>
      <c r="C3575" s="82" t="s">
        <v>9066</v>
      </c>
    </row>
    <row r="3576" spans="1:3" s="79" customFormat="1" ht="109.35" customHeight="1" x14ac:dyDescent="0.2">
      <c r="A3576" s="81">
        <v>20040180</v>
      </c>
      <c r="B3576" s="80" t="s">
        <v>3894</v>
      </c>
      <c r="C3576" s="82" t="s">
        <v>9067</v>
      </c>
    </row>
    <row r="3577" spans="1:3" s="79" customFormat="1" ht="49.15" customHeight="1" x14ac:dyDescent="0.2">
      <c r="A3577" s="81">
        <v>20040182</v>
      </c>
      <c r="B3577" s="80" t="s">
        <v>3895</v>
      </c>
      <c r="C3577" s="82" t="s">
        <v>9068</v>
      </c>
    </row>
    <row r="3578" spans="1:3" s="79" customFormat="1" ht="28.7" customHeight="1" x14ac:dyDescent="0.2">
      <c r="A3578" s="81">
        <v>20040184</v>
      </c>
      <c r="B3578" s="80" t="s">
        <v>3897</v>
      </c>
      <c r="C3578" s="82" t="s">
        <v>9069</v>
      </c>
    </row>
    <row r="3579" spans="1:3" s="79" customFormat="1" ht="99.2" customHeight="1" x14ac:dyDescent="0.2">
      <c r="A3579" s="81">
        <v>20040185</v>
      </c>
      <c r="B3579" s="80" t="s">
        <v>3898</v>
      </c>
      <c r="C3579" s="82" t="s">
        <v>9070</v>
      </c>
    </row>
    <row r="3580" spans="1:3" s="79" customFormat="1" ht="28.7" customHeight="1" x14ac:dyDescent="0.2">
      <c r="A3580" s="81">
        <v>20040186</v>
      </c>
      <c r="B3580" s="80" t="s">
        <v>3899</v>
      </c>
      <c r="C3580" s="82" t="s">
        <v>9071</v>
      </c>
    </row>
    <row r="3581" spans="1:3" s="79" customFormat="1" ht="28.7" customHeight="1" x14ac:dyDescent="0.2">
      <c r="A3581" s="81">
        <v>20040187</v>
      </c>
      <c r="B3581" s="80" t="s">
        <v>3900</v>
      </c>
      <c r="C3581" s="82" t="s">
        <v>9072</v>
      </c>
    </row>
    <row r="3582" spans="1:3" s="79" customFormat="1" ht="28.7" customHeight="1" x14ac:dyDescent="0.2">
      <c r="A3582" s="81">
        <v>20040188</v>
      </c>
      <c r="B3582" s="80" t="s">
        <v>3896</v>
      </c>
      <c r="C3582" s="81" t="s">
        <v>9073</v>
      </c>
    </row>
    <row r="3583" spans="1:3" s="79" customFormat="1" ht="28.7" customHeight="1" x14ac:dyDescent="0.2">
      <c r="A3583" s="81">
        <v>20040189</v>
      </c>
      <c r="B3583" s="80" t="s">
        <v>3901</v>
      </c>
      <c r="C3583" s="82" t="s">
        <v>9074</v>
      </c>
    </row>
    <row r="3584" spans="1:3" s="79" customFormat="1" ht="28.7" customHeight="1" x14ac:dyDescent="0.2">
      <c r="A3584" s="81">
        <v>20040190</v>
      </c>
      <c r="B3584" s="80" t="s">
        <v>3902</v>
      </c>
      <c r="C3584" s="82" t="s">
        <v>9075</v>
      </c>
    </row>
    <row r="3585" spans="1:3" s="79" customFormat="1" ht="68.849999999999994" customHeight="1" x14ac:dyDescent="0.2">
      <c r="A3585" s="81">
        <v>20040192</v>
      </c>
      <c r="B3585" s="80" t="s">
        <v>3909</v>
      </c>
      <c r="C3585" s="81" t="s">
        <v>9076</v>
      </c>
    </row>
    <row r="3586" spans="1:3" s="79" customFormat="1" ht="28.7" customHeight="1" x14ac:dyDescent="0.2">
      <c r="A3586" s="81">
        <v>20040194</v>
      </c>
      <c r="B3586" s="80" t="s">
        <v>3910</v>
      </c>
      <c r="C3586" s="82" t="s">
        <v>9077</v>
      </c>
    </row>
    <row r="3587" spans="1:3" s="79" customFormat="1" ht="28.7" customHeight="1" x14ac:dyDescent="0.2">
      <c r="A3587" s="81">
        <v>20040195</v>
      </c>
      <c r="B3587" s="80" t="s">
        <v>3911</v>
      </c>
      <c r="C3587" s="82" t="s">
        <v>11259</v>
      </c>
    </row>
    <row r="3588" spans="1:3" s="79" customFormat="1" ht="139.15" customHeight="1" x14ac:dyDescent="0.2">
      <c r="A3588" s="81">
        <v>20040196</v>
      </c>
      <c r="B3588" s="80" t="s">
        <v>3912</v>
      </c>
      <c r="C3588" s="81" t="s">
        <v>9078</v>
      </c>
    </row>
    <row r="3589" spans="1:3" s="79" customFormat="1" ht="68.849999999999994" customHeight="1" x14ac:dyDescent="0.2">
      <c r="A3589" s="81">
        <v>20040197</v>
      </c>
      <c r="B3589" s="80" t="s">
        <v>3913</v>
      </c>
      <c r="C3589" s="82" t="s">
        <v>9079</v>
      </c>
    </row>
    <row r="3590" spans="1:3" s="79" customFormat="1" ht="28.7" customHeight="1" x14ac:dyDescent="0.2">
      <c r="A3590" s="81">
        <v>20040198</v>
      </c>
      <c r="B3590" s="80" t="s">
        <v>3903</v>
      </c>
      <c r="C3590" s="82" t="s">
        <v>9080</v>
      </c>
    </row>
    <row r="3591" spans="1:3" s="79" customFormat="1" ht="89.1" customHeight="1" x14ac:dyDescent="0.2">
      <c r="A3591" s="81">
        <v>20040199</v>
      </c>
      <c r="B3591" s="80" t="s">
        <v>3904</v>
      </c>
      <c r="C3591" s="82" t="s">
        <v>9081</v>
      </c>
    </row>
    <row r="3592" spans="1:3" s="79" customFormat="1" ht="68.849999999999994" customHeight="1" x14ac:dyDescent="0.2">
      <c r="A3592" s="81">
        <v>20040200</v>
      </c>
      <c r="B3592" s="80" t="s">
        <v>3905</v>
      </c>
      <c r="C3592" s="82" t="s">
        <v>9082</v>
      </c>
    </row>
    <row r="3593" spans="1:3" s="79" customFormat="1" ht="28.7" customHeight="1" x14ac:dyDescent="0.2">
      <c r="A3593" s="81">
        <v>20040201</v>
      </c>
      <c r="B3593" s="80" t="s">
        <v>3906</v>
      </c>
      <c r="C3593" s="82" t="s">
        <v>9083</v>
      </c>
    </row>
    <row r="3594" spans="1:3" s="79" customFormat="1" ht="89.1" customHeight="1" x14ac:dyDescent="0.2">
      <c r="A3594" s="81">
        <v>20040202</v>
      </c>
      <c r="B3594" s="80" t="s">
        <v>3907</v>
      </c>
      <c r="C3594" s="82" t="s">
        <v>9084</v>
      </c>
    </row>
    <row r="3595" spans="1:3" s="79" customFormat="1" ht="78.95" customHeight="1" x14ac:dyDescent="0.2">
      <c r="A3595" s="81">
        <v>20040203</v>
      </c>
      <c r="B3595" s="80" t="s">
        <v>3914</v>
      </c>
      <c r="C3595" s="81" t="s">
        <v>9085</v>
      </c>
    </row>
    <row r="3596" spans="1:3" s="79" customFormat="1" ht="78.95" customHeight="1" x14ac:dyDescent="0.2">
      <c r="A3596" s="81">
        <v>20040204</v>
      </c>
      <c r="B3596" s="80" t="s">
        <v>3915</v>
      </c>
      <c r="C3596" s="81" t="s">
        <v>9086</v>
      </c>
    </row>
    <row r="3597" spans="1:3" s="79" customFormat="1" ht="78.95" customHeight="1" x14ac:dyDescent="0.2">
      <c r="A3597" s="81">
        <v>20040205</v>
      </c>
      <c r="B3597" s="80" t="s">
        <v>3916</v>
      </c>
      <c r="C3597" s="81" t="s">
        <v>9087</v>
      </c>
    </row>
    <row r="3598" spans="1:3" s="79" customFormat="1" ht="49.15" customHeight="1" x14ac:dyDescent="0.2">
      <c r="A3598" s="81">
        <v>20040206</v>
      </c>
      <c r="B3598" s="80" t="s">
        <v>3917</v>
      </c>
      <c r="C3598" s="81" t="s">
        <v>9088</v>
      </c>
    </row>
    <row r="3599" spans="1:3" s="79" customFormat="1" ht="59.1" customHeight="1" x14ac:dyDescent="0.2">
      <c r="A3599" s="81">
        <v>20040219</v>
      </c>
      <c r="B3599" s="80" t="s">
        <v>3918</v>
      </c>
      <c r="C3599" s="81" t="s">
        <v>9089</v>
      </c>
    </row>
    <row r="3600" spans="1:3" s="79" customFormat="1" ht="49.15" customHeight="1" x14ac:dyDescent="0.2">
      <c r="A3600" s="81">
        <v>20040230</v>
      </c>
      <c r="B3600" s="80" t="s">
        <v>3919</v>
      </c>
      <c r="C3600" s="82" t="s">
        <v>11375</v>
      </c>
    </row>
    <row r="3601" spans="1:3" s="79" customFormat="1" ht="49.15" customHeight="1" x14ac:dyDescent="0.2">
      <c r="A3601" s="81">
        <v>20040252</v>
      </c>
      <c r="B3601" s="80" t="s">
        <v>3920</v>
      </c>
      <c r="C3601" s="81" t="s">
        <v>9090</v>
      </c>
    </row>
    <row r="3602" spans="1:3" s="79" customFormat="1" ht="49.15" customHeight="1" x14ac:dyDescent="0.2">
      <c r="A3602" s="81">
        <v>20040254</v>
      </c>
      <c r="B3602" s="80" t="s">
        <v>3923</v>
      </c>
      <c r="C3602" s="81" t="s">
        <v>9091</v>
      </c>
    </row>
    <row r="3603" spans="1:3" s="79" customFormat="1" ht="59.1" customHeight="1" x14ac:dyDescent="0.2">
      <c r="A3603" s="81">
        <v>20040255</v>
      </c>
      <c r="B3603" s="80" t="s">
        <v>3925</v>
      </c>
      <c r="C3603" s="82" t="s">
        <v>9092</v>
      </c>
    </row>
    <row r="3604" spans="1:3" s="79" customFormat="1" ht="179.1" customHeight="1" x14ac:dyDescent="0.2">
      <c r="A3604" s="81">
        <v>20040256</v>
      </c>
      <c r="B3604" s="80" t="s">
        <v>3926</v>
      </c>
      <c r="C3604" s="82" t="s">
        <v>9093</v>
      </c>
    </row>
    <row r="3605" spans="1:3" s="79" customFormat="1" ht="78.95" customHeight="1" x14ac:dyDescent="0.2">
      <c r="A3605" s="81">
        <v>20040257</v>
      </c>
      <c r="B3605" s="80" t="s">
        <v>3927</v>
      </c>
      <c r="C3605" s="82" t="s">
        <v>9094</v>
      </c>
    </row>
    <row r="3606" spans="1:3" s="79" customFormat="1" ht="68.849999999999994" customHeight="1" x14ac:dyDescent="0.2">
      <c r="A3606" s="81">
        <v>20040258</v>
      </c>
      <c r="B3606" s="80" t="s">
        <v>3921</v>
      </c>
      <c r="C3606" s="81" t="s">
        <v>9095</v>
      </c>
    </row>
    <row r="3607" spans="1:3" s="79" customFormat="1" ht="68.849999999999994" customHeight="1" x14ac:dyDescent="0.2">
      <c r="A3607" s="81">
        <v>20040259</v>
      </c>
      <c r="B3607" s="80" t="s">
        <v>3922</v>
      </c>
      <c r="C3607" s="82" t="s">
        <v>9096</v>
      </c>
    </row>
    <row r="3608" spans="1:3" s="79" customFormat="1" ht="59.1" customHeight="1" x14ac:dyDescent="0.2">
      <c r="A3608" s="81">
        <v>20040263</v>
      </c>
      <c r="B3608" s="80" t="s">
        <v>3924</v>
      </c>
      <c r="C3608" s="82" t="s">
        <v>9097</v>
      </c>
    </row>
    <row r="3609" spans="1:3" s="79" customFormat="1" ht="129" customHeight="1" x14ac:dyDescent="0.2">
      <c r="A3609" s="81">
        <v>20040271</v>
      </c>
      <c r="B3609" s="80" t="s">
        <v>11035</v>
      </c>
      <c r="C3609" s="81" t="s">
        <v>9098</v>
      </c>
    </row>
    <row r="3610" spans="1:3" s="79" customFormat="1" ht="28.7" customHeight="1" x14ac:dyDescent="0.2">
      <c r="A3610" s="81">
        <v>20040272</v>
      </c>
      <c r="B3610" s="80" t="s">
        <v>3935</v>
      </c>
      <c r="C3610" s="81" t="s">
        <v>9099</v>
      </c>
    </row>
    <row r="3611" spans="1:3" s="79" customFormat="1" ht="38.85" customHeight="1" x14ac:dyDescent="0.2">
      <c r="A3611" s="81">
        <v>20040273</v>
      </c>
      <c r="B3611" s="80" t="s">
        <v>3937</v>
      </c>
      <c r="C3611" s="82" t="s">
        <v>9100</v>
      </c>
    </row>
    <row r="3612" spans="1:3" s="79" customFormat="1" ht="38.85" customHeight="1" x14ac:dyDescent="0.2">
      <c r="A3612" s="81">
        <v>20040274</v>
      </c>
      <c r="B3612" s="80" t="s">
        <v>3938</v>
      </c>
      <c r="C3612" s="82" t="s">
        <v>9101</v>
      </c>
    </row>
    <row r="3613" spans="1:3" s="79" customFormat="1" ht="139.15" customHeight="1" x14ac:dyDescent="0.2">
      <c r="A3613" s="81">
        <v>20040275</v>
      </c>
      <c r="B3613" s="80" t="s">
        <v>3939</v>
      </c>
      <c r="C3613" s="81" t="s">
        <v>9102</v>
      </c>
    </row>
    <row r="3614" spans="1:3" s="79" customFormat="1" ht="68.849999999999994" customHeight="1" x14ac:dyDescent="0.2">
      <c r="A3614" s="81">
        <v>20040276</v>
      </c>
      <c r="B3614" s="80" t="s">
        <v>3940</v>
      </c>
      <c r="C3614" s="82" t="s">
        <v>9103</v>
      </c>
    </row>
    <row r="3615" spans="1:3" s="79" customFormat="1" ht="28.7" customHeight="1" x14ac:dyDescent="0.2">
      <c r="A3615" s="81">
        <v>20040277</v>
      </c>
      <c r="B3615" s="80" t="s">
        <v>3941</v>
      </c>
      <c r="C3615" s="82" t="s">
        <v>9104</v>
      </c>
    </row>
    <row r="3616" spans="1:3" s="79" customFormat="1" ht="28.7" customHeight="1" x14ac:dyDescent="0.2">
      <c r="A3616" s="81">
        <v>20040278</v>
      </c>
      <c r="B3616" s="80" t="s">
        <v>3928</v>
      </c>
      <c r="C3616" s="82" t="s">
        <v>9105</v>
      </c>
    </row>
    <row r="3617" spans="1:3" s="79" customFormat="1" ht="59.1" customHeight="1" x14ac:dyDescent="0.2">
      <c r="A3617" s="81">
        <v>20040283</v>
      </c>
      <c r="B3617" s="80" t="s">
        <v>3929</v>
      </c>
      <c r="C3617" s="81" t="s">
        <v>9106</v>
      </c>
    </row>
    <row r="3618" spans="1:3" s="79" customFormat="1" ht="38.85" customHeight="1" x14ac:dyDescent="0.2">
      <c r="A3618" s="81">
        <v>20040284</v>
      </c>
      <c r="B3618" s="80" t="s">
        <v>3930</v>
      </c>
      <c r="C3618" s="81" t="s">
        <v>9107</v>
      </c>
    </row>
    <row r="3619" spans="1:3" s="79" customFormat="1" ht="38.85" customHeight="1" x14ac:dyDescent="0.2">
      <c r="A3619" s="81">
        <v>20040285</v>
      </c>
      <c r="B3619" s="80" t="s">
        <v>3931</v>
      </c>
      <c r="C3619" s="82" t="s">
        <v>9108</v>
      </c>
    </row>
    <row r="3620" spans="1:3" s="79" customFormat="1" ht="38.85" customHeight="1" x14ac:dyDescent="0.2">
      <c r="A3620" s="81">
        <v>20040286</v>
      </c>
      <c r="B3620" s="80" t="s">
        <v>3932</v>
      </c>
      <c r="C3620" s="82" t="s">
        <v>9109</v>
      </c>
    </row>
    <row r="3621" spans="1:3" s="79" customFormat="1" ht="158.85" customHeight="1" x14ac:dyDescent="0.2">
      <c r="A3621" s="81">
        <v>20040287</v>
      </c>
      <c r="B3621" s="80" t="s">
        <v>3933</v>
      </c>
      <c r="C3621" s="82" t="s">
        <v>9110</v>
      </c>
    </row>
    <row r="3622" spans="1:3" s="79" customFormat="1" ht="149.25" customHeight="1" x14ac:dyDescent="0.2">
      <c r="A3622" s="81">
        <v>20040288</v>
      </c>
      <c r="B3622" s="80" t="s">
        <v>3934</v>
      </c>
      <c r="C3622" s="82" t="s">
        <v>9111</v>
      </c>
    </row>
    <row r="3623" spans="1:3" s="79" customFormat="1" ht="89.1" customHeight="1" x14ac:dyDescent="0.2">
      <c r="A3623" s="81">
        <v>20040293</v>
      </c>
      <c r="B3623" s="80" t="s">
        <v>3942</v>
      </c>
      <c r="C3623" s="82" t="s">
        <v>9112</v>
      </c>
    </row>
    <row r="3624" spans="1:3" s="79" customFormat="1" ht="78.95" customHeight="1" x14ac:dyDescent="0.2">
      <c r="A3624" s="81">
        <v>20040294</v>
      </c>
      <c r="B3624" s="80" t="s">
        <v>3943</v>
      </c>
      <c r="C3624" s="82" t="s">
        <v>9113</v>
      </c>
    </row>
    <row r="3625" spans="1:3" s="79" customFormat="1" ht="59.1" customHeight="1" x14ac:dyDescent="0.2">
      <c r="A3625" s="81">
        <v>20040299</v>
      </c>
      <c r="B3625" s="80" t="s">
        <v>3936</v>
      </c>
      <c r="C3625" s="82" t="s">
        <v>9114</v>
      </c>
    </row>
    <row r="3626" spans="1:3" s="79" customFormat="1" ht="68.849999999999994" customHeight="1" x14ac:dyDescent="0.2">
      <c r="A3626" s="81">
        <v>20040311</v>
      </c>
      <c r="B3626" s="80" t="s">
        <v>3944</v>
      </c>
      <c r="C3626" s="81" t="s">
        <v>9115</v>
      </c>
    </row>
    <row r="3627" spans="1:3" s="79" customFormat="1" ht="68.849999999999994" customHeight="1" x14ac:dyDescent="0.2">
      <c r="A3627" s="81">
        <v>20040312</v>
      </c>
      <c r="B3627" s="80" t="s">
        <v>3945</v>
      </c>
      <c r="C3627" s="81" t="s">
        <v>9116</v>
      </c>
    </row>
    <row r="3628" spans="1:3" s="79" customFormat="1" ht="49.15" customHeight="1" x14ac:dyDescent="0.2">
      <c r="A3628" s="81">
        <v>20040313</v>
      </c>
      <c r="B3628" s="80" t="s">
        <v>3946</v>
      </c>
      <c r="C3628" s="81" t="s">
        <v>9117</v>
      </c>
    </row>
    <row r="3629" spans="1:3" s="79" customFormat="1" ht="28.7" customHeight="1" x14ac:dyDescent="0.2">
      <c r="A3629" s="81">
        <v>20040314</v>
      </c>
      <c r="B3629" s="80" t="s">
        <v>3947</v>
      </c>
      <c r="C3629" s="82" t="s">
        <v>9118</v>
      </c>
    </row>
    <row r="3630" spans="1:3" s="79" customFormat="1" ht="179.1" customHeight="1" x14ac:dyDescent="0.2">
      <c r="A3630" s="81">
        <v>20040316</v>
      </c>
      <c r="B3630" s="80" t="s">
        <v>3948</v>
      </c>
      <c r="C3630" s="82" t="s">
        <v>9119</v>
      </c>
    </row>
    <row r="3631" spans="1:3" s="79" customFormat="1" ht="189.4" customHeight="1" x14ac:dyDescent="0.2">
      <c r="A3631" s="81">
        <v>20040317</v>
      </c>
      <c r="B3631" s="80" t="s">
        <v>3949</v>
      </c>
      <c r="C3631" s="82" t="s">
        <v>9120</v>
      </c>
    </row>
    <row r="3632" spans="1:3" s="79" customFormat="1" ht="169.15" customHeight="1" x14ac:dyDescent="0.2">
      <c r="A3632" s="81">
        <v>20040318</v>
      </c>
      <c r="B3632" s="80" t="s">
        <v>3950</v>
      </c>
      <c r="C3632" s="81" t="s">
        <v>9121</v>
      </c>
    </row>
    <row r="3633" spans="1:3" s="79" customFormat="1" ht="49.15" customHeight="1" x14ac:dyDescent="0.2">
      <c r="A3633" s="81">
        <v>20040321</v>
      </c>
      <c r="B3633" s="80" t="s">
        <v>3951</v>
      </c>
      <c r="C3633" s="82" t="s">
        <v>9122</v>
      </c>
    </row>
    <row r="3634" spans="1:3" s="79" customFormat="1" ht="59.1" customHeight="1" x14ac:dyDescent="0.2">
      <c r="A3634" s="81">
        <v>20040322</v>
      </c>
      <c r="B3634" s="80" t="s">
        <v>3952</v>
      </c>
      <c r="C3634" s="82" t="s">
        <v>9123</v>
      </c>
    </row>
    <row r="3635" spans="1:3" s="79" customFormat="1" ht="68.849999999999994" customHeight="1" x14ac:dyDescent="0.2">
      <c r="A3635" s="81">
        <v>20040323</v>
      </c>
      <c r="B3635" s="80" t="s">
        <v>3953</v>
      </c>
      <c r="C3635" s="82" t="s">
        <v>9124</v>
      </c>
    </row>
    <row r="3636" spans="1:3" s="79" customFormat="1" ht="198.95" customHeight="1" x14ac:dyDescent="0.2">
      <c r="A3636" s="81">
        <v>20040325</v>
      </c>
      <c r="B3636" s="80" t="s">
        <v>3956</v>
      </c>
      <c r="C3636" s="82" t="s">
        <v>9125</v>
      </c>
    </row>
    <row r="3637" spans="1:3" s="79" customFormat="1" ht="28.7" customHeight="1" x14ac:dyDescent="0.2">
      <c r="A3637" s="81">
        <v>20040339</v>
      </c>
      <c r="B3637" s="80" t="s">
        <v>3954</v>
      </c>
      <c r="C3637" s="82" t="s">
        <v>9126</v>
      </c>
    </row>
    <row r="3638" spans="1:3" s="79" customFormat="1" ht="49.15" customHeight="1" x14ac:dyDescent="0.2">
      <c r="A3638" s="81">
        <v>20040340</v>
      </c>
      <c r="B3638" s="80" t="s">
        <v>3955</v>
      </c>
      <c r="C3638" s="82" t="s">
        <v>9127</v>
      </c>
    </row>
    <row r="3639" spans="1:3" s="79" customFormat="1" ht="28.7" customHeight="1" x14ac:dyDescent="0.2">
      <c r="A3639" s="81">
        <v>20040342</v>
      </c>
      <c r="B3639" s="80" t="s">
        <v>3958</v>
      </c>
      <c r="C3639" s="82" t="s">
        <v>9128</v>
      </c>
    </row>
    <row r="3640" spans="1:3" s="79" customFormat="1" ht="49.15" customHeight="1" x14ac:dyDescent="0.2">
      <c r="A3640" s="81">
        <v>20040343</v>
      </c>
      <c r="B3640" s="80" t="s">
        <v>3959</v>
      </c>
      <c r="C3640" s="82" t="s">
        <v>9129</v>
      </c>
    </row>
    <row r="3641" spans="1:3" s="79" customFormat="1" ht="49.15" customHeight="1" x14ac:dyDescent="0.2">
      <c r="A3641" s="81">
        <v>20040344</v>
      </c>
      <c r="B3641" s="80" t="s">
        <v>3960</v>
      </c>
      <c r="C3641" s="82" t="s">
        <v>9130</v>
      </c>
    </row>
    <row r="3642" spans="1:3" s="79" customFormat="1" ht="59.1" customHeight="1" x14ac:dyDescent="0.2">
      <c r="A3642" s="81">
        <v>20040368</v>
      </c>
      <c r="B3642" s="80" t="s">
        <v>3957</v>
      </c>
      <c r="C3642" s="82" t="s">
        <v>9131</v>
      </c>
    </row>
    <row r="3643" spans="1:3" s="79" customFormat="1" ht="28.7" customHeight="1" x14ac:dyDescent="0.2">
      <c r="A3643" s="81">
        <v>20040380</v>
      </c>
      <c r="B3643" s="80" t="s">
        <v>3961</v>
      </c>
      <c r="C3643" s="82" t="s">
        <v>9132</v>
      </c>
    </row>
    <row r="3644" spans="1:3" s="79" customFormat="1" ht="28.7" customHeight="1" x14ac:dyDescent="0.2">
      <c r="A3644" s="81">
        <v>20040384</v>
      </c>
      <c r="B3644" s="80" t="s">
        <v>3962</v>
      </c>
      <c r="C3644" s="80" t="s">
        <v>9133</v>
      </c>
    </row>
    <row r="3645" spans="1:3" s="79" customFormat="1" ht="28.7" customHeight="1" x14ac:dyDescent="0.2">
      <c r="A3645" s="81">
        <v>20040386</v>
      </c>
      <c r="B3645" s="80" t="s">
        <v>3963</v>
      </c>
      <c r="C3645" s="80" t="s">
        <v>9134</v>
      </c>
    </row>
    <row r="3646" spans="1:3" s="79" customFormat="1" ht="68.849999999999994" customHeight="1" x14ac:dyDescent="0.2">
      <c r="A3646" s="81">
        <v>20040398</v>
      </c>
      <c r="B3646" s="80" t="s">
        <v>3964</v>
      </c>
      <c r="C3646" s="80" t="s">
        <v>9135</v>
      </c>
    </row>
    <row r="3647" spans="1:3" s="79" customFormat="1" ht="38.85" customHeight="1" x14ac:dyDescent="0.2">
      <c r="A3647" s="81">
        <v>20040399</v>
      </c>
      <c r="B3647" s="80" t="s">
        <v>3965</v>
      </c>
      <c r="C3647" s="81" t="s">
        <v>9136</v>
      </c>
    </row>
    <row r="3648" spans="1:3" s="79" customFormat="1" ht="19.149999999999999" customHeight="1" x14ac:dyDescent="0.2">
      <c r="A3648" s="81">
        <v>20040408</v>
      </c>
      <c r="B3648" s="80" t="s">
        <v>11433</v>
      </c>
      <c r="C3648" s="81" t="s">
        <v>9137</v>
      </c>
    </row>
    <row r="3649" spans="1:3" s="79" customFormat="1" ht="19.149999999999999" customHeight="1" x14ac:dyDescent="0.2">
      <c r="A3649" s="81">
        <v>20040410</v>
      </c>
      <c r="B3649" s="80" t="s">
        <v>3966</v>
      </c>
      <c r="C3649" s="82" t="s">
        <v>9138</v>
      </c>
    </row>
    <row r="3650" spans="1:3" s="79" customFormat="1" ht="19.149999999999999" customHeight="1" x14ac:dyDescent="0.2">
      <c r="A3650" s="81">
        <v>20040411</v>
      </c>
      <c r="B3650" s="80" t="s">
        <v>3971</v>
      </c>
      <c r="C3650" s="82" t="s">
        <v>9139</v>
      </c>
    </row>
    <row r="3651" spans="1:3" s="79" customFormat="1" ht="89.1" customHeight="1" x14ac:dyDescent="0.2">
      <c r="A3651" s="81">
        <v>20040413</v>
      </c>
      <c r="B3651" s="80" t="s">
        <v>3972</v>
      </c>
      <c r="C3651" s="82" t="s">
        <v>9140</v>
      </c>
    </row>
    <row r="3652" spans="1:3" s="79" customFormat="1" ht="149.25" customHeight="1" x14ac:dyDescent="0.2">
      <c r="A3652" s="81">
        <v>20040414</v>
      </c>
      <c r="B3652" s="80" t="s">
        <v>3973</v>
      </c>
      <c r="C3652" s="80" t="s">
        <v>9141</v>
      </c>
    </row>
    <row r="3653" spans="1:3" s="79" customFormat="1" ht="78.95" customHeight="1" x14ac:dyDescent="0.2">
      <c r="A3653" s="81">
        <v>20040415</v>
      </c>
      <c r="B3653" s="80" t="s">
        <v>3974</v>
      </c>
      <c r="C3653" s="80" t="s">
        <v>9142</v>
      </c>
    </row>
    <row r="3654" spans="1:3" s="79" customFormat="1" ht="38.85" customHeight="1" x14ac:dyDescent="0.2">
      <c r="A3654" s="81">
        <v>20040416</v>
      </c>
      <c r="B3654" s="80" t="s">
        <v>3975</v>
      </c>
      <c r="C3654" s="80" t="s">
        <v>9143</v>
      </c>
    </row>
    <row r="3655" spans="1:3" s="79" customFormat="1" ht="38.85" customHeight="1" x14ac:dyDescent="0.2">
      <c r="A3655" s="81">
        <v>20040417</v>
      </c>
      <c r="B3655" s="80" t="s">
        <v>3976</v>
      </c>
      <c r="C3655" s="80" t="s">
        <v>9144</v>
      </c>
    </row>
    <row r="3656" spans="1:3" s="79" customFormat="1" ht="19.149999999999999" customHeight="1" x14ac:dyDescent="0.2">
      <c r="A3656" s="81">
        <v>20040419</v>
      </c>
      <c r="B3656" s="80" t="s">
        <v>3970</v>
      </c>
      <c r="C3656" s="81" t="s">
        <v>9145</v>
      </c>
    </row>
    <row r="3657" spans="1:3" s="79" customFormat="1" ht="19.149999999999999" customHeight="1" x14ac:dyDescent="0.2">
      <c r="A3657" s="81">
        <v>20040449</v>
      </c>
      <c r="B3657" s="80" t="s">
        <v>3967</v>
      </c>
      <c r="C3657" s="82" t="s">
        <v>9146</v>
      </c>
    </row>
    <row r="3658" spans="1:3" s="79" customFormat="1" ht="19.149999999999999" customHeight="1" x14ac:dyDescent="0.2">
      <c r="A3658" s="81">
        <v>20040459</v>
      </c>
      <c r="B3658" s="80" t="s">
        <v>3969</v>
      </c>
      <c r="C3658" s="81" t="s">
        <v>9147</v>
      </c>
    </row>
    <row r="3659" spans="1:3" s="79" customFormat="1" ht="19.149999999999999" customHeight="1" x14ac:dyDescent="0.2">
      <c r="A3659" s="81">
        <v>20040490</v>
      </c>
      <c r="B3659" s="80" t="s">
        <v>3977</v>
      </c>
      <c r="C3659" s="82" t="s">
        <v>9148</v>
      </c>
    </row>
    <row r="3660" spans="1:3" s="79" customFormat="1" ht="149.25" customHeight="1" x14ac:dyDescent="0.2">
      <c r="A3660" s="81">
        <v>20040492</v>
      </c>
      <c r="B3660" s="80" t="s">
        <v>3978</v>
      </c>
      <c r="C3660" s="81" t="s">
        <v>9149</v>
      </c>
    </row>
    <row r="3661" spans="1:3" s="79" customFormat="1" ht="38.85" customHeight="1" x14ac:dyDescent="0.2">
      <c r="A3661" s="81">
        <v>20040493</v>
      </c>
      <c r="B3661" s="80" t="s">
        <v>3979</v>
      </c>
      <c r="C3661" s="81" t="s">
        <v>9150</v>
      </c>
    </row>
    <row r="3662" spans="1:3" s="79" customFormat="1" ht="109.35" customHeight="1" x14ac:dyDescent="0.2">
      <c r="A3662" s="81">
        <v>20040494</v>
      </c>
      <c r="B3662" s="80" t="s">
        <v>11260</v>
      </c>
      <c r="C3662" s="82" t="s">
        <v>9151</v>
      </c>
    </row>
    <row r="3663" spans="1:3" s="79" customFormat="1" ht="28.7" customHeight="1" x14ac:dyDescent="0.2">
      <c r="A3663" s="81">
        <v>20040498</v>
      </c>
      <c r="B3663" s="80" t="s">
        <v>3980</v>
      </c>
      <c r="C3663" s="82" t="s">
        <v>9152</v>
      </c>
    </row>
    <row r="3664" spans="1:3" s="79" customFormat="1" ht="59.1" customHeight="1" x14ac:dyDescent="0.2">
      <c r="A3664" s="81">
        <v>20040519</v>
      </c>
      <c r="B3664" s="80" t="s">
        <v>3981</v>
      </c>
      <c r="C3664" s="82" t="s">
        <v>9153</v>
      </c>
    </row>
    <row r="3665" spans="1:3" s="79" customFormat="1" ht="59.1" customHeight="1" x14ac:dyDescent="0.2">
      <c r="A3665" s="81">
        <v>20040539</v>
      </c>
      <c r="B3665" s="80" t="s">
        <v>3989</v>
      </c>
      <c r="C3665" s="82" t="s">
        <v>9154</v>
      </c>
    </row>
    <row r="3666" spans="1:3" s="79" customFormat="1" ht="49.15" customHeight="1" x14ac:dyDescent="0.2">
      <c r="A3666" s="81">
        <v>20040540</v>
      </c>
      <c r="B3666" s="80" t="s">
        <v>3990</v>
      </c>
      <c r="C3666" s="82" t="s">
        <v>9155</v>
      </c>
    </row>
    <row r="3667" spans="1:3" s="79" customFormat="1" ht="49.15" customHeight="1" x14ac:dyDescent="0.2">
      <c r="A3667" s="81">
        <v>20040542</v>
      </c>
      <c r="B3667" s="80" t="s">
        <v>3991</v>
      </c>
      <c r="C3667" s="82" t="s">
        <v>9156</v>
      </c>
    </row>
    <row r="3668" spans="1:3" s="79" customFormat="1" ht="28.7" customHeight="1" x14ac:dyDescent="0.2">
      <c r="A3668" s="81">
        <v>20040543</v>
      </c>
      <c r="B3668" s="80" t="s">
        <v>3992</v>
      </c>
      <c r="C3668" s="82" t="s">
        <v>9157</v>
      </c>
    </row>
    <row r="3669" spans="1:3" s="79" customFormat="1" ht="19.149999999999999" customHeight="1" x14ac:dyDescent="0.2">
      <c r="A3669" s="81">
        <v>20040548</v>
      </c>
      <c r="B3669" s="80" t="s">
        <v>3982</v>
      </c>
      <c r="C3669" s="82" t="s">
        <v>9158</v>
      </c>
    </row>
    <row r="3670" spans="1:3" s="79" customFormat="1" ht="28.7" customHeight="1" x14ac:dyDescent="0.2">
      <c r="A3670" s="81">
        <v>20040550</v>
      </c>
      <c r="B3670" s="80" t="s">
        <v>3983</v>
      </c>
      <c r="C3670" s="82" t="s">
        <v>9159</v>
      </c>
    </row>
    <row r="3671" spans="1:3" s="79" customFormat="1" ht="28.7" customHeight="1" x14ac:dyDescent="0.2">
      <c r="A3671" s="81">
        <v>20040558</v>
      </c>
      <c r="B3671" s="80" t="s">
        <v>3984</v>
      </c>
      <c r="C3671" s="81" t="s">
        <v>9160</v>
      </c>
    </row>
    <row r="3672" spans="1:3" s="79" customFormat="1" ht="38.85" customHeight="1" x14ac:dyDescent="0.2">
      <c r="A3672" s="81">
        <v>20040559</v>
      </c>
      <c r="B3672" s="80" t="s">
        <v>3985</v>
      </c>
      <c r="C3672" s="82" t="s">
        <v>9161</v>
      </c>
    </row>
    <row r="3673" spans="1:3" s="79" customFormat="1" ht="38.85" customHeight="1" x14ac:dyDescent="0.2">
      <c r="A3673" s="81">
        <v>20040560</v>
      </c>
      <c r="B3673" s="80" t="s">
        <v>3986</v>
      </c>
      <c r="C3673" s="82" t="s">
        <v>9162</v>
      </c>
    </row>
    <row r="3674" spans="1:3" s="79" customFormat="1" ht="49.15" customHeight="1" x14ac:dyDescent="0.2">
      <c r="A3674" s="81">
        <v>20040561</v>
      </c>
      <c r="B3674" s="80" t="s">
        <v>3987</v>
      </c>
      <c r="C3674" s="81" t="s">
        <v>9163</v>
      </c>
    </row>
    <row r="3675" spans="1:3" s="79" customFormat="1" ht="89.1" customHeight="1" x14ac:dyDescent="0.2">
      <c r="A3675" s="81">
        <v>20040562</v>
      </c>
      <c r="B3675" s="80" t="s">
        <v>3988</v>
      </c>
      <c r="C3675" s="81" t="s">
        <v>9164</v>
      </c>
    </row>
    <row r="3676" spans="1:3" s="79" customFormat="1" ht="38.85" customHeight="1" x14ac:dyDescent="0.2">
      <c r="A3676" s="81">
        <v>20040563</v>
      </c>
      <c r="B3676" s="80" t="s">
        <v>11334</v>
      </c>
      <c r="C3676" s="81" t="s">
        <v>9165</v>
      </c>
    </row>
    <row r="3677" spans="1:3" s="79" customFormat="1" ht="28.7" customHeight="1" x14ac:dyDescent="0.2">
      <c r="A3677" s="81">
        <v>20040564</v>
      </c>
      <c r="B3677" s="80" t="s">
        <v>4006</v>
      </c>
      <c r="C3677" s="80" t="s">
        <v>9166</v>
      </c>
    </row>
    <row r="3678" spans="1:3" s="79" customFormat="1" ht="89.1" customHeight="1" x14ac:dyDescent="0.2">
      <c r="A3678" s="81">
        <v>20040567</v>
      </c>
      <c r="B3678" s="80" t="s">
        <v>4007</v>
      </c>
      <c r="C3678" s="82" t="s">
        <v>9167</v>
      </c>
    </row>
    <row r="3679" spans="1:3" s="79" customFormat="1" ht="129" customHeight="1" x14ac:dyDescent="0.2">
      <c r="A3679" s="81">
        <v>20040568</v>
      </c>
      <c r="B3679" s="80" t="s">
        <v>3993</v>
      </c>
      <c r="C3679" s="80" t="s">
        <v>9168</v>
      </c>
    </row>
    <row r="3680" spans="1:3" s="79" customFormat="1" ht="118.9" customHeight="1" x14ac:dyDescent="0.2">
      <c r="A3680" s="81">
        <v>20040569</v>
      </c>
      <c r="B3680" s="80" t="s">
        <v>3994</v>
      </c>
      <c r="C3680" s="80" t="s">
        <v>9169</v>
      </c>
    </row>
    <row r="3681" spans="1:3" s="79" customFormat="1" ht="19.149999999999999" customHeight="1" x14ac:dyDescent="0.2">
      <c r="A3681" s="81">
        <v>20040570</v>
      </c>
      <c r="B3681" s="80" t="s">
        <v>3995</v>
      </c>
      <c r="C3681" s="82" t="s">
        <v>9170</v>
      </c>
    </row>
    <row r="3682" spans="1:3" s="79" customFormat="1" ht="49.15" customHeight="1" x14ac:dyDescent="0.2">
      <c r="A3682" s="81">
        <v>20040571</v>
      </c>
      <c r="B3682" s="80" t="s">
        <v>3996</v>
      </c>
      <c r="C3682" s="82" t="s">
        <v>9171</v>
      </c>
    </row>
    <row r="3683" spans="1:3" s="79" customFormat="1" ht="19.149999999999999" customHeight="1" x14ac:dyDescent="0.2">
      <c r="A3683" s="81">
        <v>20040572</v>
      </c>
      <c r="B3683" s="80" t="s">
        <v>3997</v>
      </c>
      <c r="C3683" s="82" t="s">
        <v>9172</v>
      </c>
    </row>
    <row r="3684" spans="1:3" s="79" customFormat="1" ht="19.149999999999999" customHeight="1" x14ac:dyDescent="0.2">
      <c r="A3684" s="81">
        <v>20040573</v>
      </c>
      <c r="B3684" s="80" t="s">
        <v>3998</v>
      </c>
      <c r="C3684" s="82" t="s">
        <v>9173</v>
      </c>
    </row>
    <row r="3685" spans="1:3" s="79" customFormat="1" ht="78.95" customHeight="1" x14ac:dyDescent="0.2">
      <c r="A3685" s="81">
        <v>20040574</v>
      </c>
      <c r="B3685" s="80" t="s">
        <v>3999</v>
      </c>
      <c r="C3685" s="82" t="s">
        <v>9174</v>
      </c>
    </row>
    <row r="3686" spans="1:3" s="79" customFormat="1" ht="78.95" customHeight="1" x14ac:dyDescent="0.2">
      <c r="A3686" s="81">
        <v>20040575</v>
      </c>
      <c r="B3686" s="80" t="s">
        <v>4000</v>
      </c>
      <c r="C3686" s="82" t="s">
        <v>9175</v>
      </c>
    </row>
    <row r="3687" spans="1:3" s="79" customFormat="1" ht="19.149999999999999" customHeight="1" x14ac:dyDescent="0.2">
      <c r="A3687" s="81">
        <v>20040577</v>
      </c>
      <c r="B3687" s="80" t="s">
        <v>4001</v>
      </c>
      <c r="C3687" s="82" t="s">
        <v>9176</v>
      </c>
    </row>
    <row r="3688" spans="1:3" s="79" customFormat="1" ht="19.149999999999999" customHeight="1" x14ac:dyDescent="0.2">
      <c r="A3688" s="81">
        <v>20040578</v>
      </c>
      <c r="B3688" s="80" t="s">
        <v>4002</v>
      </c>
      <c r="C3688" s="82" t="s">
        <v>9177</v>
      </c>
    </row>
    <row r="3689" spans="1:3" s="79" customFormat="1" ht="19.149999999999999" customHeight="1" x14ac:dyDescent="0.2">
      <c r="A3689" s="81">
        <v>20040579</v>
      </c>
      <c r="B3689" s="80" t="s">
        <v>4003</v>
      </c>
      <c r="C3689" s="82" t="s">
        <v>9178</v>
      </c>
    </row>
    <row r="3690" spans="1:3" s="79" customFormat="1" ht="19.149999999999999" customHeight="1" x14ac:dyDescent="0.2">
      <c r="A3690" s="81">
        <v>20040580</v>
      </c>
      <c r="B3690" s="80" t="s">
        <v>4004</v>
      </c>
      <c r="C3690" s="82" t="s">
        <v>9179</v>
      </c>
    </row>
    <row r="3691" spans="1:3" s="79" customFormat="1" ht="19.149999999999999" customHeight="1" x14ac:dyDescent="0.2">
      <c r="A3691" s="81">
        <v>20040581</v>
      </c>
      <c r="B3691" s="80" t="s">
        <v>4005</v>
      </c>
      <c r="C3691" s="82" t="s">
        <v>9180</v>
      </c>
    </row>
    <row r="3692" spans="1:3" s="79" customFormat="1" ht="19.149999999999999" customHeight="1" x14ac:dyDescent="0.2">
      <c r="A3692" s="81">
        <v>20040589</v>
      </c>
      <c r="B3692" s="80" t="s">
        <v>4008</v>
      </c>
      <c r="C3692" s="80" t="s">
        <v>9181</v>
      </c>
    </row>
    <row r="3693" spans="1:3" s="79" customFormat="1" ht="19.149999999999999" customHeight="1" x14ac:dyDescent="0.2">
      <c r="A3693" s="81">
        <v>20040590</v>
      </c>
      <c r="B3693" s="80" t="s">
        <v>4011</v>
      </c>
      <c r="C3693" s="82" t="s">
        <v>9182</v>
      </c>
    </row>
    <row r="3694" spans="1:3" s="79" customFormat="1" ht="19.149999999999999" customHeight="1" x14ac:dyDescent="0.2">
      <c r="A3694" s="81">
        <v>20040599</v>
      </c>
      <c r="B3694" s="80" t="s">
        <v>4012</v>
      </c>
      <c r="C3694" s="81" t="s">
        <v>9183</v>
      </c>
    </row>
    <row r="3695" spans="1:3" s="79" customFormat="1" ht="19.149999999999999" customHeight="1" x14ac:dyDescent="0.2">
      <c r="A3695" s="81">
        <v>20040600</v>
      </c>
      <c r="B3695" s="80" t="s">
        <v>4013</v>
      </c>
      <c r="C3695" s="81" t="s">
        <v>9184</v>
      </c>
    </row>
    <row r="3696" spans="1:3" s="79" customFormat="1" ht="19.149999999999999" customHeight="1" x14ac:dyDescent="0.2">
      <c r="A3696" s="81">
        <v>20040610</v>
      </c>
      <c r="B3696" s="80" t="s">
        <v>4009</v>
      </c>
      <c r="C3696" s="81" t="s">
        <v>9185</v>
      </c>
    </row>
    <row r="3697" spans="1:3" s="79" customFormat="1" ht="38.85" customHeight="1" x14ac:dyDescent="0.2">
      <c r="A3697" s="81">
        <v>20040611</v>
      </c>
      <c r="B3697" s="80" t="s">
        <v>4010</v>
      </c>
      <c r="C3697" s="81" t="s">
        <v>9186</v>
      </c>
    </row>
    <row r="3698" spans="1:3" s="79" customFormat="1" ht="89.1" customHeight="1" x14ac:dyDescent="0.2">
      <c r="A3698" s="81">
        <v>20040658</v>
      </c>
      <c r="B3698" s="80" t="s">
        <v>4014</v>
      </c>
      <c r="C3698" s="82" t="s">
        <v>10958</v>
      </c>
    </row>
    <row r="3699" spans="1:3" s="79" customFormat="1" ht="109.35" customHeight="1" x14ac:dyDescent="0.2">
      <c r="A3699" s="81">
        <v>20040663</v>
      </c>
      <c r="B3699" s="80" t="s">
        <v>4015</v>
      </c>
      <c r="C3699" s="81" t="s">
        <v>9187</v>
      </c>
    </row>
    <row r="3700" spans="1:3" s="79" customFormat="1" ht="179.1" customHeight="1" x14ac:dyDescent="0.2">
      <c r="A3700" s="81">
        <v>20040678</v>
      </c>
      <c r="B3700" s="80" t="s">
        <v>4023</v>
      </c>
      <c r="C3700" s="82" t="s">
        <v>9188</v>
      </c>
    </row>
    <row r="3701" spans="1:3" s="79" customFormat="1" ht="198.95" customHeight="1" x14ac:dyDescent="0.2">
      <c r="A3701" s="81">
        <v>20040679</v>
      </c>
      <c r="B3701" s="80" t="s">
        <v>4024</v>
      </c>
      <c r="C3701" s="82" t="s">
        <v>9189</v>
      </c>
    </row>
    <row r="3702" spans="1:3" s="79" customFormat="1" ht="28.7" customHeight="1" x14ac:dyDescent="0.2">
      <c r="A3702" s="81">
        <v>20040681</v>
      </c>
      <c r="B3702" s="80" t="s">
        <v>4025</v>
      </c>
      <c r="C3702" s="82" t="s">
        <v>9190</v>
      </c>
    </row>
    <row r="3703" spans="1:3" s="79" customFormat="1" ht="59.1" customHeight="1" x14ac:dyDescent="0.2">
      <c r="A3703" s="81">
        <v>20040689</v>
      </c>
      <c r="B3703" s="80" t="s">
        <v>4027</v>
      </c>
      <c r="C3703" s="81" t="s">
        <v>9191</v>
      </c>
    </row>
    <row r="3704" spans="1:3" s="79" customFormat="1" ht="59.1" customHeight="1" x14ac:dyDescent="0.2">
      <c r="A3704" s="81">
        <v>20040699</v>
      </c>
      <c r="B3704" s="80" t="s">
        <v>4026</v>
      </c>
      <c r="C3704" s="82" t="s">
        <v>9192</v>
      </c>
    </row>
    <row r="3705" spans="1:3" s="79" customFormat="1" ht="68.849999999999994" customHeight="1" x14ac:dyDescent="0.2">
      <c r="A3705" s="81">
        <v>20040709</v>
      </c>
      <c r="B3705" s="80" t="s">
        <v>4028</v>
      </c>
      <c r="C3705" s="82" t="s">
        <v>9193</v>
      </c>
    </row>
    <row r="3706" spans="1:3" s="79" customFormat="1" ht="89.1" customHeight="1" x14ac:dyDescent="0.2">
      <c r="A3706" s="81">
        <v>20040710</v>
      </c>
      <c r="B3706" s="80" t="s">
        <v>4029</v>
      </c>
      <c r="C3706" s="82" t="s">
        <v>9194</v>
      </c>
    </row>
    <row r="3707" spans="1:3" s="79" customFormat="1" ht="89.1" customHeight="1" x14ac:dyDescent="0.2">
      <c r="A3707" s="81">
        <v>20040722</v>
      </c>
      <c r="B3707" s="80" t="s">
        <v>4035</v>
      </c>
      <c r="C3707" s="81" t="s">
        <v>9195</v>
      </c>
    </row>
    <row r="3708" spans="1:3" s="79" customFormat="1" ht="49.15" customHeight="1" x14ac:dyDescent="0.2">
      <c r="A3708" s="81">
        <v>20040723</v>
      </c>
      <c r="B3708" s="80" t="s">
        <v>4036</v>
      </c>
      <c r="C3708" s="81" t="s">
        <v>9196</v>
      </c>
    </row>
    <row r="3709" spans="1:3" s="79" customFormat="1" ht="38.85" customHeight="1" x14ac:dyDescent="0.2">
      <c r="A3709" s="81">
        <v>20040769</v>
      </c>
      <c r="B3709" s="80" t="s">
        <v>4033</v>
      </c>
      <c r="C3709" s="82" t="s">
        <v>9197</v>
      </c>
    </row>
    <row r="3710" spans="1:3" s="79" customFormat="1" ht="49.15" customHeight="1" x14ac:dyDescent="0.2">
      <c r="A3710" s="81">
        <v>20040779</v>
      </c>
      <c r="B3710" s="80" t="s">
        <v>4034</v>
      </c>
      <c r="C3710" s="82" t="s">
        <v>9198</v>
      </c>
    </row>
    <row r="3711" spans="1:3" s="79" customFormat="1" ht="99.2" customHeight="1" x14ac:dyDescent="0.2">
      <c r="A3711" s="81">
        <v>20040799</v>
      </c>
      <c r="B3711" s="80" t="s">
        <v>4040</v>
      </c>
      <c r="C3711" s="81" t="s">
        <v>9199</v>
      </c>
    </row>
    <row r="3712" spans="1:3" s="79" customFormat="1" ht="109.35" customHeight="1" x14ac:dyDescent="0.2">
      <c r="A3712" s="81">
        <v>20040801</v>
      </c>
      <c r="B3712" s="80" t="s">
        <v>4041</v>
      </c>
      <c r="C3712" s="82" t="s">
        <v>9200</v>
      </c>
    </row>
    <row r="3713" spans="1:3" s="79" customFormat="1" ht="68.849999999999994" customHeight="1" x14ac:dyDescent="0.2">
      <c r="A3713" s="81">
        <v>20040808</v>
      </c>
      <c r="B3713" s="80" t="s">
        <v>4037</v>
      </c>
      <c r="C3713" s="82" t="s">
        <v>9201</v>
      </c>
    </row>
    <row r="3714" spans="1:3" s="79" customFormat="1" ht="28.7" customHeight="1" x14ac:dyDescent="0.2">
      <c r="A3714" s="81">
        <v>20040809</v>
      </c>
      <c r="B3714" s="80" t="s">
        <v>4038</v>
      </c>
      <c r="C3714" s="82" t="s">
        <v>9202</v>
      </c>
    </row>
    <row r="3715" spans="1:3" s="79" customFormat="1" ht="99.2" customHeight="1" x14ac:dyDescent="0.2">
      <c r="A3715" s="81">
        <v>20040810</v>
      </c>
      <c r="B3715" s="80" t="s">
        <v>4039</v>
      </c>
      <c r="C3715" s="82" t="s">
        <v>9203</v>
      </c>
    </row>
    <row r="3716" spans="1:3" s="79" customFormat="1" ht="78.95" customHeight="1" x14ac:dyDescent="0.2">
      <c r="A3716" s="81">
        <v>20040848</v>
      </c>
      <c r="B3716" s="80" t="s">
        <v>4042</v>
      </c>
      <c r="C3716" s="82" t="s">
        <v>9204</v>
      </c>
    </row>
    <row r="3717" spans="1:3" s="79" customFormat="1" ht="59.1" customHeight="1" x14ac:dyDescent="0.2">
      <c r="A3717" s="81">
        <v>20040852</v>
      </c>
      <c r="B3717" s="80" t="s">
        <v>4045</v>
      </c>
      <c r="C3717" s="82" t="s">
        <v>9205</v>
      </c>
    </row>
    <row r="3718" spans="1:3" s="79" customFormat="1" ht="49.15" customHeight="1" x14ac:dyDescent="0.2">
      <c r="A3718" s="81">
        <v>20040853</v>
      </c>
      <c r="B3718" s="80" t="s">
        <v>4046</v>
      </c>
      <c r="C3718" s="82" t="s">
        <v>9206</v>
      </c>
    </row>
    <row r="3719" spans="1:3" s="79" customFormat="1" ht="38.85" customHeight="1" x14ac:dyDescent="0.2">
      <c r="A3719" s="81">
        <v>20040854</v>
      </c>
      <c r="B3719" s="80" t="s">
        <v>4047</v>
      </c>
      <c r="C3719" s="82" t="s">
        <v>9207</v>
      </c>
    </row>
    <row r="3720" spans="1:3" s="79" customFormat="1" ht="49.15" customHeight="1" x14ac:dyDescent="0.2">
      <c r="A3720" s="81">
        <v>20040855</v>
      </c>
      <c r="B3720" s="80" t="s">
        <v>4048</v>
      </c>
      <c r="C3720" s="82" t="s">
        <v>9208</v>
      </c>
    </row>
    <row r="3721" spans="1:3" s="79" customFormat="1" ht="68.849999999999994" customHeight="1" x14ac:dyDescent="0.2">
      <c r="A3721" s="81">
        <v>20040856</v>
      </c>
      <c r="B3721" s="80" t="s">
        <v>4049</v>
      </c>
      <c r="C3721" s="82" t="s">
        <v>9209</v>
      </c>
    </row>
    <row r="3722" spans="1:3" s="79" customFormat="1" ht="68.849999999999994" customHeight="1" x14ac:dyDescent="0.2">
      <c r="A3722" s="81">
        <v>20040857</v>
      </c>
      <c r="B3722" s="80" t="s">
        <v>4050</v>
      </c>
      <c r="C3722" s="82" t="s">
        <v>9210</v>
      </c>
    </row>
    <row r="3723" spans="1:3" s="79" customFormat="1" ht="78.95" customHeight="1" x14ac:dyDescent="0.2">
      <c r="A3723" s="81">
        <v>20040858</v>
      </c>
      <c r="B3723" s="80" t="s">
        <v>4043</v>
      </c>
      <c r="C3723" s="82" t="s">
        <v>10924</v>
      </c>
    </row>
    <row r="3724" spans="1:3" s="79" customFormat="1" ht="89.1" customHeight="1" x14ac:dyDescent="0.2">
      <c r="A3724" s="81">
        <v>20040868</v>
      </c>
      <c r="B3724" s="80" t="s">
        <v>4044</v>
      </c>
      <c r="C3724" s="81" t="s">
        <v>9211</v>
      </c>
    </row>
    <row r="3725" spans="1:3" s="79" customFormat="1" ht="89.1" customHeight="1" x14ac:dyDescent="0.2">
      <c r="A3725" s="81">
        <v>20040869</v>
      </c>
      <c r="B3725" s="80" t="s">
        <v>4082</v>
      </c>
      <c r="C3725" s="82" t="s">
        <v>9212</v>
      </c>
    </row>
    <row r="3726" spans="1:3" s="79" customFormat="1" ht="78.95" customHeight="1" x14ac:dyDescent="0.2">
      <c r="A3726" s="81">
        <v>20040870</v>
      </c>
      <c r="B3726" s="80" t="s">
        <v>4083</v>
      </c>
      <c r="C3726" s="81" t="s">
        <v>9213</v>
      </c>
    </row>
    <row r="3727" spans="1:3" s="79" customFormat="1" ht="28.7" customHeight="1" x14ac:dyDescent="0.2">
      <c r="A3727" s="81">
        <v>20040872</v>
      </c>
      <c r="B3727" s="80" t="s">
        <v>11434</v>
      </c>
      <c r="C3727" s="81" t="s">
        <v>11517</v>
      </c>
    </row>
    <row r="3728" spans="1:3" s="79" customFormat="1" ht="78.95" customHeight="1" x14ac:dyDescent="0.2">
      <c r="A3728" s="81">
        <v>20040873</v>
      </c>
      <c r="B3728" s="80" t="s">
        <v>4084</v>
      </c>
      <c r="C3728" s="82" t="s">
        <v>9214</v>
      </c>
    </row>
    <row r="3729" spans="1:3" s="79" customFormat="1" ht="28.7" customHeight="1" x14ac:dyDescent="0.2">
      <c r="A3729" s="81">
        <v>20040874</v>
      </c>
      <c r="B3729" s="80" t="s">
        <v>4085</v>
      </c>
      <c r="C3729" s="82" t="s">
        <v>9215</v>
      </c>
    </row>
    <row r="3730" spans="1:3" s="79" customFormat="1" ht="239.45" customHeight="1" x14ac:dyDescent="0.2">
      <c r="A3730" s="81">
        <v>20040878</v>
      </c>
      <c r="B3730" s="80" t="s">
        <v>4051</v>
      </c>
      <c r="C3730" s="82" t="s">
        <v>9216</v>
      </c>
    </row>
    <row r="3731" spans="1:3" s="79" customFormat="1" ht="169.15" customHeight="1" x14ac:dyDescent="0.2">
      <c r="A3731" s="81">
        <v>20040879</v>
      </c>
      <c r="B3731" s="80" t="s">
        <v>4052</v>
      </c>
      <c r="C3731" s="82" t="s">
        <v>9217</v>
      </c>
    </row>
    <row r="3732" spans="1:3" s="79" customFormat="1" ht="38.85" customHeight="1" x14ac:dyDescent="0.2">
      <c r="A3732" s="81">
        <v>20040880</v>
      </c>
      <c r="B3732" s="80" t="s">
        <v>4053</v>
      </c>
      <c r="C3732" s="82" t="s">
        <v>9218</v>
      </c>
    </row>
    <row r="3733" spans="1:3" s="79" customFormat="1" ht="89.1" customHeight="1" x14ac:dyDescent="0.2">
      <c r="A3733" s="81">
        <v>20040881</v>
      </c>
      <c r="B3733" s="80" t="s">
        <v>4054</v>
      </c>
      <c r="C3733" s="82" t="s">
        <v>9219</v>
      </c>
    </row>
    <row r="3734" spans="1:3" s="79" customFormat="1" ht="68.849999999999994" customHeight="1" x14ac:dyDescent="0.2">
      <c r="A3734" s="81">
        <v>20040882</v>
      </c>
      <c r="B3734" s="80" t="s">
        <v>4055</v>
      </c>
      <c r="C3734" s="82" t="s">
        <v>9220</v>
      </c>
    </row>
    <row r="3735" spans="1:3" s="79" customFormat="1" ht="78.95" customHeight="1" x14ac:dyDescent="0.2">
      <c r="A3735" s="81">
        <v>20040883</v>
      </c>
      <c r="B3735" s="80" t="s">
        <v>4056</v>
      </c>
      <c r="C3735" s="82" t="s">
        <v>9221</v>
      </c>
    </row>
    <row r="3736" spans="1:3" s="79" customFormat="1" ht="38.85" customHeight="1" x14ac:dyDescent="0.2">
      <c r="A3736" s="81">
        <v>20040884</v>
      </c>
      <c r="B3736" s="80" t="s">
        <v>4057</v>
      </c>
      <c r="C3736" s="82" t="s">
        <v>9222</v>
      </c>
    </row>
    <row r="3737" spans="1:3" s="79" customFormat="1" ht="38.85" customHeight="1" x14ac:dyDescent="0.2">
      <c r="A3737" s="81">
        <v>20040885</v>
      </c>
      <c r="B3737" s="80" t="s">
        <v>4058</v>
      </c>
      <c r="C3737" s="82" t="s">
        <v>9223</v>
      </c>
    </row>
    <row r="3738" spans="1:3" s="79" customFormat="1" ht="38.85" customHeight="1" x14ac:dyDescent="0.2">
      <c r="A3738" s="81">
        <v>20040886</v>
      </c>
      <c r="B3738" s="80" t="s">
        <v>4059</v>
      </c>
      <c r="C3738" s="82" t="s">
        <v>9224</v>
      </c>
    </row>
    <row r="3739" spans="1:3" s="79" customFormat="1" ht="38.85" customHeight="1" x14ac:dyDescent="0.2">
      <c r="A3739" s="81">
        <v>20040887</v>
      </c>
      <c r="B3739" s="80" t="s">
        <v>4060</v>
      </c>
      <c r="C3739" s="82" t="s">
        <v>9225</v>
      </c>
    </row>
    <row r="3740" spans="1:3" s="79" customFormat="1" ht="38.85" customHeight="1" x14ac:dyDescent="0.2">
      <c r="A3740" s="81">
        <v>20040888</v>
      </c>
      <c r="B3740" s="80" t="s">
        <v>4061</v>
      </c>
      <c r="C3740" s="82" t="s">
        <v>9226</v>
      </c>
    </row>
    <row r="3741" spans="1:3" s="79" customFormat="1" ht="38.85" customHeight="1" x14ac:dyDescent="0.2">
      <c r="A3741" s="81">
        <v>20040889</v>
      </c>
      <c r="B3741" s="80" t="s">
        <v>4062</v>
      </c>
      <c r="C3741" s="82" t="s">
        <v>9227</v>
      </c>
    </row>
    <row r="3742" spans="1:3" s="79" customFormat="1" ht="38.85" customHeight="1" x14ac:dyDescent="0.2">
      <c r="A3742" s="81">
        <v>20040890</v>
      </c>
      <c r="B3742" s="80" t="s">
        <v>4063</v>
      </c>
      <c r="C3742" s="82" t="s">
        <v>9228</v>
      </c>
    </row>
    <row r="3743" spans="1:3" s="79" customFormat="1" ht="38.85" customHeight="1" x14ac:dyDescent="0.2">
      <c r="A3743" s="81">
        <v>20040891</v>
      </c>
      <c r="B3743" s="80" t="s">
        <v>4064</v>
      </c>
      <c r="C3743" s="82" t="s">
        <v>9229</v>
      </c>
    </row>
    <row r="3744" spans="1:3" s="79" customFormat="1" ht="38.85" customHeight="1" x14ac:dyDescent="0.2">
      <c r="A3744" s="81">
        <v>20040893</v>
      </c>
      <c r="B3744" s="80" t="s">
        <v>4088</v>
      </c>
      <c r="C3744" s="82" t="s">
        <v>9230</v>
      </c>
    </row>
    <row r="3745" spans="1:3" s="79" customFormat="1" ht="38.85" customHeight="1" x14ac:dyDescent="0.2">
      <c r="A3745" s="81">
        <v>20040894</v>
      </c>
      <c r="B3745" s="80" t="s">
        <v>4089</v>
      </c>
      <c r="C3745" s="82" t="s">
        <v>9231</v>
      </c>
    </row>
    <row r="3746" spans="1:3" s="79" customFormat="1" ht="49.15" customHeight="1" x14ac:dyDescent="0.2">
      <c r="A3746" s="81">
        <v>20040898</v>
      </c>
      <c r="B3746" s="80" t="s">
        <v>4065</v>
      </c>
      <c r="C3746" s="82" t="s">
        <v>9232</v>
      </c>
    </row>
    <row r="3747" spans="1:3" s="79" customFormat="1" ht="49.15" customHeight="1" x14ac:dyDescent="0.2">
      <c r="A3747" s="81">
        <v>20040899</v>
      </c>
      <c r="B3747" s="80" t="s">
        <v>4066</v>
      </c>
      <c r="C3747" s="82" t="s">
        <v>9233</v>
      </c>
    </row>
    <row r="3748" spans="1:3" s="79" customFormat="1" ht="68.849999999999994" customHeight="1" x14ac:dyDescent="0.2">
      <c r="A3748" s="81">
        <v>20040900</v>
      </c>
      <c r="B3748" s="80" t="s">
        <v>4067</v>
      </c>
      <c r="C3748" s="82" t="s">
        <v>9234</v>
      </c>
    </row>
    <row r="3749" spans="1:3" s="79" customFormat="1" ht="68.849999999999994" customHeight="1" x14ac:dyDescent="0.2">
      <c r="A3749" s="81">
        <v>20040901</v>
      </c>
      <c r="B3749" s="80" t="s">
        <v>4068</v>
      </c>
      <c r="C3749" s="82" t="s">
        <v>9235</v>
      </c>
    </row>
    <row r="3750" spans="1:3" s="79" customFormat="1" ht="38.85" customHeight="1" x14ac:dyDescent="0.2">
      <c r="A3750" s="81">
        <v>20040902</v>
      </c>
      <c r="B3750" s="80" t="s">
        <v>4069</v>
      </c>
      <c r="C3750" s="82" t="s">
        <v>9236</v>
      </c>
    </row>
    <row r="3751" spans="1:3" s="79" customFormat="1" ht="38.85" customHeight="1" x14ac:dyDescent="0.2">
      <c r="A3751" s="81">
        <v>20040903</v>
      </c>
      <c r="B3751" s="80" t="s">
        <v>4070</v>
      </c>
      <c r="C3751" s="82" t="s">
        <v>9237</v>
      </c>
    </row>
    <row r="3752" spans="1:3" s="79" customFormat="1" ht="38.85" customHeight="1" x14ac:dyDescent="0.2">
      <c r="A3752" s="81">
        <v>20040904</v>
      </c>
      <c r="B3752" s="80" t="s">
        <v>4071</v>
      </c>
      <c r="C3752" s="82" t="s">
        <v>9238</v>
      </c>
    </row>
    <row r="3753" spans="1:3" s="79" customFormat="1" ht="38.85" customHeight="1" x14ac:dyDescent="0.2">
      <c r="A3753" s="81">
        <v>20040905</v>
      </c>
      <c r="B3753" s="80" t="s">
        <v>4072</v>
      </c>
      <c r="C3753" s="82" t="s">
        <v>9239</v>
      </c>
    </row>
    <row r="3754" spans="1:3" s="79" customFormat="1" ht="38.85" customHeight="1" x14ac:dyDescent="0.2">
      <c r="A3754" s="81">
        <v>20040906</v>
      </c>
      <c r="B3754" s="80" t="s">
        <v>4073</v>
      </c>
      <c r="C3754" s="82" t="s">
        <v>9240</v>
      </c>
    </row>
    <row r="3755" spans="1:3" s="79" customFormat="1" ht="38.85" customHeight="1" x14ac:dyDescent="0.2">
      <c r="A3755" s="81">
        <v>20040907</v>
      </c>
      <c r="B3755" s="80" t="s">
        <v>4074</v>
      </c>
      <c r="C3755" s="82" t="s">
        <v>9241</v>
      </c>
    </row>
    <row r="3756" spans="1:3" s="79" customFormat="1" ht="38.85" customHeight="1" x14ac:dyDescent="0.2">
      <c r="A3756" s="81">
        <v>20040908</v>
      </c>
      <c r="B3756" s="80" t="s">
        <v>4075</v>
      </c>
      <c r="C3756" s="82" t="s">
        <v>9242</v>
      </c>
    </row>
    <row r="3757" spans="1:3" s="79" customFormat="1" ht="38.85" customHeight="1" x14ac:dyDescent="0.2">
      <c r="A3757" s="81">
        <v>20040909</v>
      </c>
      <c r="B3757" s="80" t="s">
        <v>4076</v>
      </c>
      <c r="C3757" s="82" t="s">
        <v>9243</v>
      </c>
    </row>
    <row r="3758" spans="1:3" s="79" customFormat="1" ht="38.85" customHeight="1" x14ac:dyDescent="0.2">
      <c r="A3758" s="81">
        <v>20040910</v>
      </c>
      <c r="B3758" s="80" t="s">
        <v>4077</v>
      </c>
      <c r="C3758" s="82" t="s">
        <v>9244</v>
      </c>
    </row>
    <row r="3759" spans="1:3" s="79" customFormat="1" ht="38.85" customHeight="1" x14ac:dyDescent="0.2">
      <c r="A3759" s="81">
        <v>20040911</v>
      </c>
      <c r="B3759" s="80" t="s">
        <v>4078</v>
      </c>
      <c r="C3759" s="82" t="s">
        <v>9245</v>
      </c>
    </row>
    <row r="3760" spans="1:3" s="79" customFormat="1" ht="38.85" customHeight="1" x14ac:dyDescent="0.2">
      <c r="A3760" s="81">
        <v>20040912</v>
      </c>
      <c r="B3760" s="80" t="s">
        <v>4079</v>
      </c>
      <c r="C3760" s="82" t="s">
        <v>9246</v>
      </c>
    </row>
    <row r="3761" spans="1:3" s="79" customFormat="1" ht="38.85" customHeight="1" x14ac:dyDescent="0.2">
      <c r="A3761" s="81">
        <v>20040913</v>
      </c>
      <c r="B3761" s="80" t="s">
        <v>4080</v>
      </c>
      <c r="C3761" s="82" t="s">
        <v>9247</v>
      </c>
    </row>
    <row r="3762" spans="1:3" s="79" customFormat="1" ht="38.85" customHeight="1" x14ac:dyDescent="0.2">
      <c r="A3762" s="81">
        <v>20040914</v>
      </c>
      <c r="B3762" s="80" t="s">
        <v>4081</v>
      </c>
      <c r="C3762" s="82" t="s">
        <v>9248</v>
      </c>
    </row>
    <row r="3763" spans="1:3" s="79" customFormat="1" ht="49.15" customHeight="1" x14ac:dyDescent="0.2">
      <c r="A3763" s="81">
        <v>20040915</v>
      </c>
      <c r="B3763" s="80" t="s">
        <v>4086</v>
      </c>
      <c r="C3763" s="81" t="s">
        <v>9249</v>
      </c>
    </row>
    <row r="3764" spans="1:3" s="79" customFormat="1" ht="59.1" customHeight="1" x14ac:dyDescent="0.2">
      <c r="A3764" s="81">
        <v>20040916</v>
      </c>
      <c r="B3764" s="80" t="s">
        <v>4087</v>
      </c>
      <c r="C3764" s="82" t="s">
        <v>9250</v>
      </c>
    </row>
    <row r="3765" spans="1:3" s="79" customFormat="1" ht="49.15" customHeight="1" x14ac:dyDescent="0.2">
      <c r="A3765" s="81">
        <v>20040918</v>
      </c>
      <c r="B3765" s="80" t="s">
        <v>4090</v>
      </c>
      <c r="C3765" s="82" t="s">
        <v>9251</v>
      </c>
    </row>
    <row r="3766" spans="1:3" s="79" customFormat="1" ht="49.15" customHeight="1" x14ac:dyDescent="0.2">
      <c r="A3766" s="81">
        <v>20040920</v>
      </c>
      <c r="B3766" s="80" t="s">
        <v>4091</v>
      </c>
      <c r="C3766" s="82" t="s">
        <v>9252</v>
      </c>
    </row>
    <row r="3767" spans="1:3" s="79" customFormat="1" ht="89.1" customHeight="1" x14ac:dyDescent="0.2">
      <c r="A3767" s="81">
        <v>20040923</v>
      </c>
      <c r="B3767" s="80" t="s">
        <v>4094</v>
      </c>
      <c r="C3767" s="82" t="s">
        <v>9253</v>
      </c>
    </row>
    <row r="3768" spans="1:3" s="79" customFormat="1" ht="59.1" customHeight="1" x14ac:dyDescent="0.2">
      <c r="A3768" s="81">
        <v>20040927</v>
      </c>
      <c r="B3768" s="80" t="s">
        <v>4096</v>
      </c>
      <c r="C3768" s="82" t="s">
        <v>9254</v>
      </c>
    </row>
    <row r="3769" spans="1:3" s="79" customFormat="1" ht="59.1" customHeight="1" x14ac:dyDescent="0.2">
      <c r="A3769" s="81">
        <v>20040928</v>
      </c>
      <c r="B3769" s="80" t="s">
        <v>4092</v>
      </c>
      <c r="C3769" s="82" t="s">
        <v>9255</v>
      </c>
    </row>
    <row r="3770" spans="1:3" s="79" customFormat="1" ht="68.849999999999994" customHeight="1" x14ac:dyDescent="0.2">
      <c r="A3770" s="81">
        <v>20040929</v>
      </c>
      <c r="B3770" s="80" t="s">
        <v>4093</v>
      </c>
      <c r="C3770" s="82" t="s">
        <v>9256</v>
      </c>
    </row>
    <row r="3771" spans="1:3" s="79" customFormat="1" ht="38.85" customHeight="1" x14ac:dyDescent="0.2">
      <c r="A3771" s="81">
        <v>20040932</v>
      </c>
      <c r="B3771" s="80" t="s">
        <v>4095</v>
      </c>
      <c r="C3771" s="81" t="s">
        <v>9257</v>
      </c>
    </row>
    <row r="3772" spans="1:3" s="79" customFormat="1" ht="59.1" customHeight="1" x14ac:dyDescent="0.2">
      <c r="A3772" s="81">
        <v>20040935</v>
      </c>
      <c r="B3772" s="80" t="s">
        <v>4097</v>
      </c>
      <c r="C3772" s="82" t="s">
        <v>9258</v>
      </c>
    </row>
    <row r="3773" spans="1:3" s="79" customFormat="1" ht="38.85" customHeight="1" x14ac:dyDescent="0.2">
      <c r="A3773" s="81">
        <v>20040937</v>
      </c>
      <c r="B3773" s="80" t="s">
        <v>4098</v>
      </c>
      <c r="C3773" s="82" t="s">
        <v>9259</v>
      </c>
    </row>
    <row r="3774" spans="1:3" s="79" customFormat="1" ht="38.85" customHeight="1" x14ac:dyDescent="0.2">
      <c r="A3774" s="81">
        <v>20040938</v>
      </c>
      <c r="B3774" s="80" t="s">
        <v>11335</v>
      </c>
      <c r="C3774" s="82" t="s">
        <v>9260</v>
      </c>
    </row>
    <row r="3775" spans="1:3" s="79" customFormat="1" ht="109.35" customHeight="1" x14ac:dyDescent="0.2">
      <c r="A3775" s="81">
        <v>20040941</v>
      </c>
      <c r="B3775" s="80" t="s">
        <v>11336</v>
      </c>
      <c r="C3775" s="82" t="s">
        <v>9261</v>
      </c>
    </row>
    <row r="3776" spans="1:3" s="79" customFormat="1" ht="19.149999999999999" customHeight="1" x14ac:dyDescent="0.2">
      <c r="A3776" s="81">
        <v>20040942</v>
      </c>
      <c r="B3776" s="80" t="s">
        <v>4108</v>
      </c>
      <c r="C3776" s="80" t="s">
        <v>9262</v>
      </c>
    </row>
    <row r="3777" spans="1:3" s="79" customFormat="1" ht="19.149999999999999" customHeight="1" x14ac:dyDescent="0.2">
      <c r="A3777" s="81">
        <v>20040943</v>
      </c>
      <c r="B3777" s="80" t="s">
        <v>4109</v>
      </c>
      <c r="C3777" s="80" t="s">
        <v>9263</v>
      </c>
    </row>
    <row r="3778" spans="1:3" s="79" customFormat="1" ht="78.95" customHeight="1" x14ac:dyDescent="0.2">
      <c r="A3778" s="81">
        <v>20040951</v>
      </c>
      <c r="B3778" s="80" t="s">
        <v>4106</v>
      </c>
      <c r="C3778" s="81" t="s">
        <v>9264</v>
      </c>
    </row>
    <row r="3779" spans="1:3" s="79" customFormat="1" ht="78.95" customHeight="1" x14ac:dyDescent="0.2">
      <c r="A3779" s="81">
        <v>20040953</v>
      </c>
      <c r="B3779" s="80" t="s">
        <v>4110</v>
      </c>
      <c r="C3779" s="80" t="s">
        <v>9265</v>
      </c>
    </row>
    <row r="3780" spans="1:3" s="79" customFormat="1" ht="19.149999999999999" customHeight="1" x14ac:dyDescent="0.2">
      <c r="A3780" s="81">
        <v>20040998</v>
      </c>
      <c r="B3780" s="80" t="s">
        <v>4099</v>
      </c>
      <c r="C3780" s="82" t="s">
        <v>9266</v>
      </c>
    </row>
    <row r="3781" spans="1:3" s="79" customFormat="1" ht="19.149999999999999" customHeight="1" x14ac:dyDescent="0.2">
      <c r="A3781" s="81">
        <v>20040999</v>
      </c>
      <c r="B3781" s="80" t="s">
        <v>4101</v>
      </c>
      <c r="C3781" s="82" t="s">
        <v>9267</v>
      </c>
    </row>
    <row r="3782" spans="1:3" s="79" customFormat="1" ht="149.25" customHeight="1" x14ac:dyDescent="0.2">
      <c r="A3782" s="81">
        <v>20041009</v>
      </c>
      <c r="B3782" s="80" t="s">
        <v>4107</v>
      </c>
      <c r="C3782" s="82" t="s">
        <v>9268</v>
      </c>
    </row>
    <row r="3783" spans="1:3" s="79" customFormat="1" ht="19.149999999999999" customHeight="1" x14ac:dyDescent="0.2">
      <c r="A3783" s="81">
        <v>20041048</v>
      </c>
      <c r="B3783" s="80" t="s">
        <v>11211</v>
      </c>
      <c r="C3783" s="82" t="s">
        <v>11212</v>
      </c>
    </row>
    <row r="3784" spans="1:3" s="79" customFormat="1" ht="78.95" customHeight="1" x14ac:dyDescent="0.2">
      <c r="A3784" s="81">
        <v>20041098</v>
      </c>
      <c r="B3784" s="80" t="s">
        <v>4111</v>
      </c>
      <c r="C3784" s="82" t="s">
        <v>9269</v>
      </c>
    </row>
    <row r="3785" spans="1:3" s="79" customFormat="1" ht="49.15" customHeight="1" x14ac:dyDescent="0.2">
      <c r="A3785" s="81">
        <v>20041099</v>
      </c>
      <c r="B3785" s="80" t="s">
        <v>4114</v>
      </c>
      <c r="C3785" s="82" t="s">
        <v>9270</v>
      </c>
    </row>
    <row r="3786" spans="1:3" s="79" customFormat="1" ht="78.95" customHeight="1" x14ac:dyDescent="0.2">
      <c r="A3786" s="81">
        <v>20041100</v>
      </c>
      <c r="B3786" s="80" t="s">
        <v>4118</v>
      </c>
      <c r="C3786" s="82" t="s">
        <v>9271</v>
      </c>
    </row>
    <row r="3787" spans="1:3" s="79" customFormat="1" ht="59.1" customHeight="1" x14ac:dyDescent="0.2">
      <c r="A3787" s="81">
        <v>20041101</v>
      </c>
      <c r="B3787" s="80" t="s">
        <v>4122</v>
      </c>
      <c r="C3787" s="81" t="s">
        <v>9272</v>
      </c>
    </row>
    <row r="3788" spans="1:3" s="79" customFormat="1" ht="28.7" customHeight="1" x14ac:dyDescent="0.2">
      <c r="A3788" s="81">
        <v>20041102</v>
      </c>
      <c r="B3788" s="80" t="s">
        <v>4123</v>
      </c>
      <c r="C3788" s="82" t="s">
        <v>9273</v>
      </c>
    </row>
    <row r="3789" spans="1:3" s="79" customFormat="1" ht="38.85" customHeight="1" x14ac:dyDescent="0.2">
      <c r="A3789" s="81">
        <v>20041103</v>
      </c>
      <c r="B3789" s="80" t="s">
        <v>4124</v>
      </c>
      <c r="C3789" s="82" t="s">
        <v>9274</v>
      </c>
    </row>
    <row r="3790" spans="1:3" s="79" customFormat="1" ht="68.849999999999994" customHeight="1" x14ac:dyDescent="0.2">
      <c r="A3790" s="81">
        <v>20041104</v>
      </c>
      <c r="B3790" s="80" t="s">
        <v>4125</v>
      </c>
      <c r="C3790" s="82" t="s">
        <v>9275</v>
      </c>
    </row>
    <row r="3791" spans="1:3" s="79" customFormat="1" ht="209.1" customHeight="1" x14ac:dyDescent="0.2">
      <c r="A3791" s="81">
        <v>20041105</v>
      </c>
      <c r="B3791" s="80" t="s">
        <v>4126</v>
      </c>
      <c r="C3791" s="82" t="s">
        <v>9276</v>
      </c>
    </row>
    <row r="3792" spans="1:3" s="79" customFormat="1" ht="59.1" customHeight="1" x14ac:dyDescent="0.2">
      <c r="A3792" s="81">
        <v>20041108</v>
      </c>
      <c r="B3792" s="80" t="s">
        <v>4112</v>
      </c>
      <c r="C3792" s="82" t="s">
        <v>9277</v>
      </c>
    </row>
    <row r="3793" spans="1:3" s="79" customFormat="1" ht="59.1" customHeight="1" x14ac:dyDescent="0.2">
      <c r="A3793" s="81">
        <v>20041128</v>
      </c>
      <c r="B3793" s="80" t="s">
        <v>4113</v>
      </c>
      <c r="C3793" s="82" t="s">
        <v>9278</v>
      </c>
    </row>
    <row r="3794" spans="1:3" s="79" customFormat="1" ht="59.1" customHeight="1" x14ac:dyDescent="0.2">
      <c r="A3794" s="81">
        <v>20041130</v>
      </c>
      <c r="B3794" s="80" t="s">
        <v>4127</v>
      </c>
      <c r="C3794" s="82" t="s">
        <v>9279</v>
      </c>
    </row>
    <row r="3795" spans="1:3" s="79" customFormat="1" ht="59.1" customHeight="1" x14ac:dyDescent="0.2">
      <c r="A3795" s="81">
        <v>20041131</v>
      </c>
      <c r="B3795" s="80" t="s">
        <v>4128</v>
      </c>
      <c r="C3795" s="80" t="s">
        <v>9280</v>
      </c>
    </row>
    <row r="3796" spans="1:3" s="79" customFormat="1" ht="38.85" customHeight="1" x14ac:dyDescent="0.2">
      <c r="A3796" s="81">
        <v>20041138</v>
      </c>
      <c r="B3796" s="80" t="s">
        <v>4115</v>
      </c>
      <c r="C3796" s="82" t="s">
        <v>9281</v>
      </c>
    </row>
    <row r="3797" spans="1:3" s="79" customFormat="1" ht="28.7" customHeight="1" x14ac:dyDescent="0.2">
      <c r="A3797" s="81">
        <v>20041139</v>
      </c>
      <c r="B3797" s="80" t="s">
        <v>4116</v>
      </c>
      <c r="C3797" s="82" t="s">
        <v>9282</v>
      </c>
    </row>
    <row r="3798" spans="1:3" s="79" customFormat="1" ht="59.1" customHeight="1" x14ac:dyDescent="0.2">
      <c r="A3798" s="81">
        <v>20041140</v>
      </c>
      <c r="B3798" s="80" t="s">
        <v>4117</v>
      </c>
      <c r="C3798" s="82" t="s">
        <v>9283</v>
      </c>
    </row>
    <row r="3799" spans="1:3" s="79" customFormat="1" ht="19.149999999999999" customHeight="1" x14ac:dyDescent="0.2">
      <c r="A3799" s="81">
        <v>20041141</v>
      </c>
      <c r="B3799" s="80" t="s">
        <v>4119</v>
      </c>
      <c r="C3799" s="82" t="s">
        <v>9284</v>
      </c>
    </row>
    <row r="3800" spans="1:3" s="79" customFormat="1" ht="89.1" customHeight="1" x14ac:dyDescent="0.2">
      <c r="A3800" s="81">
        <v>20041142</v>
      </c>
      <c r="B3800" s="80" t="s">
        <v>4120</v>
      </c>
      <c r="C3800" s="82" t="s">
        <v>9285</v>
      </c>
    </row>
    <row r="3801" spans="1:3" s="79" customFormat="1" ht="89.1" customHeight="1" x14ac:dyDescent="0.2">
      <c r="A3801" s="81">
        <v>20041143</v>
      </c>
      <c r="B3801" s="80" t="s">
        <v>4121</v>
      </c>
      <c r="C3801" s="82" t="s">
        <v>9286</v>
      </c>
    </row>
    <row r="3802" spans="1:3" s="79" customFormat="1" ht="89.1" customHeight="1" x14ac:dyDescent="0.2">
      <c r="A3802" s="81">
        <v>20041148</v>
      </c>
      <c r="B3802" s="80" t="s">
        <v>4129</v>
      </c>
      <c r="C3802" s="82" t="s">
        <v>9287</v>
      </c>
    </row>
    <row r="3803" spans="1:3" s="79" customFormat="1" ht="59.1" customHeight="1" x14ac:dyDescent="0.2">
      <c r="A3803" s="107">
        <v>20041149</v>
      </c>
      <c r="B3803" s="106" t="s">
        <v>4130</v>
      </c>
      <c r="C3803" s="107" t="s">
        <v>9288</v>
      </c>
    </row>
    <row r="3804" spans="1:3" s="79" customFormat="1" ht="59.1" customHeight="1" x14ac:dyDescent="0.2">
      <c r="A3804" s="106"/>
      <c r="B3804" s="106"/>
      <c r="C3804" s="107"/>
    </row>
    <row r="3805" spans="1:3" s="79" customFormat="1" ht="59.1" customHeight="1" x14ac:dyDescent="0.2">
      <c r="A3805" s="81">
        <v>20041150</v>
      </c>
      <c r="B3805" s="80" t="s">
        <v>4131</v>
      </c>
      <c r="C3805" s="81" t="s">
        <v>9289</v>
      </c>
    </row>
    <row r="3806" spans="1:3" s="79" customFormat="1" ht="38.85" customHeight="1" x14ac:dyDescent="0.2">
      <c r="A3806" s="81">
        <v>20041151</v>
      </c>
      <c r="B3806" s="80" t="s">
        <v>4132</v>
      </c>
      <c r="C3806" s="81" t="s">
        <v>9290</v>
      </c>
    </row>
    <row r="3807" spans="1:3" s="79" customFormat="1" ht="409.6" customHeight="1" x14ac:dyDescent="0.2">
      <c r="A3807" s="81">
        <v>20041152</v>
      </c>
      <c r="B3807" s="80" t="s">
        <v>4133</v>
      </c>
      <c r="C3807" s="81" t="s">
        <v>9291</v>
      </c>
    </row>
    <row r="3808" spans="1:3" s="79" customFormat="1" ht="10.15" customHeight="1" x14ac:dyDescent="0.2">
      <c r="A3808" s="81">
        <v>20041153</v>
      </c>
      <c r="B3808" s="80" t="s">
        <v>4134</v>
      </c>
      <c r="C3808" s="81" t="s">
        <v>9292</v>
      </c>
    </row>
    <row r="3809" spans="1:3" s="79" customFormat="1" ht="249" customHeight="1" x14ac:dyDescent="0.2">
      <c r="A3809" s="81">
        <v>20041154</v>
      </c>
      <c r="B3809" s="80" t="s">
        <v>4135</v>
      </c>
      <c r="C3809" s="81" t="s">
        <v>9293</v>
      </c>
    </row>
    <row r="3810" spans="1:3" s="79" customFormat="1" ht="179.1" customHeight="1" x14ac:dyDescent="0.2">
      <c r="A3810" s="81">
        <v>20041155</v>
      </c>
      <c r="B3810" s="80" t="s">
        <v>4136</v>
      </c>
      <c r="C3810" s="81" t="s">
        <v>9294</v>
      </c>
    </row>
    <row r="3811" spans="1:3" s="79" customFormat="1" ht="179.1" customHeight="1" x14ac:dyDescent="0.2">
      <c r="A3811" s="81">
        <v>20041156</v>
      </c>
      <c r="B3811" s="80" t="s">
        <v>4137</v>
      </c>
      <c r="C3811" s="81" t="s">
        <v>9295</v>
      </c>
    </row>
    <row r="3812" spans="1:3" s="79" customFormat="1" ht="249" customHeight="1" x14ac:dyDescent="0.2">
      <c r="A3812" s="81">
        <v>20041158</v>
      </c>
      <c r="B3812" s="80" t="s">
        <v>4138</v>
      </c>
      <c r="C3812" s="82" t="s">
        <v>9296</v>
      </c>
    </row>
    <row r="3813" spans="1:3" s="79" customFormat="1" ht="279.39999999999998" customHeight="1" x14ac:dyDescent="0.2">
      <c r="A3813" s="81">
        <v>20041159</v>
      </c>
      <c r="B3813" s="80" t="s">
        <v>4139</v>
      </c>
      <c r="C3813" s="82" t="s">
        <v>9297</v>
      </c>
    </row>
    <row r="3814" spans="1:3" s="79" customFormat="1" ht="189.4" customHeight="1" x14ac:dyDescent="0.2">
      <c r="A3814" s="81">
        <v>20041160</v>
      </c>
      <c r="B3814" s="80" t="s">
        <v>4140</v>
      </c>
      <c r="C3814" s="82" t="s">
        <v>9298</v>
      </c>
    </row>
    <row r="3815" spans="1:3" s="79" customFormat="1" ht="198.95" customHeight="1" x14ac:dyDescent="0.2">
      <c r="A3815" s="81">
        <v>20041161</v>
      </c>
      <c r="B3815" s="80" t="s">
        <v>4141</v>
      </c>
      <c r="C3815" s="82" t="s">
        <v>9299</v>
      </c>
    </row>
    <row r="3816" spans="1:3" s="79" customFormat="1" ht="28.7" customHeight="1" x14ac:dyDescent="0.2">
      <c r="A3816" s="81">
        <v>20041179</v>
      </c>
      <c r="B3816" s="80" t="s">
        <v>4143</v>
      </c>
      <c r="C3816" s="81" t="s">
        <v>9300</v>
      </c>
    </row>
    <row r="3817" spans="1:3" s="79" customFormat="1" ht="28.7" customHeight="1" x14ac:dyDescent="0.2">
      <c r="A3817" s="81">
        <v>20041180</v>
      </c>
      <c r="B3817" s="80" t="s">
        <v>4145</v>
      </c>
      <c r="C3817" s="81" t="s">
        <v>9301</v>
      </c>
    </row>
    <row r="3818" spans="1:3" s="79" customFormat="1" ht="28.7" customHeight="1" x14ac:dyDescent="0.2">
      <c r="A3818" s="81">
        <v>20041198</v>
      </c>
      <c r="B3818" s="80" t="s">
        <v>4142</v>
      </c>
      <c r="C3818" s="82" t="s">
        <v>9302</v>
      </c>
    </row>
    <row r="3819" spans="1:3" s="79" customFormat="1" ht="28.7" customHeight="1" x14ac:dyDescent="0.2">
      <c r="A3819" s="81">
        <v>20041238</v>
      </c>
      <c r="B3819" s="80" t="s">
        <v>4144</v>
      </c>
      <c r="C3819" s="81" t="s">
        <v>9303</v>
      </c>
    </row>
    <row r="3820" spans="1:3" s="79" customFormat="1" ht="59.1" customHeight="1" x14ac:dyDescent="0.2">
      <c r="A3820" s="81">
        <v>20041248</v>
      </c>
      <c r="B3820" s="80" t="s">
        <v>4146</v>
      </c>
      <c r="C3820" s="82" t="s">
        <v>9304</v>
      </c>
    </row>
    <row r="3821" spans="1:3" s="79" customFormat="1" ht="149.25" customHeight="1" x14ac:dyDescent="0.2">
      <c r="A3821" s="81">
        <v>20041280</v>
      </c>
      <c r="B3821" s="80" t="s">
        <v>4157</v>
      </c>
      <c r="C3821" s="80" t="s">
        <v>9305</v>
      </c>
    </row>
    <row r="3822" spans="1:3" s="79" customFormat="1" ht="38.85" customHeight="1" x14ac:dyDescent="0.2">
      <c r="A3822" s="81">
        <v>20041281</v>
      </c>
      <c r="B3822" s="80" t="s">
        <v>11376</v>
      </c>
      <c r="C3822" s="82" t="s">
        <v>10959</v>
      </c>
    </row>
    <row r="3823" spans="1:3" s="79" customFormat="1" ht="68.849999999999994" customHeight="1" x14ac:dyDescent="0.2">
      <c r="A3823" s="81">
        <v>20041282</v>
      </c>
      <c r="B3823" s="80" t="s">
        <v>11377</v>
      </c>
      <c r="C3823" s="82" t="s">
        <v>11378</v>
      </c>
    </row>
    <row r="3824" spans="1:3" s="79" customFormat="1" ht="38.85" customHeight="1" x14ac:dyDescent="0.2">
      <c r="A3824" s="81">
        <v>20041285</v>
      </c>
      <c r="B3824" s="80" t="s">
        <v>4160</v>
      </c>
      <c r="C3824" s="81" t="s">
        <v>9306</v>
      </c>
    </row>
    <row r="3825" spans="1:3" s="79" customFormat="1" ht="19.149999999999999" customHeight="1" x14ac:dyDescent="0.2">
      <c r="A3825" s="81">
        <v>20041286</v>
      </c>
      <c r="B3825" s="80" t="s">
        <v>4161</v>
      </c>
      <c r="C3825" s="81" t="s">
        <v>9307</v>
      </c>
    </row>
    <row r="3826" spans="1:3" s="79" customFormat="1" ht="68.849999999999994" customHeight="1" x14ac:dyDescent="0.2">
      <c r="A3826" s="81">
        <v>20041287</v>
      </c>
      <c r="B3826" s="80" t="s">
        <v>4162</v>
      </c>
      <c r="C3826" s="81" t="s">
        <v>9308</v>
      </c>
    </row>
    <row r="3827" spans="1:3" s="79" customFormat="1" ht="59.1" customHeight="1" x14ac:dyDescent="0.2">
      <c r="A3827" s="107">
        <v>20041308</v>
      </c>
      <c r="B3827" s="106" t="s">
        <v>4158</v>
      </c>
      <c r="C3827" s="108" t="s">
        <v>9309</v>
      </c>
    </row>
    <row r="3828" spans="1:3" s="79" customFormat="1" ht="369.6" customHeight="1" x14ac:dyDescent="0.2">
      <c r="A3828" s="106"/>
      <c r="B3828" s="106"/>
      <c r="C3828" s="108"/>
    </row>
    <row r="3829" spans="1:3" s="79" customFormat="1" ht="299.10000000000002" customHeight="1" x14ac:dyDescent="0.2">
      <c r="A3829" s="81">
        <v>20041318</v>
      </c>
      <c r="B3829" s="80" t="s">
        <v>4159</v>
      </c>
      <c r="C3829" s="82" t="s">
        <v>9310</v>
      </c>
    </row>
    <row r="3830" spans="1:3" s="79" customFormat="1" ht="409.6" customHeight="1" x14ac:dyDescent="0.2">
      <c r="A3830" s="81">
        <v>20041319</v>
      </c>
      <c r="B3830" s="80" t="s">
        <v>4163</v>
      </c>
      <c r="C3830" s="82" t="s">
        <v>11435</v>
      </c>
    </row>
    <row r="3831" spans="1:3" s="79" customFormat="1" ht="11.25" customHeight="1" x14ac:dyDescent="0.2">
      <c r="A3831" s="81">
        <v>20041321</v>
      </c>
      <c r="B3831" s="80" t="s">
        <v>4164</v>
      </c>
      <c r="C3831" s="82" t="s">
        <v>9311</v>
      </c>
    </row>
    <row r="3832" spans="1:3" s="79" customFormat="1" ht="59.1" customHeight="1" x14ac:dyDescent="0.2">
      <c r="A3832" s="81">
        <v>20041342</v>
      </c>
      <c r="B3832" s="80" t="s">
        <v>4165</v>
      </c>
      <c r="C3832" s="81" t="s">
        <v>9312</v>
      </c>
    </row>
    <row r="3833" spans="1:3" s="79" customFormat="1" ht="38.85" customHeight="1" x14ac:dyDescent="0.2">
      <c r="A3833" s="81">
        <v>20041345</v>
      </c>
      <c r="B3833" s="80" t="s">
        <v>4169</v>
      </c>
      <c r="C3833" s="82" t="s">
        <v>9313</v>
      </c>
    </row>
    <row r="3834" spans="1:3" s="79" customFormat="1" ht="49.15" customHeight="1" x14ac:dyDescent="0.2">
      <c r="A3834" s="81">
        <v>20041346</v>
      </c>
      <c r="B3834" s="80" t="s">
        <v>4170</v>
      </c>
      <c r="C3834" s="82" t="s">
        <v>9314</v>
      </c>
    </row>
    <row r="3835" spans="1:3" s="79" customFormat="1" ht="89.1" customHeight="1" x14ac:dyDescent="0.2">
      <c r="A3835" s="81">
        <v>20041347</v>
      </c>
      <c r="B3835" s="80" t="s">
        <v>4171</v>
      </c>
      <c r="C3835" s="82" t="s">
        <v>9315</v>
      </c>
    </row>
    <row r="3836" spans="1:3" s="79" customFormat="1" ht="269.25" customHeight="1" x14ac:dyDescent="0.2">
      <c r="A3836" s="81">
        <v>20041369</v>
      </c>
      <c r="B3836" s="80" t="s">
        <v>4166</v>
      </c>
      <c r="C3836" s="82" t="s">
        <v>9316</v>
      </c>
    </row>
    <row r="3837" spans="1:3" s="79" customFormat="1" ht="28.7" customHeight="1" x14ac:dyDescent="0.2">
      <c r="A3837" s="81">
        <v>20041371</v>
      </c>
      <c r="B3837" s="80" t="s">
        <v>4167</v>
      </c>
      <c r="C3837" s="82" t="s">
        <v>9317</v>
      </c>
    </row>
    <row r="3838" spans="1:3" s="79" customFormat="1" ht="28.7" customHeight="1" x14ac:dyDescent="0.2">
      <c r="A3838" s="81">
        <v>20041372</v>
      </c>
      <c r="B3838" s="80" t="s">
        <v>4168</v>
      </c>
      <c r="C3838" s="82" t="s">
        <v>9318</v>
      </c>
    </row>
    <row r="3839" spans="1:3" s="79" customFormat="1" ht="28.7" customHeight="1" x14ac:dyDescent="0.2">
      <c r="A3839" s="81">
        <v>20041373</v>
      </c>
      <c r="B3839" s="80" t="s">
        <v>4174</v>
      </c>
      <c r="C3839" s="82" t="s">
        <v>9319</v>
      </c>
    </row>
    <row r="3840" spans="1:3" s="79" customFormat="1" ht="28.7" customHeight="1" x14ac:dyDescent="0.2">
      <c r="A3840" s="81">
        <v>20041374</v>
      </c>
      <c r="B3840" s="80" t="s">
        <v>4175</v>
      </c>
      <c r="C3840" s="82" t="s">
        <v>9320</v>
      </c>
    </row>
    <row r="3841" spans="1:3" s="79" customFormat="1" ht="38.85" customHeight="1" x14ac:dyDescent="0.2">
      <c r="A3841" s="81">
        <v>20041375</v>
      </c>
      <c r="B3841" s="80" t="s">
        <v>4176</v>
      </c>
      <c r="C3841" s="82" t="s">
        <v>9321</v>
      </c>
    </row>
    <row r="3842" spans="1:3" s="79" customFormat="1" ht="28.7" customHeight="1" x14ac:dyDescent="0.2">
      <c r="A3842" s="81">
        <v>20041376</v>
      </c>
      <c r="B3842" s="80" t="s">
        <v>4177</v>
      </c>
      <c r="C3842" s="82" t="s">
        <v>9322</v>
      </c>
    </row>
    <row r="3843" spans="1:3" s="79" customFormat="1" ht="28.7" customHeight="1" x14ac:dyDescent="0.2">
      <c r="A3843" s="81">
        <v>20041377</v>
      </c>
      <c r="B3843" s="80" t="s">
        <v>4178</v>
      </c>
      <c r="C3843" s="82" t="s">
        <v>9323</v>
      </c>
    </row>
    <row r="3844" spans="1:3" s="79" customFormat="1" ht="28.7" customHeight="1" x14ac:dyDescent="0.2">
      <c r="A3844" s="81">
        <v>20041388</v>
      </c>
      <c r="B3844" s="80" t="s">
        <v>4172</v>
      </c>
      <c r="C3844" s="82" t="s">
        <v>9324</v>
      </c>
    </row>
    <row r="3845" spans="1:3" s="79" customFormat="1" ht="28.7" customHeight="1" x14ac:dyDescent="0.2">
      <c r="A3845" s="81">
        <v>20041389</v>
      </c>
      <c r="B3845" s="80" t="s">
        <v>4173</v>
      </c>
      <c r="C3845" s="82" t="s">
        <v>9325</v>
      </c>
    </row>
    <row r="3846" spans="1:3" s="79" customFormat="1" ht="28.7" customHeight="1" x14ac:dyDescent="0.2">
      <c r="A3846" s="81">
        <v>20041391</v>
      </c>
      <c r="B3846" s="80" t="s">
        <v>4211</v>
      </c>
      <c r="C3846" s="82" t="s">
        <v>9326</v>
      </c>
    </row>
    <row r="3847" spans="1:3" s="79" customFormat="1" ht="28.7" customHeight="1" x14ac:dyDescent="0.2">
      <c r="A3847" s="81">
        <v>20041392</v>
      </c>
      <c r="B3847" s="80" t="s">
        <v>4212</v>
      </c>
      <c r="C3847" s="82" t="s">
        <v>9327</v>
      </c>
    </row>
    <row r="3848" spans="1:3" s="79" customFormat="1" ht="28.7" customHeight="1" x14ac:dyDescent="0.2">
      <c r="A3848" s="81">
        <v>20041393</v>
      </c>
      <c r="B3848" s="80" t="s">
        <v>4213</v>
      </c>
      <c r="C3848" s="81" t="s">
        <v>9328</v>
      </c>
    </row>
    <row r="3849" spans="1:3" s="79" customFormat="1" ht="28.7" customHeight="1" x14ac:dyDescent="0.2">
      <c r="A3849" s="81">
        <v>20041394</v>
      </c>
      <c r="B3849" s="80" t="s">
        <v>4214</v>
      </c>
      <c r="C3849" s="82" t="s">
        <v>9329</v>
      </c>
    </row>
    <row r="3850" spans="1:3" s="79" customFormat="1" ht="28.7" customHeight="1" x14ac:dyDescent="0.2">
      <c r="A3850" s="81">
        <v>20041395</v>
      </c>
      <c r="B3850" s="80" t="s">
        <v>4215</v>
      </c>
      <c r="C3850" s="82" t="s">
        <v>9330</v>
      </c>
    </row>
    <row r="3851" spans="1:3" s="79" customFormat="1" ht="28.7" customHeight="1" x14ac:dyDescent="0.2">
      <c r="A3851" s="81">
        <v>20041397</v>
      </c>
      <c r="B3851" s="80" t="s">
        <v>4260</v>
      </c>
      <c r="C3851" s="82" t="s">
        <v>9331</v>
      </c>
    </row>
    <row r="3852" spans="1:3" s="79" customFormat="1" ht="89.1" customHeight="1" x14ac:dyDescent="0.2">
      <c r="A3852" s="81">
        <v>20041398</v>
      </c>
      <c r="B3852" s="80" t="s">
        <v>4179</v>
      </c>
      <c r="C3852" s="82" t="s">
        <v>9332</v>
      </c>
    </row>
    <row r="3853" spans="1:3" s="79" customFormat="1" ht="28.7" customHeight="1" x14ac:dyDescent="0.2">
      <c r="A3853" s="81">
        <v>20041399</v>
      </c>
      <c r="B3853" s="80" t="s">
        <v>4180</v>
      </c>
      <c r="C3853" s="82" t="s">
        <v>9333</v>
      </c>
    </row>
    <row r="3854" spans="1:3" s="79" customFormat="1" ht="28.7" customHeight="1" x14ac:dyDescent="0.2">
      <c r="A3854" s="81">
        <v>20041400</v>
      </c>
      <c r="B3854" s="80" t="s">
        <v>4181</v>
      </c>
      <c r="C3854" s="82" t="s">
        <v>9334</v>
      </c>
    </row>
    <row r="3855" spans="1:3" s="79" customFormat="1" ht="28.7" customHeight="1" x14ac:dyDescent="0.2">
      <c r="A3855" s="81">
        <v>20041401</v>
      </c>
      <c r="B3855" s="80" t="s">
        <v>4182</v>
      </c>
      <c r="C3855" s="82" t="s">
        <v>9335</v>
      </c>
    </row>
    <row r="3856" spans="1:3" s="79" customFormat="1" ht="28.7" customHeight="1" x14ac:dyDescent="0.2">
      <c r="A3856" s="81">
        <v>20041402</v>
      </c>
      <c r="B3856" s="80" t="s">
        <v>4183</v>
      </c>
      <c r="C3856" s="82" t="s">
        <v>9336</v>
      </c>
    </row>
    <row r="3857" spans="1:3" s="79" customFormat="1" ht="28.7" customHeight="1" x14ac:dyDescent="0.2">
      <c r="A3857" s="81">
        <v>20041403</v>
      </c>
      <c r="B3857" s="80" t="s">
        <v>4184</v>
      </c>
      <c r="C3857" s="82" t="s">
        <v>9337</v>
      </c>
    </row>
    <row r="3858" spans="1:3" s="79" customFormat="1" ht="28.7" customHeight="1" x14ac:dyDescent="0.2">
      <c r="A3858" s="81">
        <v>20041404</v>
      </c>
      <c r="B3858" s="80" t="s">
        <v>4185</v>
      </c>
      <c r="C3858" s="82" t="s">
        <v>9338</v>
      </c>
    </row>
    <row r="3859" spans="1:3" s="79" customFormat="1" ht="28.7" customHeight="1" x14ac:dyDescent="0.2">
      <c r="A3859" s="81">
        <v>20041405</v>
      </c>
      <c r="B3859" s="80" t="s">
        <v>4186</v>
      </c>
      <c r="C3859" s="82" t="s">
        <v>9339</v>
      </c>
    </row>
    <row r="3860" spans="1:3" s="79" customFormat="1" ht="28.7" customHeight="1" x14ac:dyDescent="0.2">
      <c r="A3860" s="81">
        <v>20041406</v>
      </c>
      <c r="B3860" s="80" t="s">
        <v>4187</v>
      </c>
      <c r="C3860" s="82" t="s">
        <v>9340</v>
      </c>
    </row>
    <row r="3861" spans="1:3" s="79" customFormat="1" ht="28.7" customHeight="1" x14ac:dyDescent="0.2">
      <c r="A3861" s="81">
        <v>20041407</v>
      </c>
      <c r="B3861" s="80" t="s">
        <v>4188</v>
      </c>
      <c r="C3861" s="82" t="s">
        <v>9341</v>
      </c>
    </row>
    <row r="3862" spans="1:3" s="79" customFormat="1" ht="28.7" customHeight="1" x14ac:dyDescent="0.2">
      <c r="A3862" s="81">
        <v>20041408</v>
      </c>
      <c r="B3862" s="80" t="s">
        <v>4189</v>
      </c>
      <c r="C3862" s="82" t="s">
        <v>9342</v>
      </c>
    </row>
    <row r="3863" spans="1:3" s="79" customFormat="1" ht="28.7" customHeight="1" x14ac:dyDescent="0.2">
      <c r="A3863" s="81">
        <v>20041409</v>
      </c>
      <c r="B3863" s="80" t="s">
        <v>4190</v>
      </c>
      <c r="C3863" s="82" t="s">
        <v>9343</v>
      </c>
    </row>
    <row r="3864" spans="1:3" s="79" customFormat="1" ht="28.7" customHeight="1" x14ac:dyDescent="0.2">
      <c r="A3864" s="81">
        <v>20041410</v>
      </c>
      <c r="B3864" s="80" t="s">
        <v>4191</v>
      </c>
      <c r="C3864" s="82" t="s">
        <v>9344</v>
      </c>
    </row>
    <row r="3865" spans="1:3" s="79" customFormat="1" ht="28.7" customHeight="1" x14ac:dyDescent="0.2">
      <c r="A3865" s="81">
        <v>20041411</v>
      </c>
      <c r="B3865" s="80" t="s">
        <v>4192</v>
      </c>
      <c r="C3865" s="82" t="s">
        <v>9345</v>
      </c>
    </row>
    <row r="3866" spans="1:3" s="79" customFormat="1" ht="28.7" customHeight="1" x14ac:dyDescent="0.2">
      <c r="A3866" s="81">
        <v>20041412</v>
      </c>
      <c r="B3866" s="80" t="s">
        <v>4193</v>
      </c>
      <c r="C3866" s="82" t="s">
        <v>9346</v>
      </c>
    </row>
    <row r="3867" spans="1:3" s="79" customFormat="1" ht="28.7" customHeight="1" x14ac:dyDescent="0.2">
      <c r="A3867" s="81">
        <v>20041413</v>
      </c>
      <c r="B3867" s="80" t="s">
        <v>4194</v>
      </c>
      <c r="C3867" s="82" t="s">
        <v>9347</v>
      </c>
    </row>
    <row r="3868" spans="1:3" s="79" customFormat="1" ht="28.7" customHeight="1" x14ac:dyDescent="0.2">
      <c r="A3868" s="81">
        <v>20041414</v>
      </c>
      <c r="B3868" s="80" t="s">
        <v>4195</v>
      </c>
      <c r="C3868" s="82" t="s">
        <v>9348</v>
      </c>
    </row>
    <row r="3869" spans="1:3" s="79" customFormat="1" ht="28.7" customHeight="1" x14ac:dyDescent="0.2">
      <c r="A3869" s="81">
        <v>20041415</v>
      </c>
      <c r="B3869" s="80" t="s">
        <v>4196</v>
      </c>
      <c r="C3869" s="82" t="s">
        <v>9349</v>
      </c>
    </row>
    <row r="3870" spans="1:3" s="79" customFormat="1" ht="28.7" customHeight="1" x14ac:dyDescent="0.2">
      <c r="A3870" s="81">
        <v>20041416</v>
      </c>
      <c r="B3870" s="80" t="s">
        <v>4197</v>
      </c>
      <c r="C3870" s="82" t="s">
        <v>9350</v>
      </c>
    </row>
    <row r="3871" spans="1:3" s="79" customFormat="1" ht="28.7" customHeight="1" x14ac:dyDescent="0.2">
      <c r="A3871" s="81">
        <v>20041417</v>
      </c>
      <c r="B3871" s="80" t="s">
        <v>4198</v>
      </c>
      <c r="C3871" s="82" t="s">
        <v>9351</v>
      </c>
    </row>
    <row r="3872" spans="1:3" s="79" customFormat="1" ht="28.7" customHeight="1" x14ac:dyDescent="0.2">
      <c r="A3872" s="81">
        <v>20041418</v>
      </c>
      <c r="B3872" s="80" t="s">
        <v>4199</v>
      </c>
      <c r="C3872" s="82" t="s">
        <v>9352</v>
      </c>
    </row>
    <row r="3873" spans="1:3" s="79" customFormat="1" ht="28.7" customHeight="1" x14ac:dyDescent="0.2">
      <c r="A3873" s="81">
        <v>20041419</v>
      </c>
      <c r="B3873" s="80" t="s">
        <v>4200</v>
      </c>
      <c r="C3873" s="82" t="s">
        <v>9353</v>
      </c>
    </row>
    <row r="3874" spans="1:3" s="79" customFormat="1" ht="28.7" customHeight="1" x14ac:dyDescent="0.2">
      <c r="A3874" s="81">
        <v>20041420</v>
      </c>
      <c r="B3874" s="80" t="s">
        <v>4201</v>
      </c>
      <c r="C3874" s="82" t="s">
        <v>9354</v>
      </c>
    </row>
    <row r="3875" spans="1:3" s="79" customFormat="1" ht="28.7" customHeight="1" x14ac:dyDescent="0.2">
      <c r="A3875" s="81">
        <v>20041421</v>
      </c>
      <c r="B3875" s="80" t="s">
        <v>4202</v>
      </c>
      <c r="C3875" s="82" t="s">
        <v>9355</v>
      </c>
    </row>
    <row r="3876" spans="1:3" s="79" customFormat="1" ht="28.7" customHeight="1" x14ac:dyDescent="0.2">
      <c r="A3876" s="81">
        <v>20041422</v>
      </c>
      <c r="B3876" s="80" t="s">
        <v>4203</v>
      </c>
      <c r="C3876" s="82" t="s">
        <v>9356</v>
      </c>
    </row>
    <row r="3877" spans="1:3" s="79" customFormat="1" ht="28.7" customHeight="1" x14ac:dyDescent="0.2">
      <c r="A3877" s="81">
        <v>20041423</v>
      </c>
      <c r="B3877" s="80" t="s">
        <v>4204</v>
      </c>
      <c r="C3877" s="82" t="s">
        <v>9357</v>
      </c>
    </row>
    <row r="3878" spans="1:3" s="79" customFormat="1" ht="28.7" customHeight="1" x14ac:dyDescent="0.2">
      <c r="A3878" s="81">
        <v>20041424</v>
      </c>
      <c r="B3878" s="80" t="s">
        <v>4205</v>
      </c>
      <c r="C3878" s="82" t="s">
        <v>9358</v>
      </c>
    </row>
    <row r="3879" spans="1:3" s="79" customFormat="1" ht="28.7" customHeight="1" x14ac:dyDescent="0.2">
      <c r="A3879" s="81">
        <v>20041425</v>
      </c>
      <c r="B3879" s="80" t="s">
        <v>4206</v>
      </c>
      <c r="C3879" s="82" t="s">
        <v>9359</v>
      </c>
    </row>
    <row r="3880" spans="1:3" s="79" customFormat="1" ht="28.7" customHeight="1" x14ac:dyDescent="0.2">
      <c r="A3880" s="81">
        <v>20041426</v>
      </c>
      <c r="B3880" s="80" t="s">
        <v>4244</v>
      </c>
      <c r="C3880" s="82" t="s">
        <v>9360</v>
      </c>
    </row>
    <row r="3881" spans="1:3" s="79" customFormat="1" ht="28.7" customHeight="1" x14ac:dyDescent="0.2">
      <c r="A3881" s="81">
        <v>20041427</v>
      </c>
      <c r="B3881" s="80" t="s">
        <v>4245</v>
      </c>
      <c r="C3881" s="82" t="s">
        <v>9361</v>
      </c>
    </row>
    <row r="3882" spans="1:3" s="79" customFormat="1" ht="28.7" customHeight="1" x14ac:dyDescent="0.2">
      <c r="A3882" s="81">
        <v>20041428</v>
      </c>
      <c r="B3882" s="80" t="s">
        <v>4216</v>
      </c>
      <c r="C3882" s="82" t="s">
        <v>9362</v>
      </c>
    </row>
    <row r="3883" spans="1:3" s="79" customFormat="1" ht="28.7" customHeight="1" x14ac:dyDescent="0.2">
      <c r="A3883" s="81">
        <v>20041429</v>
      </c>
      <c r="B3883" s="80" t="s">
        <v>4217</v>
      </c>
      <c r="C3883" s="82" t="s">
        <v>9363</v>
      </c>
    </row>
    <row r="3884" spans="1:3" s="79" customFormat="1" ht="28.7" customHeight="1" x14ac:dyDescent="0.2">
      <c r="A3884" s="81">
        <v>20041430</v>
      </c>
      <c r="B3884" s="80" t="s">
        <v>4218</v>
      </c>
      <c r="C3884" s="82" t="s">
        <v>9364</v>
      </c>
    </row>
    <row r="3885" spans="1:3" s="79" customFormat="1" ht="59.1" customHeight="1" x14ac:dyDescent="0.2">
      <c r="A3885" s="81">
        <v>20041431</v>
      </c>
      <c r="B3885" s="80" t="s">
        <v>4219</v>
      </c>
      <c r="C3885" s="82" t="s">
        <v>9365</v>
      </c>
    </row>
    <row r="3886" spans="1:3" s="79" customFormat="1" ht="28.7" customHeight="1" x14ac:dyDescent="0.2">
      <c r="A3886" s="81">
        <v>20041432</v>
      </c>
      <c r="B3886" s="80" t="s">
        <v>4220</v>
      </c>
      <c r="C3886" s="82" t="s">
        <v>9366</v>
      </c>
    </row>
    <row r="3887" spans="1:3" s="79" customFormat="1" ht="28.7" customHeight="1" x14ac:dyDescent="0.2">
      <c r="A3887" s="81">
        <v>20041433</v>
      </c>
      <c r="B3887" s="80" t="s">
        <v>4221</v>
      </c>
      <c r="C3887" s="82" t="s">
        <v>9367</v>
      </c>
    </row>
    <row r="3888" spans="1:3" s="79" customFormat="1" ht="28.7" customHeight="1" x14ac:dyDescent="0.2">
      <c r="A3888" s="81">
        <v>20041434</v>
      </c>
      <c r="B3888" s="80" t="s">
        <v>4222</v>
      </c>
      <c r="C3888" s="82" t="s">
        <v>9368</v>
      </c>
    </row>
    <row r="3889" spans="1:3" s="79" customFormat="1" ht="28.7" customHeight="1" x14ac:dyDescent="0.2">
      <c r="A3889" s="81">
        <v>20041435</v>
      </c>
      <c r="B3889" s="80" t="s">
        <v>4223</v>
      </c>
      <c r="C3889" s="82" t="s">
        <v>9369</v>
      </c>
    </row>
    <row r="3890" spans="1:3" s="79" customFormat="1" ht="28.7" customHeight="1" x14ac:dyDescent="0.2">
      <c r="A3890" s="81">
        <v>20041436</v>
      </c>
      <c r="B3890" s="80" t="s">
        <v>4224</v>
      </c>
      <c r="C3890" s="82" t="s">
        <v>9370</v>
      </c>
    </row>
    <row r="3891" spans="1:3" s="79" customFormat="1" ht="28.7" customHeight="1" x14ac:dyDescent="0.2">
      <c r="A3891" s="81">
        <v>20041437</v>
      </c>
      <c r="B3891" s="80" t="s">
        <v>4225</v>
      </c>
      <c r="C3891" s="82" t="s">
        <v>9371</v>
      </c>
    </row>
    <row r="3892" spans="1:3" s="79" customFormat="1" ht="28.7" customHeight="1" x14ac:dyDescent="0.2">
      <c r="A3892" s="81">
        <v>20041438</v>
      </c>
      <c r="B3892" s="80" t="s">
        <v>4226</v>
      </c>
      <c r="C3892" s="82" t="s">
        <v>9372</v>
      </c>
    </row>
    <row r="3893" spans="1:3" s="79" customFormat="1" ht="28.7" customHeight="1" x14ac:dyDescent="0.2">
      <c r="A3893" s="81">
        <v>20041439</v>
      </c>
      <c r="B3893" s="80" t="s">
        <v>4227</v>
      </c>
      <c r="C3893" s="82" t="s">
        <v>9373</v>
      </c>
    </row>
    <row r="3894" spans="1:3" s="79" customFormat="1" ht="28.7" customHeight="1" x14ac:dyDescent="0.2">
      <c r="A3894" s="81">
        <v>20041440</v>
      </c>
      <c r="B3894" s="80" t="s">
        <v>4228</v>
      </c>
      <c r="C3894" s="82" t="s">
        <v>9374</v>
      </c>
    </row>
    <row r="3895" spans="1:3" s="79" customFormat="1" ht="28.7" customHeight="1" x14ac:dyDescent="0.2">
      <c r="A3895" s="81">
        <v>20041441</v>
      </c>
      <c r="B3895" s="80" t="s">
        <v>4229</v>
      </c>
      <c r="C3895" s="82" t="s">
        <v>9375</v>
      </c>
    </row>
    <row r="3896" spans="1:3" s="79" customFormat="1" ht="28.7" customHeight="1" x14ac:dyDescent="0.2">
      <c r="A3896" s="81">
        <v>20041442</v>
      </c>
      <c r="B3896" s="80" t="s">
        <v>4230</v>
      </c>
      <c r="C3896" s="82" t="s">
        <v>9376</v>
      </c>
    </row>
    <row r="3897" spans="1:3" s="79" customFormat="1" ht="28.7" customHeight="1" x14ac:dyDescent="0.2">
      <c r="A3897" s="81">
        <v>20041443</v>
      </c>
      <c r="B3897" s="80" t="s">
        <v>4231</v>
      </c>
      <c r="C3897" s="82" t="s">
        <v>9377</v>
      </c>
    </row>
    <row r="3898" spans="1:3" s="79" customFormat="1" ht="28.7" customHeight="1" x14ac:dyDescent="0.2">
      <c r="A3898" s="81">
        <v>20041444</v>
      </c>
      <c r="B3898" s="80" t="s">
        <v>4232</v>
      </c>
      <c r="C3898" s="82" t="s">
        <v>9378</v>
      </c>
    </row>
    <row r="3899" spans="1:3" s="79" customFormat="1" ht="28.7" customHeight="1" x14ac:dyDescent="0.2">
      <c r="A3899" s="81">
        <v>20041445</v>
      </c>
      <c r="B3899" s="80" t="s">
        <v>4233</v>
      </c>
      <c r="C3899" s="82" t="s">
        <v>9379</v>
      </c>
    </row>
    <row r="3900" spans="1:3" s="79" customFormat="1" ht="28.7" customHeight="1" x14ac:dyDescent="0.2">
      <c r="A3900" s="81">
        <v>20041446</v>
      </c>
      <c r="B3900" s="80" t="s">
        <v>4234</v>
      </c>
      <c r="C3900" s="82" t="s">
        <v>9380</v>
      </c>
    </row>
    <row r="3901" spans="1:3" s="79" customFormat="1" ht="28.7" customHeight="1" x14ac:dyDescent="0.2">
      <c r="A3901" s="81">
        <v>20041447</v>
      </c>
      <c r="B3901" s="80" t="s">
        <v>4235</v>
      </c>
      <c r="C3901" s="82" t="s">
        <v>9381</v>
      </c>
    </row>
    <row r="3902" spans="1:3" s="79" customFormat="1" ht="28.7" customHeight="1" x14ac:dyDescent="0.2">
      <c r="A3902" s="81">
        <v>20041448</v>
      </c>
      <c r="B3902" s="80" t="s">
        <v>4236</v>
      </c>
      <c r="C3902" s="82" t="s">
        <v>9382</v>
      </c>
    </row>
    <row r="3903" spans="1:3" s="79" customFormat="1" ht="28.7" customHeight="1" x14ac:dyDescent="0.2">
      <c r="A3903" s="81">
        <v>20041450</v>
      </c>
      <c r="B3903" s="80" t="s">
        <v>4237</v>
      </c>
      <c r="C3903" s="82" t="s">
        <v>9383</v>
      </c>
    </row>
    <row r="3904" spans="1:3" s="79" customFormat="1" ht="28.7" customHeight="1" x14ac:dyDescent="0.2">
      <c r="A3904" s="81">
        <v>20041451</v>
      </c>
      <c r="B3904" s="80" t="s">
        <v>4238</v>
      </c>
      <c r="C3904" s="82" t="s">
        <v>9384</v>
      </c>
    </row>
    <row r="3905" spans="1:3" s="79" customFormat="1" ht="28.7" customHeight="1" x14ac:dyDescent="0.2">
      <c r="A3905" s="81">
        <v>20041452</v>
      </c>
      <c r="B3905" s="80" t="s">
        <v>4239</v>
      </c>
      <c r="C3905" s="82" t="s">
        <v>9385</v>
      </c>
    </row>
    <row r="3906" spans="1:3" s="79" customFormat="1" ht="28.7" customHeight="1" x14ac:dyDescent="0.2">
      <c r="A3906" s="81">
        <v>20041453</v>
      </c>
      <c r="B3906" s="80" t="s">
        <v>4240</v>
      </c>
      <c r="C3906" s="82" t="s">
        <v>9386</v>
      </c>
    </row>
    <row r="3907" spans="1:3" s="79" customFormat="1" ht="28.7" customHeight="1" x14ac:dyDescent="0.2">
      <c r="A3907" s="81">
        <v>20041454</v>
      </c>
      <c r="B3907" s="80" t="s">
        <v>4241</v>
      </c>
      <c r="C3907" s="82" t="s">
        <v>9387</v>
      </c>
    </row>
    <row r="3908" spans="1:3" s="79" customFormat="1" ht="28.7" customHeight="1" x14ac:dyDescent="0.2">
      <c r="A3908" s="81">
        <v>20041455</v>
      </c>
      <c r="B3908" s="80" t="s">
        <v>4242</v>
      </c>
      <c r="C3908" s="82" t="s">
        <v>9388</v>
      </c>
    </row>
    <row r="3909" spans="1:3" s="79" customFormat="1" ht="28.7" customHeight="1" x14ac:dyDescent="0.2">
      <c r="A3909" s="81">
        <v>20041456</v>
      </c>
      <c r="B3909" s="80" t="s">
        <v>4243</v>
      </c>
      <c r="C3909" s="82" t="s">
        <v>9389</v>
      </c>
    </row>
    <row r="3910" spans="1:3" s="79" customFormat="1" ht="28.7" customHeight="1" x14ac:dyDescent="0.2">
      <c r="A3910" s="81">
        <v>20041458</v>
      </c>
      <c r="B3910" s="80" t="s">
        <v>4246</v>
      </c>
      <c r="C3910" s="80" t="s">
        <v>9390</v>
      </c>
    </row>
    <row r="3911" spans="1:3" s="79" customFormat="1" ht="28.7" customHeight="1" x14ac:dyDescent="0.2">
      <c r="A3911" s="81">
        <v>20041459</v>
      </c>
      <c r="B3911" s="80" t="s">
        <v>4247</v>
      </c>
      <c r="C3911" s="82" t="s">
        <v>9391</v>
      </c>
    </row>
    <row r="3912" spans="1:3" s="79" customFormat="1" ht="28.7" customHeight="1" x14ac:dyDescent="0.2">
      <c r="A3912" s="81">
        <v>20041468</v>
      </c>
      <c r="B3912" s="80" t="s">
        <v>4248</v>
      </c>
      <c r="C3912" s="82" t="s">
        <v>9392</v>
      </c>
    </row>
    <row r="3913" spans="1:3" s="79" customFormat="1" ht="28.7" customHeight="1" x14ac:dyDescent="0.2">
      <c r="A3913" s="81">
        <v>20041469</v>
      </c>
      <c r="B3913" s="80" t="s">
        <v>4249</v>
      </c>
      <c r="C3913" s="82" t="s">
        <v>9393</v>
      </c>
    </row>
    <row r="3914" spans="1:3" s="79" customFormat="1" ht="19.149999999999999" customHeight="1" x14ac:dyDescent="0.2">
      <c r="A3914" s="81">
        <v>20041470</v>
      </c>
      <c r="B3914" s="80" t="s">
        <v>4250</v>
      </c>
      <c r="C3914" s="82" t="s">
        <v>9394</v>
      </c>
    </row>
    <row r="3915" spans="1:3" s="79" customFormat="1" ht="28.7" customHeight="1" x14ac:dyDescent="0.2">
      <c r="A3915" s="81">
        <v>20041471</v>
      </c>
      <c r="B3915" s="80" t="s">
        <v>4251</v>
      </c>
      <c r="C3915" s="82" t="s">
        <v>9395</v>
      </c>
    </row>
    <row r="3916" spans="1:3" s="79" customFormat="1" ht="28.7" customHeight="1" x14ac:dyDescent="0.2">
      <c r="A3916" s="81">
        <v>20041472</v>
      </c>
      <c r="B3916" s="80" t="s">
        <v>4252</v>
      </c>
      <c r="C3916" s="82" t="s">
        <v>9396</v>
      </c>
    </row>
    <row r="3917" spans="1:3" s="79" customFormat="1" ht="28.7" customHeight="1" x14ac:dyDescent="0.2">
      <c r="A3917" s="81">
        <v>20041473</v>
      </c>
      <c r="B3917" s="80" t="s">
        <v>4253</v>
      </c>
      <c r="C3917" s="82" t="s">
        <v>9397</v>
      </c>
    </row>
    <row r="3918" spans="1:3" s="79" customFormat="1" ht="28.7" customHeight="1" x14ac:dyDescent="0.2">
      <c r="A3918" s="81">
        <v>20041474</v>
      </c>
      <c r="B3918" s="80" t="s">
        <v>4254</v>
      </c>
      <c r="C3918" s="82" t="s">
        <v>9398</v>
      </c>
    </row>
    <row r="3919" spans="1:3" s="79" customFormat="1" ht="28.7" customHeight="1" x14ac:dyDescent="0.2">
      <c r="A3919" s="81">
        <v>20041475</v>
      </c>
      <c r="B3919" s="80" t="s">
        <v>4255</v>
      </c>
      <c r="C3919" s="82" t="s">
        <v>9399</v>
      </c>
    </row>
    <row r="3920" spans="1:3" s="79" customFormat="1" ht="28.7" customHeight="1" x14ac:dyDescent="0.2">
      <c r="A3920" s="81">
        <v>20041476</v>
      </c>
      <c r="B3920" s="80" t="s">
        <v>4256</v>
      </c>
      <c r="C3920" s="82" t="s">
        <v>9400</v>
      </c>
    </row>
    <row r="3921" spans="1:3" s="79" customFormat="1" ht="28.7" customHeight="1" x14ac:dyDescent="0.2">
      <c r="A3921" s="81">
        <v>20041477</v>
      </c>
      <c r="B3921" s="80" t="s">
        <v>4257</v>
      </c>
      <c r="C3921" s="82" t="s">
        <v>9401</v>
      </c>
    </row>
    <row r="3922" spans="1:3" s="79" customFormat="1" ht="28.7" customHeight="1" x14ac:dyDescent="0.2">
      <c r="A3922" s="81">
        <v>20041478</v>
      </c>
      <c r="B3922" s="80" t="s">
        <v>4258</v>
      </c>
      <c r="C3922" s="82" t="s">
        <v>9402</v>
      </c>
    </row>
    <row r="3923" spans="1:3" s="79" customFormat="1" ht="28.7" customHeight="1" x14ac:dyDescent="0.2">
      <c r="A3923" s="81">
        <v>20041479</v>
      </c>
      <c r="B3923" s="80" t="s">
        <v>4259</v>
      </c>
      <c r="C3923" s="82" t="s">
        <v>9403</v>
      </c>
    </row>
    <row r="3924" spans="1:3" s="79" customFormat="1" ht="28.7" customHeight="1" x14ac:dyDescent="0.2">
      <c r="A3924" s="81">
        <v>20041499</v>
      </c>
      <c r="B3924" s="80" t="s">
        <v>4261</v>
      </c>
      <c r="C3924" s="80" t="s">
        <v>9404</v>
      </c>
    </row>
    <row r="3925" spans="1:3" s="79" customFormat="1" ht="28.7" customHeight="1" x14ac:dyDescent="0.2">
      <c r="A3925" s="81">
        <v>20041500</v>
      </c>
      <c r="B3925" s="80" t="s">
        <v>4262</v>
      </c>
      <c r="C3925" s="81" t="s">
        <v>9405</v>
      </c>
    </row>
    <row r="3926" spans="1:3" s="79" customFormat="1" ht="28.7" customHeight="1" x14ac:dyDescent="0.2">
      <c r="A3926" s="81">
        <v>20041549</v>
      </c>
      <c r="B3926" s="80" t="s">
        <v>4284</v>
      </c>
      <c r="C3926" s="82" t="s">
        <v>9406</v>
      </c>
    </row>
    <row r="3927" spans="1:3" s="79" customFormat="1" ht="38.85" customHeight="1" x14ac:dyDescent="0.2">
      <c r="A3927" s="81">
        <v>20041550</v>
      </c>
      <c r="B3927" s="80" t="s">
        <v>4285</v>
      </c>
      <c r="C3927" s="82" t="s">
        <v>9407</v>
      </c>
    </row>
    <row r="3928" spans="1:3" s="79" customFormat="1" ht="19.149999999999999" customHeight="1" x14ac:dyDescent="0.2">
      <c r="A3928" s="81">
        <v>20041551</v>
      </c>
      <c r="B3928" s="80" t="s">
        <v>4286</v>
      </c>
      <c r="C3928" s="82" t="s">
        <v>9408</v>
      </c>
    </row>
    <row r="3929" spans="1:3" s="79" customFormat="1" ht="109.35" customHeight="1" x14ac:dyDescent="0.2">
      <c r="A3929" s="81">
        <v>20041552</v>
      </c>
      <c r="B3929" s="80" t="s">
        <v>4287</v>
      </c>
      <c r="C3929" s="82" t="s">
        <v>9409</v>
      </c>
    </row>
    <row r="3930" spans="1:3" s="79" customFormat="1" ht="28.7" customHeight="1" x14ac:dyDescent="0.2">
      <c r="A3930" s="81">
        <v>20041553</v>
      </c>
      <c r="B3930" s="80" t="s">
        <v>4288</v>
      </c>
      <c r="C3930" s="82" t="s">
        <v>9410</v>
      </c>
    </row>
    <row r="3931" spans="1:3" s="79" customFormat="1" ht="28.7" customHeight="1" x14ac:dyDescent="0.2">
      <c r="A3931" s="81">
        <v>20041554</v>
      </c>
      <c r="B3931" s="80" t="s">
        <v>4289</v>
      </c>
      <c r="C3931" s="82" t="s">
        <v>9411</v>
      </c>
    </row>
    <row r="3932" spans="1:3" s="79" customFormat="1" ht="28.7" customHeight="1" x14ac:dyDescent="0.2">
      <c r="A3932" s="81">
        <v>20041555</v>
      </c>
      <c r="B3932" s="80" t="s">
        <v>4290</v>
      </c>
      <c r="C3932" s="82" t="s">
        <v>9412</v>
      </c>
    </row>
    <row r="3933" spans="1:3" s="79" customFormat="1" ht="28.7" customHeight="1" x14ac:dyDescent="0.2">
      <c r="A3933" s="81">
        <v>20041556</v>
      </c>
      <c r="B3933" s="80" t="s">
        <v>4291</v>
      </c>
      <c r="C3933" s="82" t="s">
        <v>9413</v>
      </c>
    </row>
    <row r="3934" spans="1:3" s="79" customFormat="1" ht="28.7" customHeight="1" x14ac:dyDescent="0.2">
      <c r="A3934" s="81">
        <v>20041557</v>
      </c>
      <c r="B3934" s="80" t="s">
        <v>4292</v>
      </c>
      <c r="C3934" s="82" t="s">
        <v>9414</v>
      </c>
    </row>
    <row r="3935" spans="1:3" s="79" customFormat="1" ht="38.85" customHeight="1" x14ac:dyDescent="0.2">
      <c r="A3935" s="81">
        <v>20041558</v>
      </c>
      <c r="B3935" s="80" t="s">
        <v>4263</v>
      </c>
      <c r="C3935" s="82" t="s">
        <v>9415</v>
      </c>
    </row>
    <row r="3936" spans="1:3" s="79" customFormat="1" ht="19.149999999999999" customHeight="1" x14ac:dyDescent="0.2">
      <c r="A3936" s="81">
        <v>20041559</v>
      </c>
      <c r="B3936" s="80" t="s">
        <v>4264</v>
      </c>
      <c r="C3936" s="81" t="s">
        <v>9416</v>
      </c>
    </row>
    <row r="3937" spans="1:3" s="79" customFormat="1" ht="49.15" customHeight="1" x14ac:dyDescent="0.2">
      <c r="A3937" s="81">
        <v>20041560</v>
      </c>
      <c r="B3937" s="80" t="s">
        <v>4265</v>
      </c>
      <c r="C3937" s="82" t="s">
        <v>9417</v>
      </c>
    </row>
    <row r="3938" spans="1:3" s="79" customFormat="1" ht="38.85" customHeight="1" x14ac:dyDescent="0.2">
      <c r="A3938" s="81">
        <v>20041562</v>
      </c>
      <c r="B3938" s="80" t="s">
        <v>4266</v>
      </c>
      <c r="C3938" s="82" t="s">
        <v>9418</v>
      </c>
    </row>
    <row r="3939" spans="1:3" s="79" customFormat="1" ht="38.85" customHeight="1" x14ac:dyDescent="0.2">
      <c r="A3939" s="81">
        <v>20041563</v>
      </c>
      <c r="B3939" s="80" t="s">
        <v>4271</v>
      </c>
      <c r="C3939" s="82" t="s">
        <v>9419</v>
      </c>
    </row>
    <row r="3940" spans="1:3" s="79" customFormat="1" ht="49.15" customHeight="1" x14ac:dyDescent="0.2">
      <c r="A3940" s="81">
        <v>20041564</v>
      </c>
      <c r="B3940" s="80" t="s">
        <v>4272</v>
      </c>
      <c r="C3940" s="82" t="s">
        <v>9420</v>
      </c>
    </row>
    <row r="3941" spans="1:3" s="79" customFormat="1" ht="38.85" customHeight="1" x14ac:dyDescent="0.2">
      <c r="A3941" s="81">
        <v>20041565</v>
      </c>
      <c r="B3941" s="80" t="s">
        <v>4273</v>
      </c>
      <c r="C3941" s="82" t="s">
        <v>9421</v>
      </c>
    </row>
    <row r="3942" spans="1:3" s="79" customFormat="1" ht="38.85" customHeight="1" x14ac:dyDescent="0.2">
      <c r="A3942" s="81">
        <v>20041566</v>
      </c>
      <c r="B3942" s="80" t="s">
        <v>4274</v>
      </c>
      <c r="C3942" s="82" t="s">
        <v>9422</v>
      </c>
    </row>
    <row r="3943" spans="1:3" s="79" customFormat="1" ht="78.95" customHeight="1" x14ac:dyDescent="0.2">
      <c r="A3943" s="81">
        <v>20041567</v>
      </c>
      <c r="B3943" s="80" t="s">
        <v>4275</v>
      </c>
      <c r="C3943" s="82" t="s">
        <v>9423</v>
      </c>
    </row>
    <row r="3944" spans="1:3" s="79" customFormat="1" ht="38.85" customHeight="1" x14ac:dyDescent="0.2">
      <c r="A3944" s="81">
        <v>20041571</v>
      </c>
      <c r="B3944" s="80" t="s">
        <v>4267</v>
      </c>
      <c r="C3944" s="82" t="s">
        <v>9424</v>
      </c>
    </row>
    <row r="3945" spans="1:3" s="79" customFormat="1" ht="78.95" customHeight="1" x14ac:dyDescent="0.2">
      <c r="A3945" s="81">
        <v>20041572</v>
      </c>
      <c r="B3945" s="80" t="s">
        <v>4268</v>
      </c>
      <c r="C3945" s="82" t="s">
        <v>9425</v>
      </c>
    </row>
    <row r="3946" spans="1:3" s="79" customFormat="1" ht="59.1" customHeight="1" x14ac:dyDescent="0.2">
      <c r="A3946" s="81">
        <v>20041574</v>
      </c>
      <c r="B3946" s="80" t="s">
        <v>4269</v>
      </c>
      <c r="C3946" s="82" t="s">
        <v>9426</v>
      </c>
    </row>
    <row r="3947" spans="1:3" s="79" customFormat="1" ht="28.7" customHeight="1" x14ac:dyDescent="0.2">
      <c r="A3947" s="81">
        <v>20041575</v>
      </c>
      <c r="B3947" s="80" t="s">
        <v>4270</v>
      </c>
      <c r="C3947" s="82" t="s">
        <v>9427</v>
      </c>
    </row>
    <row r="3948" spans="1:3" s="79" customFormat="1" ht="38.85" customHeight="1" x14ac:dyDescent="0.2">
      <c r="A3948" s="81">
        <v>20041577</v>
      </c>
      <c r="B3948" s="80" t="s">
        <v>4295</v>
      </c>
      <c r="C3948" s="80" t="s">
        <v>9428</v>
      </c>
    </row>
    <row r="3949" spans="1:3" s="79" customFormat="1" ht="49.15" customHeight="1" x14ac:dyDescent="0.2">
      <c r="A3949" s="81">
        <v>20041589</v>
      </c>
      <c r="B3949" s="80" t="s">
        <v>4306</v>
      </c>
      <c r="C3949" s="82" t="s">
        <v>9429</v>
      </c>
    </row>
    <row r="3950" spans="1:3" s="79" customFormat="1" ht="68.849999999999994" customHeight="1" x14ac:dyDescent="0.2">
      <c r="A3950" s="81">
        <v>20041590</v>
      </c>
      <c r="B3950" s="80" t="s">
        <v>4307</v>
      </c>
      <c r="C3950" s="82" t="s">
        <v>9430</v>
      </c>
    </row>
    <row r="3951" spans="1:3" s="79" customFormat="1" ht="28.7" customHeight="1" x14ac:dyDescent="0.2">
      <c r="A3951" s="81">
        <v>20041591</v>
      </c>
      <c r="B3951" s="80" t="s">
        <v>4308</v>
      </c>
      <c r="C3951" s="82" t="s">
        <v>9431</v>
      </c>
    </row>
    <row r="3952" spans="1:3" s="79" customFormat="1" ht="19.149999999999999" customHeight="1" x14ac:dyDescent="0.2">
      <c r="A3952" s="81">
        <v>20041592</v>
      </c>
      <c r="B3952" s="80" t="s">
        <v>4309</v>
      </c>
      <c r="C3952" s="82" t="s">
        <v>9432</v>
      </c>
    </row>
    <row r="3953" spans="1:3" s="79" customFormat="1" ht="28.7" customHeight="1" x14ac:dyDescent="0.2">
      <c r="A3953" s="81">
        <v>20041593</v>
      </c>
      <c r="B3953" s="80" t="s">
        <v>4310</v>
      </c>
      <c r="C3953" s="82" t="s">
        <v>9433</v>
      </c>
    </row>
    <row r="3954" spans="1:3" s="79" customFormat="1" ht="28.7" customHeight="1" x14ac:dyDescent="0.2">
      <c r="A3954" s="81">
        <v>20041596</v>
      </c>
      <c r="B3954" s="80" t="s">
        <v>4327</v>
      </c>
      <c r="C3954" s="82" t="s">
        <v>9434</v>
      </c>
    </row>
    <row r="3955" spans="1:3" s="79" customFormat="1" ht="28.7" customHeight="1" x14ac:dyDescent="0.2">
      <c r="A3955" s="81">
        <v>20041597</v>
      </c>
      <c r="B3955" s="80" t="s">
        <v>4328</v>
      </c>
      <c r="C3955" s="82" t="s">
        <v>9435</v>
      </c>
    </row>
    <row r="3956" spans="1:3" s="79" customFormat="1" ht="28.7" customHeight="1" x14ac:dyDescent="0.2">
      <c r="A3956" s="81">
        <v>20041608</v>
      </c>
      <c r="B3956" s="80" t="s">
        <v>4276</v>
      </c>
      <c r="C3956" s="82" t="s">
        <v>9436</v>
      </c>
    </row>
    <row r="3957" spans="1:3" s="79" customFormat="1" ht="28.7" customHeight="1" x14ac:dyDescent="0.2">
      <c r="A3957" s="81">
        <v>20041609</v>
      </c>
      <c r="B3957" s="80" t="s">
        <v>4277</v>
      </c>
      <c r="C3957" s="82" t="s">
        <v>9437</v>
      </c>
    </row>
    <row r="3958" spans="1:3" s="79" customFormat="1" ht="38.85" customHeight="1" x14ac:dyDescent="0.2">
      <c r="A3958" s="81">
        <v>20041610</v>
      </c>
      <c r="B3958" s="80" t="s">
        <v>4278</v>
      </c>
      <c r="C3958" s="82" t="s">
        <v>9438</v>
      </c>
    </row>
    <row r="3959" spans="1:3" s="79" customFormat="1" ht="38.85" customHeight="1" x14ac:dyDescent="0.2">
      <c r="A3959" s="81">
        <v>20041611</v>
      </c>
      <c r="B3959" s="80" t="s">
        <v>4296</v>
      </c>
      <c r="C3959" s="82" t="s">
        <v>9439</v>
      </c>
    </row>
    <row r="3960" spans="1:3" s="79" customFormat="1" ht="28.7" customHeight="1" x14ac:dyDescent="0.2">
      <c r="A3960" s="81">
        <v>20041613</v>
      </c>
      <c r="B3960" s="80" t="s">
        <v>4298</v>
      </c>
      <c r="C3960" s="80" t="s">
        <v>9440</v>
      </c>
    </row>
    <row r="3961" spans="1:3" s="79" customFormat="1" ht="28.7" customHeight="1" x14ac:dyDescent="0.2">
      <c r="A3961" s="81">
        <v>20041614</v>
      </c>
      <c r="B3961" s="80" t="s">
        <v>4299</v>
      </c>
      <c r="C3961" s="82" t="s">
        <v>9441</v>
      </c>
    </row>
    <row r="3962" spans="1:3" s="79" customFormat="1" ht="78.95" customHeight="1" x14ac:dyDescent="0.2">
      <c r="A3962" s="81">
        <v>20041615</v>
      </c>
      <c r="B3962" s="80" t="s">
        <v>4300</v>
      </c>
      <c r="C3962" s="82" t="s">
        <v>9442</v>
      </c>
    </row>
    <row r="3963" spans="1:3" s="79" customFormat="1" ht="19.149999999999999" customHeight="1" x14ac:dyDescent="0.2">
      <c r="A3963" s="81">
        <v>20041616</v>
      </c>
      <c r="B3963" s="80" t="s">
        <v>4301</v>
      </c>
      <c r="C3963" s="82" t="s">
        <v>9443</v>
      </c>
    </row>
    <row r="3964" spans="1:3" s="79" customFormat="1" ht="19.149999999999999" customHeight="1" x14ac:dyDescent="0.2">
      <c r="A3964" s="81">
        <v>20041618</v>
      </c>
      <c r="B3964" s="80" t="s">
        <v>4293</v>
      </c>
      <c r="C3964" s="82" t="s">
        <v>9444</v>
      </c>
    </row>
    <row r="3965" spans="1:3" s="79" customFormat="1" ht="28.7" customHeight="1" x14ac:dyDescent="0.2">
      <c r="A3965" s="81">
        <v>20041619</v>
      </c>
      <c r="B3965" s="80" t="s">
        <v>4294</v>
      </c>
      <c r="C3965" s="82" t="s">
        <v>9445</v>
      </c>
    </row>
    <row r="3966" spans="1:3" s="79" customFormat="1" ht="49.15" customHeight="1" x14ac:dyDescent="0.2">
      <c r="A3966" s="81">
        <v>20041620</v>
      </c>
      <c r="B3966" s="80" t="s">
        <v>4302</v>
      </c>
      <c r="C3966" s="82" t="s">
        <v>9446</v>
      </c>
    </row>
    <row r="3967" spans="1:3" s="79" customFormat="1" ht="28.7" customHeight="1" x14ac:dyDescent="0.2">
      <c r="A3967" s="81">
        <v>20041621</v>
      </c>
      <c r="B3967" s="80" t="s">
        <v>4303</v>
      </c>
      <c r="C3967" s="82" t="s">
        <v>9447</v>
      </c>
    </row>
    <row r="3968" spans="1:3" s="79" customFormat="1" ht="28.7" customHeight="1" x14ac:dyDescent="0.2">
      <c r="A3968" s="81">
        <v>20041622</v>
      </c>
      <c r="B3968" s="80" t="s">
        <v>4304</v>
      </c>
      <c r="C3968" s="81" t="s">
        <v>9448</v>
      </c>
    </row>
    <row r="3969" spans="1:3" s="79" customFormat="1" ht="38.85" customHeight="1" x14ac:dyDescent="0.2">
      <c r="A3969" s="81">
        <v>20041623</v>
      </c>
      <c r="B3969" s="80" t="s">
        <v>4305</v>
      </c>
      <c r="C3969" s="81" t="s">
        <v>9449</v>
      </c>
    </row>
    <row r="3970" spans="1:3" s="79" customFormat="1" ht="38.85" customHeight="1" x14ac:dyDescent="0.2">
      <c r="A3970" s="81">
        <v>20041624</v>
      </c>
      <c r="B3970" s="80" t="s">
        <v>11675</v>
      </c>
      <c r="C3970" s="81" t="s">
        <v>9450</v>
      </c>
    </row>
    <row r="3971" spans="1:3" s="79" customFormat="1" ht="38.85" customHeight="1" x14ac:dyDescent="0.2">
      <c r="A3971" s="81">
        <v>20041625</v>
      </c>
      <c r="B3971" s="80" t="s">
        <v>11676</v>
      </c>
      <c r="C3971" s="81" t="s">
        <v>9451</v>
      </c>
    </row>
    <row r="3972" spans="1:3" s="79" customFormat="1" ht="118.9" customHeight="1" x14ac:dyDescent="0.2">
      <c r="A3972" s="81">
        <v>20041626</v>
      </c>
      <c r="B3972" s="80" t="s">
        <v>11677</v>
      </c>
      <c r="C3972" s="81" t="s">
        <v>9452</v>
      </c>
    </row>
    <row r="3973" spans="1:3" s="79" customFormat="1" ht="158.85" customHeight="1" x14ac:dyDescent="0.2">
      <c r="A3973" s="81">
        <v>20041627</v>
      </c>
      <c r="B3973" s="80" t="s">
        <v>10925</v>
      </c>
      <c r="C3973" s="82" t="s">
        <v>9453</v>
      </c>
    </row>
    <row r="3974" spans="1:3" s="79" customFormat="1" ht="158.85" customHeight="1" x14ac:dyDescent="0.2">
      <c r="A3974" s="81">
        <v>20041628</v>
      </c>
      <c r="B3974" s="80" t="s">
        <v>4311</v>
      </c>
      <c r="C3974" s="82" t="s">
        <v>9454</v>
      </c>
    </row>
    <row r="3975" spans="1:3" s="79" customFormat="1" ht="169.15" customHeight="1" x14ac:dyDescent="0.2">
      <c r="A3975" s="81">
        <v>20041629</v>
      </c>
      <c r="B3975" s="80" t="s">
        <v>4312</v>
      </c>
      <c r="C3975" s="82" t="s">
        <v>9455</v>
      </c>
    </row>
    <row r="3976" spans="1:3" s="79" customFormat="1" ht="158.85" customHeight="1" x14ac:dyDescent="0.2">
      <c r="A3976" s="81">
        <v>20041634</v>
      </c>
      <c r="B3976" s="80" t="s">
        <v>4335</v>
      </c>
      <c r="C3976" s="82" t="s">
        <v>9456</v>
      </c>
    </row>
    <row r="3977" spans="1:3" s="79" customFormat="1" ht="59.1" customHeight="1" x14ac:dyDescent="0.2">
      <c r="A3977" s="81">
        <v>20041641</v>
      </c>
      <c r="B3977" s="80" t="s">
        <v>4315</v>
      </c>
      <c r="C3977" s="82" t="s">
        <v>9457</v>
      </c>
    </row>
    <row r="3978" spans="1:3" s="79" customFormat="1" ht="19.149999999999999" customHeight="1" x14ac:dyDescent="0.2">
      <c r="A3978" s="81">
        <v>20041642</v>
      </c>
      <c r="B3978" s="80" t="s">
        <v>4316</v>
      </c>
      <c r="C3978" s="82" t="s">
        <v>9458</v>
      </c>
    </row>
    <row r="3979" spans="1:3" s="79" customFormat="1" ht="28.7" customHeight="1" x14ac:dyDescent="0.2">
      <c r="A3979" s="81">
        <v>20041645</v>
      </c>
      <c r="B3979" s="80" t="s">
        <v>4317</v>
      </c>
      <c r="C3979" s="82" t="s">
        <v>9459</v>
      </c>
    </row>
    <row r="3980" spans="1:3" s="79" customFormat="1" ht="59.1" customHeight="1" x14ac:dyDescent="0.2">
      <c r="A3980" s="81">
        <v>20041647</v>
      </c>
      <c r="B3980" s="80" t="s">
        <v>4318</v>
      </c>
      <c r="C3980" s="82" t="s">
        <v>9460</v>
      </c>
    </row>
    <row r="3981" spans="1:3" s="79" customFormat="1" ht="28.7" customHeight="1" x14ac:dyDescent="0.2">
      <c r="A3981" s="81">
        <v>20041648</v>
      </c>
      <c r="B3981" s="80" t="s">
        <v>4319</v>
      </c>
      <c r="C3981" s="82" t="s">
        <v>9461</v>
      </c>
    </row>
    <row r="3982" spans="1:3" s="79" customFormat="1" ht="28.7" customHeight="1" x14ac:dyDescent="0.2">
      <c r="A3982" s="81">
        <v>20041649</v>
      </c>
      <c r="B3982" s="80" t="s">
        <v>4320</v>
      </c>
      <c r="C3982" s="82" t="s">
        <v>9462</v>
      </c>
    </row>
    <row r="3983" spans="1:3" s="79" customFormat="1" ht="28.7" customHeight="1" x14ac:dyDescent="0.2">
      <c r="A3983" s="81">
        <v>20041650</v>
      </c>
      <c r="B3983" s="80" t="s">
        <v>4321</v>
      </c>
      <c r="C3983" s="82" t="s">
        <v>9463</v>
      </c>
    </row>
    <row r="3984" spans="1:3" s="79" customFormat="1" ht="28.7" customHeight="1" x14ac:dyDescent="0.2">
      <c r="A3984" s="81">
        <v>20041651</v>
      </c>
      <c r="B3984" s="80" t="s">
        <v>4324</v>
      </c>
      <c r="C3984" s="82" t="s">
        <v>9464</v>
      </c>
    </row>
    <row r="3985" spans="1:3" s="79" customFormat="1" ht="28.7" customHeight="1" x14ac:dyDescent="0.2">
      <c r="A3985" s="81">
        <v>20041652</v>
      </c>
      <c r="B3985" s="80" t="s">
        <v>4325</v>
      </c>
      <c r="C3985" s="82" t="s">
        <v>9465</v>
      </c>
    </row>
    <row r="3986" spans="1:3" s="79" customFormat="1" ht="28.7" customHeight="1" x14ac:dyDescent="0.2">
      <c r="A3986" s="81">
        <v>20041654</v>
      </c>
      <c r="B3986" s="80" t="s">
        <v>4326</v>
      </c>
      <c r="C3986" s="82" t="s">
        <v>9466</v>
      </c>
    </row>
    <row r="3987" spans="1:3" s="79" customFormat="1" ht="28.7" customHeight="1" x14ac:dyDescent="0.2">
      <c r="A3987" s="81">
        <v>20041655</v>
      </c>
      <c r="B3987" s="80" t="s">
        <v>4336</v>
      </c>
      <c r="C3987" s="82" t="s">
        <v>9467</v>
      </c>
    </row>
    <row r="3988" spans="1:3" s="79" customFormat="1" ht="28.7" customHeight="1" x14ac:dyDescent="0.2">
      <c r="A3988" s="81">
        <v>20041656</v>
      </c>
      <c r="B3988" s="80" t="s">
        <v>4337</v>
      </c>
      <c r="C3988" s="81" t="s">
        <v>9468</v>
      </c>
    </row>
    <row r="3989" spans="1:3" s="79" customFormat="1" ht="28.7" customHeight="1" x14ac:dyDescent="0.2">
      <c r="A3989" s="81">
        <v>20041657</v>
      </c>
      <c r="B3989" s="80" t="s">
        <v>4339</v>
      </c>
      <c r="C3989" s="81" t="s">
        <v>9469</v>
      </c>
    </row>
    <row r="3990" spans="1:3" s="79" customFormat="1" ht="38.85" customHeight="1" x14ac:dyDescent="0.2">
      <c r="A3990" s="81">
        <v>20041658</v>
      </c>
      <c r="B3990" s="80" t="s">
        <v>4329</v>
      </c>
      <c r="C3990" s="82" t="s">
        <v>9470</v>
      </c>
    </row>
    <row r="3991" spans="1:3" s="79" customFormat="1" ht="28.7" customHeight="1" x14ac:dyDescent="0.2">
      <c r="A3991" s="81">
        <v>20041659</v>
      </c>
      <c r="B3991" s="80" t="s">
        <v>4330</v>
      </c>
      <c r="C3991" s="82" t="s">
        <v>9471</v>
      </c>
    </row>
    <row r="3992" spans="1:3" s="79" customFormat="1" ht="179.1" customHeight="1" x14ac:dyDescent="0.2">
      <c r="A3992" s="81">
        <v>20041660</v>
      </c>
      <c r="B3992" s="80" t="s">
        <v>10960</v>
      </c>
      <c r="C3992" s="81" t="s">
        <v>10961</v>
      </c>
    </row>
    <row r="3993" spans="1:3" s="79" customFormat="1" ht="158.85" customHeight="1" x14ac:dyDescent="0.2">
      <c r="A3993" s="81">
        <v>20041661</v>
      </c>
      <c r="B3993" s="80" t="s">
        <v>4331</v>
      </c>
      <c r="C3993" s="81" t="s">
        <v>9473</v>
      </c>
    </row>
    <row r="3994" spans="1:3" s="79" customFormat="1" ht="49.15" customHeight="1" x14ac:dyDescent="0.2">
      <c r="A3994" s="81">
        <v>20041664</v>
      </c>
      <c r="B3994" s="80" t="s">
        <v>4338</v>
      </c>
      <c r="C3994" s="82" t="s">
        <v>9474</v>
      </c>
    </row>
    <row r="3995" spans="1:3" s="79" customFormat="1" ht="59.1" customHeight="1" x14ac:dyDescent="0.2">
      <c r="A3995" s="81">
        <v>20041665</v>
      </c>
      <c r="B3995" s="80" t="s">
        <v>4342</v>
      </c>
      <c r="C3995" s="81" t="s">
        <v>9475</v>
      </c>
    </row>
    <row r="3996" spans="1:3" s="79" customFormat="1" ht="149.25" customHeight="1" x14ac:dyDescent="0.2">
      <c r="A3996" s="81">
        <v>20041666</v>
      </c>
      <c r="B3996" s="80" t="s">
        <v>11337</v>
      </c>
      <c r="C3996" s="81" t="s">
        <v>9476</v>
      </c>
    </row>
    <row r="3997" spans="1:3" s="79" customFormat="1" ht="68.849999999999994" customHeight="1" x14ac:dyDescent="0.2">
      <c r="A3997" s="81">
        <v>20041667</v>
      </c>
      <c r="B3997" s="80" t="s">
        <v>4343</v>
      </c>
      <c r="C3997" s="81" t="s">
        <v>9477</v>
      </c>
    </row>
    <row r="3998" spans="1:3" s="79" customFormat="1" ht="78.95" customHeight="1" x14ac:dyDescent="0.2">
      <c r="A3998" s="81">
        <v>20041668</v>
      </c>
      <c r="B3998" s="80" t="s">
        <v>4332</v>
      </c>
      <c r="C3998" s="82" t="s">
        <v>9478</v>
      </c>
    </row>
    <row r="3999" spans="1:3" s="79" customFormat="1" ht="118.9" customHeight="1" x14ac:dyDescent="0.2">
      <c r="A3999" s="81">
        <v>20041669</v>
      </c>
      <c r="B3999" s="80" t="s">
        <v>4333</v>
      </c>
      <c r="C3999" s="82" t="s">
        <v>9479</v>
      </c>
    </row>
    <row r="4000" spans="1:3" s="79" customFormat="1" ht="78.95" customHeight="1" x14ac:dyDescent="0.2">
      <c r="A4000" s="81">
        <v>20041670</v>
      </c>
      <c r="B4000" s="80" t="s">
        <v>4334</v>
      </c>
      <c r="C4000" s="82" t="s">
        <v>9480</v>
      </c>
    </row>
    <row r="4001" spans="1:3" s="79" customFormat="1" ht="59.1" customHeight="1" x14ac:dyDescent="0.2">
      <c r="A4001" s="81">
        <v>20041671</v>
      </c>
      <c r="B4001" s="80" t="s">
        <v>4347</v>
      </c>
      <c r="C4001" s="82" t="s">
        <v>9481</v>
      </c>
    </row>
    <row r="4002" spans="1:3" s="79" customFormat="1" ht="59.1" customHeight="1" x14ac:dyDescent="0.2">
      <c r="A4002" s="81">
        <v>20041678</v>
      </c>
      <c r="B4002" s="80" t="s">
        <v>4340</v>
      </c>
      <c r="C4002" s="82" t="s">
        <v>9482</v>
      </c>
    </row>
    <row r="4003" spans="1:3" s="79" customFormat="1" ht="38.85" customHeight="1" x14ac:dyDescent="0.2">
      <c r="A4003" s="81">
        <v>20041682</v>
      </c>
      <c r="B4003" s="80" t="s">
        <v>4346</v>
      </c>
      <c r="C4003" s="82" t="s">
        <v>9483</v>
      </c>
    </row>
    <row r="4004" spans="1:3" s="79" customFormat="1" ht="28.7" customHeight="1" x14ac:dyDescent="0.2">
      <c r="A4004" s="81">
        <v>20041688</v>
      </c>
      <c r="B4004" s="80" t="s">
        <v>4344</v>
      </c>
      <c r="C4004" s="82" t="s">
        <v>9484</v>
      </c>
    </row>
    <row r="4005" spans="1:3" s="79" customFormat="1" ht="38.85" customHeight="1" x14ac:dyDescent="0.2">
      <c r="A4005" s="81">
        <v>20041708</v>
      </c>
      <c r="B4005" s="80" t="s">
        <v>11379</v>
      </c>
      <c r="C4005" s="82" t="s">
        <v>9485</v>
      </c>
    </row>
    <row r="4006" spans="1:3" s="79" customFormat="1" ht="68.849999999999994" customHeight="1" x14ac:dyDescent="0.2">
      <c r="A4006" s="81">
        <v>20041709</v>
      </c>
      <c r="B4006" s="80" t="s">
        <v>11380</v>
      </c>
      <c r="C4006" s="82" t="s">
        <v>9486</v>
      </c>
    </row>
    <row r="4007" spans="1:3" s="79" customFormat="1" ht="89.1" customHeight="1" x14ac:dyDescent="0.2">
      <c r="A4007" s="81">
        <v>20041710</v>
      </c>
      <c r="B4007" s="80" t="s">
        <v>11381</v>
      </c>
      <c r="C4007" s="82" t="s">
        <v>9487</v>
      </c>
    </row>
    <row r="4008" spans="1:3" s="79" customFormat="1" ht="38.85" customHeight="1" x14ac:dyDescent="0.2">
      <c r="A4008" s="81">
        <v>20041712</v>
      </c>
      <c r="B4008" s="80" t="s">
        <v>11382</v>
      </c>
      <c r="C4008" s="82" t="s">
        <v>9488</v>
      </c>
    </row>
    <row r="4009" spans="1:3" s="79" customFormat="1" ht="28.7" customHeight="1" x14ac:dyDescent="0.2">
      <c r="A4009" s="81">
        <v>20041713</v>
      </c>
      <c r="B4009" s="80" t="s">
        <v>11383</v>
      </c>
      <c r="C4009" s="82" t="s">
        <v>11384</v>
      </c>
    </row>
    <row r="4010" spans="1:3" s="79" customFormat="1" ht="28.7" customHeight="1" x14ac:dyDescent="0.2">
      <c r="A4010" s="81">
        <v>20041714</v>
      </c>
      <c r="B4010" s="80" t="s">
        <v>11385</v>
      </c>
      <c r="C4010" s="82" t="s">
        <v>11386</v>
      </c>
    </row>
    <row r="4011" spans="1:3" s="79" customFormat="1" ht="28.7" customHeight="1" x14ac:dyDescent="0.2">
      <c r="A4011" s="81">
        <v>20041715</v>
      </c>
      <c r="B4011" s="80" t="s">
        <v>11387</v>
      </c>
      <c r="C4011" s="82" t="s">
        <v>11388</v>
      </c>
    </row>
    <row r="4012" spans="1:3" s="79" customFormat="1" ht="28.7" customHeight="1" x14ac:dyDescent="0.2">
      <c r="A4012" s="81">
        <v>20041716</v>
      </c>
      <c r="B4012" s="80" t="s">
        <v>4348</v>
      </c>
      <c r="C4012" s="82" t="s">
        <v>9489</v>
      </c>
    </row>
    <row r="4013" spans="1:3" s="79" customFormat="1" ht="28.7" customHeight="1" x14ac:dyDescent="0.2">
      <c r="A4013" s="81">
        <v>20041719</v>
      </c>
      <c r="B4013" s="80" t="s">
        <v>11389</v>
      </c>
      <c r="C4013" s="82" t="s">
        <v>11390</v>
      </c>
    </row>
    <row r="4014" spans="1:3" s="79" customFormat="1" ht="28.7" customHeight="1" x14ac:dyDescent="0.2">
      <c r="A4014" s="81">
        <v>20041720</v>
      </c>
      <c r="B4014" s="80" t="s">
        <v>4349</v>
      </c>
      <c r="C4014" s="82" t="s">
        <v>9490</v>
      </c>
    </row>
    <row r="4015" spans="1:3" s="79" customFormat="1" ht="28.7" customHeight="1" x14ac:dyDescent="0.2">
      <c r="A4015" s="81">
        <v>20041721</v>
      </c>
      <c r="B4015" s="80" t="s">
        <v>4350</v>
      </c>
      <c r="C4015" s="80" t="s">
        <v>9491</v>
      </c>
    </row>
    <row r="4016" spans="1:3" s="79" customFormat="1" ht="38.85" customHeight="1" x14ac:dyDescent="0.2">
      <c r="A4016" s="81">
        <v>20041723</v>
      </c>
      <c r="B4016" s="80" t="s">
        <v>11391</v>
      </c>
      <c r="C4016" s="82" t="s">
        <v>9492</v>
      </c>
    </row>
    <row r="4017" spans="1:3" s="79" customFormat="1" ht="28.7" customHeight="1" x14ac:dyDescent="0.2">
      <c r="A4017" s="81">
        <v>20041758</v>
      </c>
      <c r="B4017" s="80" t="s">
        <v>4351</v>
      </c>
      <c r="C4017" s="80" t="s">
        <v>9493</v>
      </c>
    </row>
    <row r="4018" spans="1:3" s="79" customFormat="1" ht="28.7" customHeight="1" x14ac:dyDescent="0.2">
      <c r="A4018" s="81">
        <v>20041759</v>
      </c>
      <c r="B4018" s="80" t="s">
        <v>4356</v>
      </c>
      <c r="C4018" s="82" t="s">
        <v>9494</v>
      </c>
    </row>
    <row r="4019" spans="1:3" s="79" customFormat="1" ht="19.149999999999999" customHeight="1" x14ac:dyDescent="0.2">
      <c r="A4019" s="81">
        <v>20041763</v>
      </c>
      <c r="B4019" s="80" t="s">
        <v>4358</v>
      </c>
      <c r="C4019" s="82" t="s">
        <v>9495</v>
      </c>
    </row>
    <row r="4020" spans="1:3" s="79" customFormat="1" ht="28.7" customHeight="1" x14ac:dyDescent="0.2">
      <c r="A4020" s="81">
        <v>20041764</v>
      </c>
      <c r="B4020" s="80" t="s">
        <v>4359</v>
      </c>
      <c r="C4020" s="82" t="s">
        <v>9496</v>
      </c>
    </row>
    <row r="4021" spans="1:3" s="79" customFormat="1" ht="19.149999999999999" customHeight="1" x14ac:dyDescent="0.2">
      <c r="A4021" s="81">
        <v>20041789</v>
      </c>
      <c r="B4021" s="80" t="s">
        <v>4353</v>
      </c>
      <c r="C4021" s="82" t="s">
        <v>9497</v>
      </c>
    </row>
    <row r="4022" spans="1:3" s="79" customFormat="1" ht="38.85" customHeight="1" x14ac:dyDescent="0.2">
      <c r="A4022" s="81">
        <v>20041818</v>
      </c>
      <c r="B4022" s="80" t="s">
        <v>4352</v>
      </c>
      <c r="C4022" s="82" t="s">
        <v>9498</v>
      </c>
    </row>
    <row r="4023" spans="1:3" s="79" customFormat="1" ht="38.85" customHeight="1" x14ac:dyDescent="0.2">
      <c r="A4023" s="81">
        <v>20041819</v>
      </c>
      <c r="B4023" s="80" t="s">
        <v>4354</v>
      </c>
      <c r="C4023" s="82" t="s">
        <v>9499</v>
      </c>
    </row>
    <row r="4024" spans="1:3" s="79" customFormat="1" ht="38.85" customHeight="1" x14ac:dyDescent="0.2">
      <c r="A4024" s="81">
        <v>20041820</v>
      </c>
      <c r="B4024" s="80" t="s">
        <v>4355</v>
      </c>
      <c r="C4024" s="82" t="s">
        <v>9500</v>
      </c>
    </row>
    <row r="4025" spans="1:3" s="79" customFormat="1" ht="59.1" customHeight="1" x14ac:dyDescent="0.2">
      <c r="A4025" s="81">
        <v>20041841</v>
      </c>
      <c r="B4025" s="80" t="s">
        <v>4360</v>
      </c>
      <c r="C4025" s="82" t="s">
        <v>9501</v>
      </c>
    </row>
    <row r="4026" spans="1:3" s="79" customFormat="1" ht="49.15" customHeight="1" x14ac:dyDescent="0.2">
      <c r="A4026" s="81">
        <v>20041842</v>
      </c>
      <c r="B4026" s="80" t="s">
        <v>4372</v>
      </c>
      <c r="C4026" s="82" t="s">
        <v>9502</v>
      </c>
    </row>
    <row r="4027" spans="1:3" s="79" customFormat="1" ht="38.85" customHeight="1" x14ac:dyDescent="0.2">
      <c r="A4027" s="81">
        <v>20041843</v>
      </c>
      <c r="B4027" s="80" t="s">
        <v>4373</v>
      </c>
      <c r="C4027" s="82" t="s">
        <v>9503</v>
      </c>
    </row>
    <row r="4028" spans="1:3" s="79" customFormat="1" ht="38.85" customHeight="1" x14ac:dyDescent="0.2">
      <c r="A4028" s="81">
        <v>20041844</v>
      </c>
      <c r="B4028" s="80" t="s">
        <v>4374</v>
      </c>
      <c r="C4028" s="82" t="s">
        <v>9504</v>
      </c>
    </row>
    <row r="4029" spans="1:3" s="79" customFormat="1" ht="38.85" customHeight="1" x14ac:dyDescent="0.2">
      <c r="A4029" s="81">
        <v>20041845</v>
      </c>
      <c r="B4029" s="80" t="s">
        <v>4375</v>
      </c>
      <c r="C4029" s="81" t="s">
        <v>9505</v>
      </c>
    </row>
    <row r="4030" spans="1:3" s="79" customFormat="1" ht="28.7" customHeight="1" x14ac:dyDescent="0.2">
      <c r="A4030" s="81">
        <v>20041846</v>
      </c>
      <c r="B4030" s="80" t="s">
        <v>4377</v>
      </c>
      <c r="C4030" s="81" t="s">
        <v>9506</v>
      </c>
    </row>
    <row r="4031" spans="1:3" s="79" customFormat="1" ht="28.7" customHeight="1" x14ac:dyDescent="0.2">
      <c r="A4031" s="81">
        <v>20041858</v>
      </c>
      <c r="B4031" s="80" t="s">
        <v>4361</v>
      </c>
      <c r="C4031" s="82" t="s">
        <v>9507</v>
      </c>
    </row>
    <row r="4032" spans="1:3" s="79" customFormat="1" ht="28.7" customHeight="1" x14ac:dyDescent="0.2">
      <c r="A4032" s="81">
        <v>20041868</v>
      </c>
      <c r="B4032" s="80" t="s">
        <v>4367</v>
      </c>
      <c r="C4032" s="82" t="s">
        <v>9508</v>
      </c>
    </row>
    <row r="4033" spans="1:3" s="79" customFormat="1" ht="78.95" customHeight="1" x14ac:dyDescent="0.2">
      <c r="A4033" s="81">
        <v>20041869</v>
      </c>
      <c r="B4033" s="80" t="s">
        <v>4368</v>
      </c>
      <c r="C4033" s="81" t="s">
        <v>9509</v>
      </c>
    </row>
    <row r="4034" spans="1:3" s="79" customFormat="1" ht="68.849999999999994" customHeight="1" x14ac:dyDescent="0.2">
      <c r="A4034" s="81">
        <v>20041898</v>
      </c>
      <c r="B4034" s="80" t="s">
        <v>4378</v>
      </c>
      <c r="C4034" s="82" t="s">
        <v>9510</v>
      </c>
    </row>
    <row r="4035" spans="1:3" s="79" customFormat="1" ht="49.15" customHeight="1" x14ac:dyDescent="0.2">
      <c r="A4035" s="81">
        <v>20041900</v>
      </c>
      <c r="B4035" s="80" t="s">
        <v>4380</v>
      </c>
      <c r="C4035" s="81" t="s">
        <v>9511</v>
      </c>
    </row>
    <row r="4036" spans="1:3" s="79" customFormat="1" ht="49.15" customHeight="1" x14ac:dyDescent="0.2">
      <c r="A4036" s="81">
        <v>20041901</v>
      </c>
      <c r="B4036" s="80" t="s">
        <v>4381</v>
      </c>
      <c r="C4036" s="81" t="s">
        <v>9512</v>
      </c>
    </row>
    <row r="4037" spans="1:3" s="79" customFormat="1" ht="78.95" customHeight="1" x14ac:dyDescent="0.2">
      <c r="A4037" s="81">
        <v>20041902</v>
      </c>
      <c r="B4037" s="80" t="s">
        <v>4398</v>
      </c>
      <c r="C4037" s="82" t="s">
        <v>9513</v>
      </c>
    </row>
    <row r="4038" spans="1:3" s="79" customFormat="1" ht="49.15" customHeight="1" x14ac:dyDescent="0.2">
      <c r="A4038" s="81">
        <v>20041903</v>
      </c>
      <c r="B4038" s="80" t="s">
        <v>4399</v>
      </c>
      <c r="C4038" s="82" t="s">
        <v>9514</v>
      </c>
    </row>
    <row r="4039" spans="1:3" s="79" customFormat="1" ht="78.95" customHeight="1" x14ac:dyDescent="0.2">
      <c r="A4039" s="81">
        <v>20041904</v>
      </c>
      <c r="B4039" s="80" t="s">
        <v>4400</v>
      </c>
      <c r="C4039" s="82" t="s">
        <v>9515</v>
      </c>
    </row>
    <row r="4040" spans="1:3" s="79" customFormat="1" ht="99.2" customHeight="1" x14ac:dyDescent="0.2">
      <c r="A4040" s="81">
        <v>20041905</v>
      </c>
      <c r="B4040" s="80" t="s">
        <v>4401</v>
      </c>
      <c r="C4040" s="82" t="s">
        <v>9516</v>
      </c>
    </row>
    <row r="4041" spans="1:3" s="79" customFormat="1" ht="38.85" customHeight="1" x14ac:dyDescent="0.2">
      <c r="A4041" s="81">
        <v>20041908</v>
      </c>
      <c r="B4041" s="80" t="s">
        <v>4379</v>
      </c>
      <c r="C4041" s="82" t="s">
        <v>9517</v>
      </c>
    </row>
    <row r="4042" spans="1:3" s="79" customFormat="1" ht="38.85" customHeight="1" x14ac:dyDescent="0.2">
      <c r="A4042" s="81">
        <v>20041910</v>
      </c>
      <c r="B4042" s="80" t="s">
        <v>4382</v>
      </c>
      <c r="C4042" s="81" t="s">
        <v>9518</v>
      </c>
    </row>
    <row r="4043" spans="1:3" s="79" customFormat="1" ht="38.85" customHeight="1" x14ac:dyDescent="0.2">
      <c r="A4043" s="81">
        <v>20041911</v>
      </c>
      <c r="B4043" s="80" t="s">
        <v>4403</v>
      </c>
      <c r="C4043" s="82" t="s">
        <v>9519</v>
      </c>
    </row>
    <row r="4044" spans="1:3" s="79" customFormat="1" ht="38.85" customHeight="1" x14ac:dyDescent="0.2">
      <c r="A4044" s="81">
        <v>20041912</v>
      </c>
      <c r="B4044" s="80" t="s">
        <v>4404</v>
      </c>
      <c r="C4044" s="82" t="s">
        <v>9520</v>
      </c>
    </row>
    <row r="4045" spans="1:3" s="79" customFormat="1" ht="28.7" customHeight="1" x14ac:dyDescent="0.2">
      <c r="A4045" s="81">
        <v>20041913</v>
      </c>
      <c r="B4045" s="80" t="s">
        <v>4405</v>
      </c>
      <c r="C4045" s="82" t="s">
        <v>9521</v>
      </c>
    </row>
    <row r="4046" spans="1:3" s="79" customFormat="1" ht="59.1" customHeight="1" x14ac:dyDescent="0.2">
      <c r="A4046" s="81">
        <v>20041914</v>
      </c>
      <c r="B4046" s="80" t="s">
        <v>4406</v>
      </c>
      <c r="C4046" s="82" t="s">
        <v>9522</v>
      </c>
    </row>
    <row r="4047" spans="1:3" s="79" customFormat="1" ht="38.85" customHeight="1" x14ac:dyDescent="0.2">
      <c r="A4047" s="81">
        <v>20041915</v>
      </c>
      <c r="B4047" s="80" t="s">
        <v>4407</v>
      </c>
      <c r="C4047" s="82" t="s">
        <v>9523</v>
      </c>
    </row>
    <row r="4048" spans="1:3" s="79" customFormat="1" ht="38.85" customHeight="1" x14ac:dyDescent="0.2">
      <c r="A4048" s="81">
        <v>20041916</v>
      </c>
      <c r="B4048" s="80" t="s">
        <v>4408</v>
      </c>
      <c r="C4048" s="82" t="s">
        <v>9524</v>
      </c>
    </row>
    <row r="4049" spans="1:3" s="79" customFormat="1" ht="38.85" customHeight="1" x14ac:dyDescent="0.2">
      <c r="A4049" s="81">
        <v>20041917</v>
      </c>
      <c r="B4049" s="80" t="s">
        <v>4409</v>
      </c>
      <c r="C4049" s="82" t="s">
        <v>9525</v>
      </c>
    </row>
    <row r="4050" spans="1:3" s="79" customFormat="1" ht="38.85" customHeight="1" x14ac:dyDescent="0.2">
      <c r="A4050" s="81">
        <v>20041928</v>
      </c>
      <c r="B4050" s="80" t="s">
        <v>4383</v>
      </c>
      <c r="C4050" s="81" t="s">
        <v>9526</v>
      </c>
    </row>
    <row r="4051" spans="1:3" s="79" customFormat="1" ht="38.85" customHeight="1" x14ac:dyDescent="0.2">
      <c r="A4051" s="81">
        <v>20041929</v>
      </c>
      <c r="B4051" s="80" t="s">
        <v>4384</v>
      </c>
      <c r="C4051" s="82" t="s">
        <v>9527</v>
      </c>
    </row>
    <row r="4052" spans="1:3" s="79" customFormat="1" ht="38.85" customHeight="1" x14ac:dyDescent="0.2">
      <c r="A4052" s="81">
        <v>20041930</v>
      </c>
      <c r="B4052" s="80" t="s">
        <v>4385</v>
      </c>
      <c r="C4052" s="82" t="s">
        <v>9528</v>
      </c>
    </row>
    <row r="4053" spans="1:3" s="79" customFormat="1" ht="38.85" customHeight="1" x14ac:dyDescent="0.2">
      <c r="A4053" s="81">
        <v>20041931</v>
      </c>
      <c r="B4053" s="80" t="s">
        <v>4386</v>
      </c>
      <c r="C4053" s="82" t="s">
        <v>9529</v>
      </c>
    </row>
    <row r="4054" spans="1:3" s="79" customFormat="1" ht="89.1" customHeight="1" x14ac:dyDescent="0.2">
      <c r="A4054" s="81">
        <v>20041932</v>
      </c>
      <c r="B4054" s="80" t="s">
        <v>4395</v>
      </c>
      <c r="C4054" s="81" t="s">
        <v>9530</v>
      </c>
    </row>
    <row r="4055" spans="1:3" s="79" customFormat="1" ht="49.15" customHeight="1" x14ac:dyDescent="0.2">
      <c r="A4055" s="81">
        <v>20041933</v>
      </c>
      <c r="B4055" s="80" t="s">
        <v>4396</v>
      </c>
      <c r="C4055" s="81" t="s">
        <v>9531</v>
      </c>
    </row>
    <row r="4056" spans="1:3" s="79" customFormat="1" ht="49.15" customHeight="1" x14ac:dyDescent="0.2">
      <c r="A4056" s="81">
        <v>20041934</v>
      </c>
      <c r="B4056" s="80" t="s">
        <v>4397</v>
      </c>
      <c r="C4056" s="81" t="s">
        <v>9532</v>
      </c>
    </row>
    <row r="4057" spans="1:3" s="79" customFormat="1" ht="59.1" customHeight="1" x14ac:dyDescent="0.2">
      <c r="A4057" s="81">
        <v>20041936</v>
      </c>
      <c r="B4057" s="80" t="s">
        <v>4437</v>
      </c>
      <c r="C4057" s="82" t="s">
        <v>9533</v>
      </c>
    </row>
    <row r="4058" spans="1:3" s="79" customFormat="1" ht="78.95" customHeight="1" x14ac:dyDescent="0.2">
      <c r="A4058" s="81">
        <v>20041937</v>
      </c>
      <c r="B4058" s="80" t="s">
        <v>4438</v>
      </c>
      <c r="C4058" s="82" t="s">
        <v>9534</v>
      </c>
    </row>
    <row r="4059" spans="1:3" s="79" customFormat="1" ht="149.25" customHeight="1" x14ac:dyDescent="0.2">
      <c r="A4059" s="81">
        <v>20041938</v>
      </c>
      <c r="B4059" s="80" t="s">
        <v>4387</v>
      </c>
      <c r="C4059" s="82" t="s">
        <v>9535</v>
      </c>
    </row>
    <row r="4060" spans="1:3" s="79" customFormat="1" ht="149.25" customHeight="1" x14ac:dyDescent="0.2">
      <c r="A4060" s="81">
        <v>20041939</v>
      </c>
      <c r="B4060" s="80" t="s">
        <v>4388</v>
      </c>
      <c r="C4060" s="82" t="s">
        <v>9536</v>
      </c>
    </row>
    <row r="4061" spans="1:3" s="79" customFormat="1" ht="38.85" customHeight="1" x14ac:dyDescent="0.2">
      <c r="A4061" s="81">
        <v>20041940</v>
      </c>
      <c r="B4061" s="80" t="s">
        <v>4389</v>
      </c>
      <c r="C4061" s="82" t="s">
        <v>9537</v>
      </c>
    </row>
    <row r="4062" spans="1:3" s="79" customFormat="1" ht="38.85" customHeight="1" x14ac:dyDescent="0.2">
      <c r="A4062" s="81">
        <v>20041941</v>
      </c>
      <c r="B4062" s="80" t="s">
        <v>4390</v>
      </c>
      <c r="C4062" s="82" t="s">
        <v>9538</v>
      </c>
    </row>
    <row r="4063" spans="1:3" s="79" customFormat="1" ht="49.15" customHeight="1" x14ac:dyDescent="0.2">
      <c r="A4063" s="81">
        <v>20041942</v>
      </c>
      <c r="B4063" s="80" t="s">
        <v>4391</v>
      </c>
      <c r="C4063" s="82" t="s">
        <v>9539</v>
      </c>
    </row>
    <row r="4064" spans="1:3" s="79" customFormat="1" ht="49.15" customHeight="1" x14ac:dyDescent="0.2">
      <c r="A4064" s="81">
        <v>20041943</v>
      </c>
      <c r="B4064" s="80" t="s">
        <v>4392</v>
      </c>
      <c r="C4064" s="82" t="s">
        <v>9540</v>
      </c>
    </row>
    <row r="4065" spans="1:3" s="79" customFormat="1" ht="49.15" customHeight="1" x14ac:dyDescent="0.2">
      <c r="A4065" s="81">
        <v>20041944</v>
      </c>
      <c r="B4065" s="80" t="s">
        <v>4393</v>
      </c>
      <c r="C4065" s="82" t="s">
        <v>9541</v>
      </c>
    </row>
    <row r="4066" spans="1:3" s="79" customFormat="1" ht="49.15" customHeight="1" x14ac:dyDescent="0.2">
      <c r="A4066" s="81">
        <v>20041945</v>
      </c>
      <c r="B4066" s="80" t="s">
        <v>4394</v>
      </c>
      <c r="C4066" s="82" t="s">
        <v>9542</v>
      </c>
    </row>
    <row r="4067" spans="1:3" s="79" customFormat="1" ht="49.15" customHeight="1" x14ac:dyDescent="0.2">
      <c r="A4067" s="81">
        <v>20041946</v>
      </c>
      <c r="B4067" s="80" t="s">
        <v>4402</v>
      </c>
      <c r="C4067" s="81" t="s">
        <v>9543</v>
      </c>
    </row>
    <row r="4068" spans="1:3" s="79" customFormat="1" ht="49.15" customHeight="1" x14ac:dyDescent="0.2">
      <c r="A4068" s="81">
        <v>20041968</v>
      </c>
      <c r="B4068" s="80" t="s">
        <v>4410</v>
      </c>
      <c r="C4068" s="82" t="s">
        <v>9544</v>
      </c>
    </row>
    <row r="4069" spans="1:3" s="79" customFormat="1" ht="49.15" customHeight="1" x14ac:dyDescent="0.2">
      <c r="A4069" s="81">
        <v>20041969</v>
      </c>
      <c r="B4069" s="80" t="s">
        <v>4411</v>
      </c>
      <c r="C4069" s="81" t="s">
        <v>9545</v>
      </c>
    </row>
    <row r="4070" spans="1:3" s="79" customFormat="1" ht="49.15" customHeight="1" x14ac:dyDescent="0.2">
      <c r="A4070" s="81">
        <v>20041970</v>
      </c>
      <c r="B4070" s="80" t="s">
        <v>4412</v>
      </c>
      <c r="C4070" s="81" t="s">
        <v>9546</v>
      </c>
    </row>
    <row r="4071" spans="1:3" s="79" customFormat="1" ht="68.849999999999994" customHeight="1" x14ac:dyDescent="0.2">
      <c r="A4071" s="81">
        <v>20041971</v>
      </c>
      <c r="B4071" s="80" t="s">
        <v>4413</v>
      </c>
      <c r="C4071" s="81" t="s">
        <v>9547</v>
      </c>
    </row>
    <row r="4072" spans="1:3" s="79" customFormat="1" ht="38.85" customHeight="1" x14ac:dyDescent="0.2">
      <c r="A4072" s="81">
        <v>20041972</v>
      </c>
      <c r="B4072" s="80" t="s">
        <v>4414</v>
      </c>
      <c r="C4072" s="81" t="s">
        <v>9548</v>
      </c>
    </row>
    <row r="4073" spans="1:3" s="79" customFormat="1" ht="59.1" customHeight="1" x14ac:dyDescent="0.2">
      <c r="A4073" s="81">
        <v>20041973</v>
      </c>
      <c r="B4073" s="80" t="s">
        <v>4415</v>
      </c>
      <c r="C4073" s="82" t="s">
        <v>9549</v>
      </c>
    </row>
    <row r="4074" spans="1:3" s="79" customFormat="1" ht="49.15" customHeight="1" x14ac:dyDescent="0.2">
      <c r="A4074" s="81">
        <v>20041974</v>
      </c>
      <c r="B4074" s="80" t="s">
        <v>4416</v>
      </c>
      <c r="C4074" s="82" t="s">
        <v>9550</v>
      </c>
    </row>
    <row r="4075" spans="1:3" s="79" customFormat="1" ht="49.15" customHeight="1" x14ac:dyDescent="0.2">
      <c r="A4075" s="81">
        <v>20041975</v>
      </c>
      <c r="B4075" s="80" t="s">
        <v>4417</v>
      </c>
      <c r="C4075" s="82" t="s">
        <v>9551</v>
      </c>
    </row>
    <row r="4076" spans="1:3" s="79" customFormat="1" ht="49.15" customHeight="1" x14ac:dyDescent="0.2">
      <c r="A4076" s="81">
        <v>20041976</v>
      </c>
      <c r="B4076" s="80" t="s">
        <v>4418</v>
      </c>
      <c r="C4076" s="82" t="s">
        <v>9552</v>
      </c>
    </row>
    <row r="4077" spans="1:3" s="79" customFormat="1" ht="38.85" customHeight="1" x14ac:dyDescent="0.2">
      <c r="A4077" s="81">
        <v>20041977</v>
      </c>
      <c r="B4077" s="80" t="s">
        <v>4419</v>
      </c>
      <c r="C4077" s="82" t="s">
        <v>9553</v>
      </c>
    </row>
    <row r="4078" spans="1:3" s="79" customFormat="1" ht="38.85" customHeight="1" x14ac:dyDescent="0.2">
      <c r="A4078" s="81">
        <v>20041988</v>
      </c>
      <c r="B4078" s="80" t="s">
        <v>4420</v>
      </c>
      <c r="C4078" s="82" t="s">
        <v>9554</v>
      </c>
    </row>
    <row r="4079" spans="1:3" s="79" customFormat="1" ht="49.15" customHeight="1" x14ac:dyDescent="0.2">
      <c r="A4079" s="81">
        <v>20041989</v>
      </c>
      <c r="B4079" s="80" t="s">
        <v>4421</v>
      </c>
      <c r="C4079" s="82" t="s">
        <v>9555</v>
      </c>
    </row>
    <row r="4080" spans="1:3" s="79" customFormat="1" ht="38.85" customHeight="1" x14ac:dyDescent="0.2">
      <c r="A4080" s="81">
        <v>20041990</v>
      </c>
      <c r="B4080" s="80" t="s">
        <v>4422</v>
      </c>
      <c r="C4080" s="82" t="s">
        <v>9556</v>
      </c>
    </row>
    <row r="4081" spans="1:3" s="79" customFormat="1" ht="38.85" customHeight="1" x14ac:dyDescent="0.2">
      <c r="A4081" s="81">
        <v>20041991</v>
      </c>
      <c r="B4081" s="80" t="s">
        <v>4423</v>
      </c>
      <c r="C4081" s="82" t="s">
        <v>9557</v>
      </c>
    </row>
    <row r="4082" spans="1:3" s="79" customFormat="1" ht="38.85" customHeight="1" x14ac:dyDescent="0.2">
      <c r="A4082" s="81">
        <v>20041992</v>
      </c>
      <c r="B4082" s="80" t="s">
        <v>4424</v>
      </c>
      <c r="C4082" s="82" t="s">
        <v>9558</v>
      </c>
    </row>
    <row r="4083" spans="1:3" s="79" customFormat="1" ht="38.85" customHeight="1" x14ac:dyDescent="0.2">
      <c r="A4083" s="81">
        <v>20041993</v>
      </c>
      <c r="B4083" s="80" t="s">
        <v>4425</v>
      </c>
      <c r="C4083" s="82" t="s">
        <v>9559</v>
      </c>
    </row>
    <row r="4084" spans="1:3" s="79" customFormat="1" ht="38.85" customHeight="1" x14ac:dyDescent="0.2">
      <c r="A4084" s="81">
        <v>20041994</v>
      </c>
      <c r="B4084" s="80" t="s">
        <v>4426</v>
      </c>
      <c r="C4084" s="82" t="s">
        <v>9560</v>
      </c>
    </row>
    <row r="4085" spans="1:3" s="79" customFormat="1" ht="28.7" customHeight="1" x14ac:dyDescent="0.2">
      <c r="A4085" s="81">
        <v>20041995</v>
      </c>
      <c r="B4085" s="80" t="s">
        <v>4427</v>
      </c>
      <c r="C4085" s="82" t="s">
        <v>9561</v>
      </c>
    </row>
    <row r="4086" spans="1:3" s="79" customFormat="1" ht="28.7" customHeight="1" x14ac:dyDescent="0.2">
      <c r="A4086" s="81">
        <v>20041996</v>
      </c>
      <c r="B4086" s="80" t="s">
        <v>4428</v>
      </c>
      <c r="C4086" s="82" t="s">
        <v>9562</v>
      </c>
    </row>
    <row r="4087" spans="1:3" s="79" customFormat="1" ht="28.7" customHeight="1" x14ac:dyDescent="0.2">
      <c r="A4087" s="81">
        <v>20041997</v>
      </c>
      <c r="B4087" s="80" t="s">
        <v>4429</v>
      </c>
      <c r="C4087" s="82" t="s">
        <v>9563</v>
      </c>
    </row>
    <row r="4088" spans="1:3" s="79" customFormat="1" ht="28.7" customHeight="1" x14ac:dyDescent="0.2">
      <c r="A4088" s="81">
        <v>20041998</v>
      </c>
      <c r="B4088" s="80" t="s">
        <v>4430</v>
      </c>
      <c r="C4088" s="82" t="s">
        <v>9564</v>
      </c>
    </row>
    <row r="4089" spans="1:3" s="79" customFormat="1" ht="28.7" customHeight="1" x14ac:dyDescent="0.2">
      <c r="A4089" s="81">
        <v>20041999</v>
      </c>
      <c r="B4089" s="80" t="s">
        <v>4431</v>
      </c>
      <c r="C4089" s="82" t="s">
        <v>9565</v>
      </c>
    </row>
    <row r="4090" spans="1:3" s="79" customFormat="1" ht="28.7" customHeight="1" x14ac:dyDescent="0.2">
      <c r="A4090" s="81">
        <v>20042000</v>
      </c>
      <c r="B4090" s="80" t="s">
        <v>4432</v>
      </c>
      <c r="C4090" s="82" t="s">
        <v>9566</v>
      </c>
    </row>
    <row r="4091" spans="1:3" s="79" customFormat="1" ht="28.7" customHeight="1" x14ac:dyDescent="0.2">
      <c r="A4091" s="81">
        <v>20042001</v>
      </c>
      <c r="B4091" s="80" t="s">
        <v>4433</v>
      </c>
      <c r="C4091" s="82" t="s">
        <v>9567</v>
      </c>
    </row>
    <row r="4092" spans="1:3" s="79" customFormat="1" ht="28.7" customHeight="1" x14ac:dyDescent="0.2">
      <c r="A4092" s="81">
        <v>20042002</v>
      </c>
      <c r="B4092" s="80" t="s">
        <v>4434</v>
      </c>
      <c r="C4092" s="82" t="s">
        <v>9568</v>
      </c>
    </row>
    <row r="4093" spans="1:3" s="79" customFormat="1" ht="28.7" customHeight="1" x14ac:dyDescent="0.2">
      <c r="A4093" s="81">
        <v>20042003</v>
      </c>
      <c r="B4093" s="80" t="s">
        <v>4435</v>
      </c>
      <c r="C4093" s="82" t="s">
        <v>9569</v>
      </c>
    </row>
    <row r="4094" spans="1:3" s="79" customFormat="1" ht="28.7" customHeight="1" x14ac:dyDescent="0.2">
      <c r="A4094" s="81">
        <v>20042004</v>
      </c>
      <c r="B4094" s="80" t="s">
        <v>4436</v>
      </c>
      <c r="C4094" s="82" t="s">
        <v>9570</v>
      </c>
    </row>
    <row r="4095" spans="1:3" s="79" customFormat="1" ht="49.15" customHeight="1" x14ac:dyDescent="0.2">
      <c r="A4095" s="81">
        <v>20042007</v>
      </c>
      <c r="B4095" s="80" t="s">
        <v>4439</v>
      </c>
      <c r="C4095" s="82" t="s">
        <v>9571</v>
      </c>
    </row>
    <row r="4096" spans="1:3" s="79" customFormat="1" ht="38.85" customHeight="1" x14ac:dyDescent="0.2">
      <c r="A4096" s="81">
        <v>20042008</v>
      </c>
      <c r="B4096" s="80" t="s">
        <v>4440</v>
      </c>
      <c r="C4096" s="82" t="s">
        <v>9572</v>
      </c>
    </row>
    <row r="4097" spans="1:3" s="79" customFormat="1" ht="38.85" customHeight="1" x14ac:dyDescent="0.2">
      <c r="A4097" s="81">
        <v>20042009</v>
      </c>
      <c r="B4097" s="80" t="s">
        <v>4441</v>
      </c>
      <c r="C4097" s="82" t="s">
        <v>9573</v>
      </c>
    </row>
    <row r="4098" spans="1:3" s="79" customFormat="1" ht="38.85" customHeight="1" x14ac:dyDescent="0.2">
      <c r="A4098" s="81">
        <v>20042010</v>
      </c>
      <c r="B4098" s="80" t="s">
        <v>4442</v>
      </c>
      <c r="C4098" s="82" t="s">
        <v>9574</v>
      </c>
    </row>
    <row r="4099" spans="1:3" s="79" customFormat="1" ht="49.15" customHeight="1" x14ac:dyDescent="0.2">
      <c r="A4099" s="81">
        <v>20042011</v>
      </c>
      <c r="B4099" s="80" t="s">
        <v>4443</v>
      </c>
      <c r="C4099" s="82" t="s">
        <v>9575</v>
      </c>
    </row>
    <row r="4100" spans="1:3" s="79" customFormat="1" ht="38.85" customHeight="1" x14ac:dyDescent="0.2">
      <c r="A4100" s="81">
        <v>20042012</v>
      </c>
      <c r="B4100" s="80" t="s">
        <v>4444</v>
      </c>
      <c r="C4100" s="81" t="s">
        <v>9576</v>
      </c>
    </row>
    <row r="4101" spans="1:3" s="79" customFormat="1" ht="38.85" customHeight="1" x14ac:dyDescent="0.2">
      <c r="A4101" s="81">
        <v>20042013</v>
      </c>
      <c r="B4101" s="80" t="s">
        <v>4445</v>
      </c>
      <c r="C4101" s="81" t="s">
        <v>9577</v>
      </c>
    </row>
    <row r="4102" spans="1:3" s="79" customFormat="1" ht="38.85" customHeight="1" x14ac:dyDescent="0.2">
      <c r="A4102" s="81">
        <v>20042014</v>
      </c>
      <c r="B4102" s="80" t="s">
        <v>4446</v>
      </c>
      <c r="C4102" s="81" t="s">
        <v>9578</v>
      </c>
    </row>
    <row r="4103" spans="1:3" s="79" customFormat="1" ht="38.85" customHeight="1" x14ac:dyDescent="0.2">
      <c r="A4103" s="81">
        <v>20042015</v>
      </c>
      <c r="B4103" s="80" t="s">
        <v>4447</v>
      </c>
      <c r="C4103" s="81" t="s">
        <v>9579</v>
      </c>
    </row>
    <row r="4104" spans="1:3" s="79" customFormat="1" ht="99.2" customHeight="1" x14ac:dyDescent="0.2">
      <c r="A4104" s="81">
        <v>20042018</v>
      </c>
      <c r="B4104" s="80" t="s">
        <v>4448</v>
      </c>
      <c r="C4104" s="82" t="s">
        <v>9580</v>
      </c>
    </row>
    <row r="4105" spans="1:3" s="79" customFormat="1" ht="89.1" customHeight="1" x14ac:dyDescent="0.2">
      <c r="A4105" s="81">
        <v>20042028</v>
      </c>
      <c r="B4105" s="80" t="s">
        <v>4449</v>
      </c>
      <c r="C4105" s="82" t="s">
        <v>9581</v>
      </c>
    </row>
    <row r="4106" spans="1:3" s="79" customFormat="1" ht="89.1" customHeight="1" x14ac:dyDescent="0.2">
      <c r="A4106" s="81">
        <v>20042029</v>
      </c>
      <c r="B4106" s="80" t="s">
        <v>4450</v>
      </c>
      <c r="C4106" s="82" t="s">
        <v>9582</v>
      </c>
    </row>
    <row r="4107" spans="1:3" s="79" customFormat="1" ht="78.95" customHeight="1" x14ac:dyDescent="0.2">
      <c r="A4107" s="81">
        <v>20042030</v>
      </c>
      <c r="B4107" s="80" t="s">
        <v>4451</v>
      </c>
      <c r="C4107" s="82" t="s">
        <v>9583</v>
      </c>
    </row>
    <row r="4108" spans="1:3" s="79" customFormat="1" ht="49.15" customHeight="1" x14ac:dyDescent="0.2">
      <c r="A4108" s="81">
        <v>20042031</v>
      </c>
      <c r="B4108" s="80" t="s">
        <v>4452</v>
      </c>
      <c r="C4108" s="82" t="s">
        <v>9584</v>
      </c>
    </row>
    <row r="4109" spans="1:3" s="79" customFormat="1" ht="49.15" customHeight="1" x14ac:dyDescent="0.2">
      <c r="A4109" s="81">
        <v>20042032</v>
      </c>
      <c r="B4109" s="80" t="s">
        <v>4453</v>
      </c>
      <c r="C4109" s="82" t="s">
        <v>9585</v>
      </c>
    </row>
    <row r="4110" spans="1:3" s="79" customFormat="1" ht="49.15" customHeight="1" x14ac:dyDescent="0.2">
      <c r="A4110" s="81">
        <v>20042033</v>
      </c>
      <c r="B4110" s="80" t="s">
        <v>4454</v>
      </c>
      <c r="C4110" s="82" t="s">
        <v>9586</v>
      </c>
    </row>
    <row r="4111" spans="1:3" s="79" customFormat="1" ht="49.15" customHeight="1" x14ac:dyDescent="0.2">
      <c r="A4111" s="81">
        <v>20042034</v>
      </c>
      <c r="B4111" s="80" t="s">
        <v>4455</v>
      </c>
      <c r="C4111" s="82" t="s">
        <v>9587</v>
      </c>
    </row>
    <row r="4112" spans="1:3" s="79" customFormat="1" ht="19.149999999999999" customHeight="1" x14ac:dyDescent="0.2">
      <c r="A4112" s="81">
        <v>20042035</v>
      </c>
      <c r="B4112" s="80" t="s">
        <v>4456</v>
      </c>
      <c r="C4112" s="82" t="s">
        <v>9588</v>
      </c>
    </row>
    <row r="4113" spans="1:3" s="79" customFormat="1" ht="38.85" customHeight="1" x14ac:dyDescent="0.2">
      <c r="A4113" s="81">
        <v>20042036</v>
      </c>
      <c r="B4113" s="80" t="s">
        <v>4457</v>
      </c>
      <c r="C4113" s="82" t="s">
        <v>9589</v>
      </c>
    </row>
    <row r="4114" spans="1:3" s="79" customFormat="1" ht="19.149999999999999" customHeight="1" x14ac:dyDescent="0.2">
      <c r="A4114" s="81">
        <v>20042038</v>
      </c>
      <c r="B4114" s="80" t="s">
        <v>4458</v>
      </c>
      <c r="C4114" s="81" t="s">
        <v>9590</v>
      </c>
    </row>
    <row r="4115" spans="1:3" s="79" customFormat="1" ht="19.149999999999999" customHeight="1" x14ac:dyDescent="0.2">
      <c r="A4115" s="81">
        <v>20042040</v>
      </c>
      <c r="B4115" s="80" t="s">
        <v>4468</v>
      </c>
      <c r="C4115" s="82" t="s">
        <v>9591</v>
      </c>
    </row>
    <row r="4116" spans="1:3" s="79" customFormat="1" ht="19.149999999999999" customHeight="1" x14ac:dyDescent="0.2">
      <c r="A4116" s="81">
        <v>20042041</v>
      </c>
      <c r="B4116" s="80" t="s">
        <v>4469</v>
      </c>
      <c r="C4116" s="82" t="s">
        <v>9592</v>
      </c>
    </row>
    <row r="4117" spans="1:3" s="79" customFormat="1" ht="19.149999999999999" customHeight="1" x14ac:dyDescent="0.2">
      <c r="A4117" s="81">
        <v>20042042</v>
      </c>
      <c r="B4117" s="80" t="s">
        <v>4470</v>
      </c>
      <c r="C4117" s="80" t="s">
        <v>9593</v>
      </c>
    </row>
    <row r="4118" spans="1:3" s="79" customFormat="1" ht="89.1" customHeight="1" x14ac:dyDescent="0.2">
      <c r="A4118" s="81">
        <v>20042043</v>
      </c>
      <c r="B4118" s="80" t="s">
        <v>4471</v>
      </c>
      <c r="C4118" s="80" t="s">
        <v>9594</v>
      </c>
    </row>
    <row r="4119" spans="1:3" s="79" customFormat="1" ht="28.7" customHeight="1" x14ac:dyDescent="0.2">
      <c r="A4119" s="81">
        <v>20042044</v>
      </c>
      <c r="B4119" s="80" t="s">
        <v>4476</v>
      </c>
      <c r="C4119" s="82" t="s">
        <v>9595</v>
      </c>
    </row>
    <row r="4120" spans="1:3" s="79" customFormat="1" ht="28.7" customHeight="1" x14ac:dyDescent="0.2">
      <c r="A4120" s="81">
        <v>20042058</v>
      </c>
      <c r="B4120" s="80" t="s">
        <v>4459</v>
      </c>
      <c r="C4120" s="82" t="s">
        <v>9596</v>
      </c>
    </row>
    <row r="4121" spans="1:3" s="79" customFormat="1" ht="19.149999999999999" customHeight="1" x14ac:dyDescent="0.2">
      <c r="A4121" s="81">
        <v>20042059</v>
      </c>
      <c r="B4121" s="80" t="s">
        <v>4460</v>
      </c>
      <c r="C4121" s="82" t="s">
        <v>9597</v>
      </c>
    </row>
    <row r="4122" spans="1:3" s="79" customFormat="1" ht="19.149999999999999" customHeight="1" x14ac:dyDescent="0.2">
      <c r="A4122" s="81">
        <v>20042060</v>
      </c>
      <c r="B4122" s="80" t="s">
        <v>4463</v>
      </c>
      <c r="C4122" s="82" t="s">
        <v>9598</v>
      </c>
    </row>
    <row r="4123" spans="1:3" s="79" customFormat="1" ht="49.15" customHeight="1" x14ac:dyDescent="0.2">
      <c r="A4123" s="81">
        <v>20042061</v>
      </c>
      <c r="B4123" s="80" t="s">
        <v>4464</v>
      </c>
      <c r="C4123" s="82" t="s">
        <v>9599</v>
      </c>
    </row>
    <row r="4124" spans="1:3" s="79" customFormat="1" ht="38.85" customHeight="1" x14ac:dyDescent="0.2">
      <c r="A4124" s="81">
        <v>20042062</v>
      </c>
      <c r="B4124" s="80" t="s">
        <v>4465</v>
      </c>
      <c r="C4124" s="82" t="s">
        <v>9600</v>
      </c>
    </row>
    <row r="4125" spans="1:3" s="79" customFormat="1" ht="38.85" customHeight="1" x14ac:dyDescent="0.2">
      <c r="A4125" s="81">
        <v>20042063</v>
      </c>
      <c r="B4125" s="80" t="s">
        <v>4466</v>
      </c>
      <c r="C4125" s="82" t="s">
        <v>9601</v>
      </c>
    </row>
    <row r="4126" spans="1:3" s="79" customFormat="1" ht="28.7" customHeight="1" x14ac:dyDescent="0.2">
      <c r="A4126" s="81">
        <v>20042068</v>
      </c>
      <c r="B4126" s="80" t="s">
        <v>4461</v>
      </c>
      <c r="C4126" s="82" t="s">
        <v>9602</v>
      </c>
    </row>
    <row r="4127" spans="1:3" s="79" customFormat="1" ht="38.85" customHeight="1" x14ac:dyDescent="0.2">
      <c r="A4127" s="81">
        <v>20042088</v>
      </c>
      <c r="B4127" s="80" t="s">
        <v>4462</v>
      </c>
      <c r="C4127" s="82" t="s">
        <v>9603</v>
      </c>
    </row>
    <row r="4128" spans="1:3" s="79" customFormat="1" ht="38.85" customHeight="1" x14ac:dyDescent="0.2">
      <c r="A4128" s="81">
        <v>20042089</v>
      </c>
      <c r="B4128" s="80" t="s">
        <v>4467</v>
      </c>
      <c r="C4128" s="82" t="s">
        <v>9604</v>
      </c>
    </row>
    <row r="4129" spans="1:3" s="79" customFormat="1" ht="28.7" customHeight="1" x14ac:dyDescent="0.2">
      <c r="A4129" s="81">
        <v>20042090</v>
      </c>
      <c r="B4129" s="80" t="s">
        <v>4472</v>
      </c>
      <c r="C4129" s="80" t="s">
        <v>9605</v>
      </c>
    </row>
    <row r="4130" spans="1:3" s="79" customFormat="1" ht="38.85" customHeight="1" x14ac:dyDescent="0.2">
      <c r="A4130" s="81">
        <v>20042091</v>
      </c>
      <c r="B4130" s="80" t="s">
        <v>4473</v>
      </c>
      <c r="C4130" s="80" t="s">
        <v>9606</v>
      </c>
    </row>
    <row r="4131" spans="1:3" s="79" customFormat="1" ht="68.849999999999994" customHeight="1" x14ac:dyDescent="0.2">
      <c r="A4131" s="81">
        <v>20042092</v>
      </c>
      <c r="B4131" s="80" t="s">
        <v>4474</v>
      </c>
      <c r="C4131" s="80" t="s">
        <v>9607</v>
      </c>
    </row>
    <row r="4132" spans="1:3" s="79" customFormat="1" ht="38.85" customHeight="1" x14ac:dyDescent="0.2">
      <c r="A4132" s="81">
        <v>20042093</v>
      </c>
      <c r="B4132" s="80" t="s">
        <v>4475</v>
      </c>
      <c r="C4132" s="80" t="s">
        <v>9608</v>
      </c>
    </row>
    <row r="4133" spans="1:3" s="79" customFormat="1" ht="19.149999999999999" customHeight="1" x14ac:dyDescent="0.2">
      <c r="A4133" s="81">
        <v>20042150</v>
      </c>
      <c r="B4133" s="80" t="s">
        <v>4477</v>
      </c>
      <c r="C4133" s="81" t="s">
        <v>9609</v>
      </c>
    </row>
    <row r="4134" spans="1:3" s="79" customFormat="1" ht="19.149999999999999" customHeight="1" x14ac:dyDescent="0.2">
      <c r="A4134" s="81">
        <v>20042151</v>
      </c>
      <c r="B4134" s="80" t="s">
        <v>4479</v>
      </c>
      <c r="C4134" s="80" t="s">
        <v>9610</v>
      </c>
    </row>
    <row r="4135" spans="1:3" s="79" customFormat="1" ht="19.149999999999999" customHeight="1" x14ac:dyDescent="0.2">
      <c r="A4135" s="81">
        <v>20042160</v>
      </c>
      <c r="B4135" s="80" t="s">
        <v>4478</v>
      </c>
      <c r="C4135" s="82" t="s">
        <v>9611</v>
      </c>
    </row>
    <row r="4136" spans="1:3" s="79" customFormat="1" ht="19.149999999999999" customHeight="1" x14ac:dyDescent="0.2">
      <c r="A4136" s="81">
        <v>20042170</v>
      </c>
      <c r="B4136" s="80" t="s">
        <v>4482</v>
      </c>
      <c r="C4136" s="82" t="s">
        <v>9612</v>
      </c>
    </row>
    <row r="4137" spans="1:3" s="79" customFormat="1" ht="169.15" customHeight="1" x14ac:dyDescent="0.2">
      <c r="A4137" s="81">
        <v>20042171</v>
      </c>
      <c r="B4137" s="80" t="s">
        <v>4483</v>
      </c>
      <c r="C4137" s="82" t="s">
        <v>9613</v>
      </c>
    </row>
    <row r="4138" spans="1:3" s="79" customFormat="1" ht="19.149999999999999" customHeight="1" x14ac:dyDescent="0.2">
      <c r="A4138" s="81">
        <v>20042172</v>
      </c>
      <c r="B4138" s="80" t="s">
        <v>4484</v>
      </c>
      <c r="C4138" s="82" t="s">
        <v>9614</v>
      </c>
    </row>
    <row r="4139" spans="1:3" s="79" customFormat="1" ht="38.85" customHeight="1" x14ac:dyDescent="0.2">
      <c r="A4139" s="81">
        <v>20042173</v>
      </c>
      <c r="B4139" s="80" t="s">
        <v>4485</v>
      </c>
      <c r="C4139" s="82" t="s">
        <v>9615</v>
      </c>
    </row>
    <row r="4140" spans="1:3" s="79" customFormat="1" ht="28.7" customHeight="1" x14ac:dyDescent="0.2">
      <c r="A4140" s="81">
        <v>20042175</v>
      </c>
      <c r="B4140" s="80" t="s">
        <v>4489</v>
      </c>
      <c r="C4140" s="81" t="s">
        <v>9616</v>
      </c>
    </row>
    <row r="4141" spans="1:3" s="79" customFormat="1" ht="99.2" customHeight="1" x14ac:dyDescent="0.2">
      <c r="A4141" s="81">
        <v>20042176</v>
      </c>
      <c r="B4141" s="80" t="s">
        <v>4490</v>
      </c>
      <c r="C4141" s="81" t="s">
        <v>9617</v>
      </c>
    </row>
    <row r="4142" spans="1:3" s="79" customFormat="1" ht="89.1" customHeight="1" x14ac:dyDescent="0.2">
      <c r="A4142" s="81">
        <v>20042178</v>
      </c>
      <c r="B4142" s="80" t="s">
        <v>4480</v>
      </c>
      <c r="C4142" s="82" t="s">
        <v>9618</v>
      </c>
    </row>
    <row r="4143" spans="1:3" s="79" customFormat="1" ht="89.1" customHeight="1" x14ac:dyDescent="0.2">
      <c r="A4143" s="81">
        <v>20042179</v>
      </c>
      <c r="B4143" s="80" t="s">
        <v>4486</v>
      </c>
      <c r="C4143" s="82" t="s">
        <v>9619</v>
      </c>
    </row>
    <row r="4144" spans="1:3" s="79" customFormat="1" ht="49.15" customHeight="1" x14ac:dyDescent="0.2">
      <c r="A4144" s="81">
        <v>20042180</v>
      </c>
      <c r="B4144" s="80" t="s">
        <v>4488</v>
      </c>
      <c r="C4144" s="81" t="s">
        <v>9620</v>
      </c>
    </row>
    <row r="4145" spans="1:3" s="79" customFormat="1" ht="99.2" customHeight="1" x14ac:dyDescent="0.2">
      <c r="A4145" s="81">
        <v>20042208</v>
      </c>
      <c r="B4145" s="80" t="s">
        <v>4491</v>
      </c>
      <c r="C4145" s="81" t="s">
        <v>9621</v>
      </c>
    </row>
    <row r="4146" spans="1:3" s="79" customFormat="1" ht="99.2" customHeight="1" x14ac:dyDescent="0.2">
      <c r="A4146" s="81">
        <v>20042218</v>
      </c>
      <c r="B4146" s="80" t="s">
        <v>4492</v>
      </c>
      <c r="C4146" s="81" t="s">
        <v>9622</v>
      </c>
    </row>
    <row r="4147" spans="1:3" s="79" customFormat="1" ht="28.7" customHeight="1" x14ac:dyDescent="0.2">
      <c r="A4147" s="81">
        <v>20042219</v>
      </c>
      <c r="B4147" s="80" t="s">
        <v>11436</v>
      </c>
      <c r="C4147" s="81" t="s">
        <v>9623</v>
      </c>
    </row>
    <row r="4148" spans="1:3" s="79" customFormat="1" ht="49.15" customHeight="1" x14ac:dyDescent="0.2">
      <c r="A4148" s="81">
        <v>20042228</v>
      </c>
      <c r="B4148" s="80" t="s">
        <v>4493</v>
      </c>
      <c r="C4148" s="82" t="s">
        <v>9624</v>
      </c>
    </row>
    <row r="4149" spans="1:3" s="79" customFormat="1" ht="99.2" customHeight="1" x14ac:dyDescent="0.2">
      <c r="A4149" s="81">
        <v>20042229</v>
      </c>
      <c r="B4149" s="80" t="s">
        <v>3944</v>
      </c>
      <c r="C4149" s="81" t="s">
        <v>9625</v>
      </c>
    </row>
    <row r="4150" spans="1:3" s="79" customFormat="1" ht="78.95" customHeight="1" x14ac:dyDescent="0.2">
      <c r="A4150" s="81">
        <v>20042231</v>
      </c>
      <c r="B4150" s="80" t="s">
        <v>4507</v>
      </c>
      <c r="C4150" s="82" t="s">
        <v>9626</v>
      </c>
    </row>
    <row r="4151" spans="1:3" s="79" customFormat="1" ht="118.9" customHeight="1" x14ac:dyDescent="0.2">
      <c r="A4151" s="81">
        <v>20042268</v>
      </c>
      <c r="B4151" s="80" t="s">
        <v>11437</v>
      </c>
      <c r="C4151" s="81" t="s">
        <v>9627</v>
      </c>
    </row>
    <row r="4152" spans="1:3" s="79" customFormat="1" ht="219.2" customHeight="1" x14ac:dyDescent="0.2">
      <c r="A4152" s="81">
        <v>20042270</v>
      </c>
      <c r="B4152" s="80" t="s">
        <v>4494</v>
      </c>
      <c r="C4152" s="82" t="s">
        <v>9628</v>
      </c>
    </row>
    <row r="4153" spans="1:3" s="79" customFormat="1" ht="68.849999999999994" customHeight="1" x14ac:dyDescent="0.2">
      <c r="A4153" s="81">
        <v>20042271</v>
      </c>
      <c r="B4153" s="80" t="s">
        <v>4495</v>
      </c>
      <c r="C4153" s="82" t="s">
        <v>9629</v>
      </c>
    </row>
    <row r="4154" spans="1:3" s="79" customFormat="1" ht="169.15" customHeight="1" x14ac:dyDescent="0.2">
      <c r="A4154" s="81">
        <v>20042272</v>
      </c>
      <c r="B4154" s="80" t="s">
        <v>4496</v>
      </c>
      <c r="C4154" s="82" t="s">
        <v>9630</v>
      </c>
    </row>
    <row r="4155" spans="1:3" s="79" customFormat="1" ht="38.85" customHeight="1" x14ac:dyDescent="0.2">
      <c r="A4155" s="81">
        <v>20042273</v>
      </c>
      <c r="B4155" s="80" t="s">
        <v>4497</v>
      </c>
      <c r="C4155" s="82" t="s">
        <v>9631</v>
      </c>
    </row>
    <row r="4156" spans="1:3" s="79" customFormat="1" ht="89.1" customHeight="1" x14ac:dyDescent="0.2">
      <c r="A4156" s="81">
        <v>20042274</v>
      </c>
      <c r="B4156" s="80" t="s">
        <v>4498</v>
      </c>
      <c r="C4156" s="81" t="s">
        <v>9632</v>
      </c>
    </row>
    <row r="4157" spans="1:3" s="79" customFormat="1" ht="38.85" customHeight="1" x14ac:dyDescent="0.2">
      <c r="A4157" s="81">
        <v>20042275</v>
      </c>
      <c r="B4157" s="80" t="s">
        <v>4499</v>
      </c>
      <c r="C4157" s="80" t="s">
        <v>4499</v>
      </c>
    </row>
    <row r="4158" spans="1:3" s="79" customFormat="1" ht="38.85" customHeight="1" x14ac:dyDescent="0.2">
      <c r="A4158" s="81">
        <v>20042276</v>
      </c>
      <c r="B4158" s="80" t="s">
        <v>4500</v>
      </c>
      <c r="C4158" s="80" t="s">
        <v>4500</v>
      </c>
    </row>
    <row r="4159" spans="1:3" s="79" customFormat="1" ht="38.85" customHeight="1" x14ac:dyDescent="0.2">
      <c r="A4159" s="81">
        <v>20042277</v>
      </c>
      <c r="B4159" s="80" t="s">
        <v>4502</v>
      </c>
      <c r="C4159" s="82" t="s">
        <v>9633</v>
      </c>
    </row>
    <row r="4160" spans="1:3" s="79" customFormat="1" ht="38.85" customHeight="1" x14ac:dyDescent="0.2">
      <c r="A4160" s="81">
        <v>20042288</v>
      </c>
      <c r="B4160" s="80" t="s">
        <v>4501</v>
      </c>
      <c r="C4160" s="80" t="s">
        <v>9634</v>
      </c>
    </row>
    <row r="4161" spans="1:3" s="79" customFormat="1" ht="169.15" customHeight="1" x14ac:dyDescent="0.2">
      <c r="A4161" s="81">
        <v>20042289</v>
      </c>
      <c r="B4161" s="80" t="s">
        <v>4508</v>
      </c>
      <c r="C4161" s="82" t="s">
        <v>9635</v>
      </c>
    </row>
    <row r="4162" spans="1:3" s="79" customFormat="1" ht="19.149999999999999" customHeight="1" x14ac:dyDescent="0.2">
      <c r="A4162" s="81">
        <v>20042290</v>
      </c>
      <c r="B4162" s="80" t="s">
        <v>4509</v>
      </c>
      <c r="C4162" s="82" t="s">
        <v>9636</v>
      </c>
    </row>
    <row r="4163" spans="1:3" s="79" customFormat="1" ht="19.149999999999999" customHeight="1" x14ac:dyDescent="0.2">
      <c r="A4163" s="81">
        <v>20042292</v>
      </c>
      <c r="B4163" s="80" t="s">
        <v>4512</v>
      </c>
      <c r="C4163" s="82" t="s">
        <v>9637</v>
      </c>
    </row>
    <row r="4164" spans="1:3" s="79" customFormat="1" ht="28.7" customHeight="1" x14ac:dyDescent="0.2">
      <c r="A4164" s="81">
        <v>20042298</v>
      </c>
      <c r="B4164" s="80" t="s">
        <v>4503</v>
      </c>
      <c r="C4164" s="82" t="s">
        <v>9638</v>
      </c>
    </row>
    <row r="4165" spans="1:3" s="79" customFormat="1" ht="19.149999999999999" customHeight="1" x14ac:dyDescent="0.2">
      <c r="A4165" s="81">
        <v>20042299</v>
      </c>
      <c r="B4165" s="80" t="s">
        <v>4504</v>
      </c>
      <c r="C4165" s="82" t="s">
        <v>9639</v>
      </c>
    </row>
    <row r="4166" spans="1:3" s="79" customFormat="1" ht="28.7" customHeight="1" x14ac:dyDescent="0.2">
      <c r="A4166" s="81">
        <v>20042300</v>
      </c>
      <c r="B4166" s="80" t="s">
        <v>4505</v>
      </c>
      <c r="C4166" s="82" t="s">
        <v>9640</v>
      </c>
    </row>
    <row r="4167" spans="1:3" s="79" customFormat="1" ht="28.7" customHeight="1" x14ac:dyDescent="0.2">
      <c r="A4167" s="81">
        <v>20042301</v>
      </c>
      <c r="B4167" s="80" t="s">
        <v>4506</v>
      </c>
      <c r="C4167" s="82" t="s">
        <v>9641</v>
      </c>
    </row>
    <row r="4168" spans="1:3" s="79" customFormat="1" ht="28.7" customHeight="1" x14ac:dyDescent="0.2">
      <c r="A4168" s="81">
        <v>20042307</v>
      </c>
      <c r="B4168" s="80" t="s">
        <v>3665</v>
      </c>
      <c r="C4168" s="81" t="s">
        <v>8893</v>
      </c>
    </row>
    <row r="4169" spans="1:3" s="79" customFormat="1" ht="38.85" customHeight="1" x14ac:dyDescent="0.2">
      <c r="A4169" s="81">
        <v>20042310</v>
      </c>
      <c r="B4169" s="80" t="s">
        <v>4513</v>
      </c>
      <c r="C4169" s="82" t="s">
        <v>9642</v>
      </c>
    </row>
    <row r="4170" spans="1:3" s="79" customFormat="1" ht="38.85" customHeight="1" x14ac:dyDescent="0.2">
      <c r="A4170" s="81">
        <v>20042320</v>
      </c>
      <c r="B4170" s="80" t="s">
        <v>4510</v>
      </c>
      <c r="C4170" s="82" t="s">
        <v>9643</v>
      </c>
    </row>
    <row r="4171" spans="1:3" s="79" customFormat="1" ht="38.85" customHeight="1" x14ac:dyDescent="0.2">
      <c r="A4171" s="81">
        <v>20042354</v>
      </c>
      <c r="B4171" s="80" t="s">
        <v>4511</v>
      </c>
      <c r="C4171" s="82" t="s">
        <v>9644</v>
      </c>
    </row>
    <row r="4172" spans="1:3" s="79" customFormat="1" ht="38.85" customHeight="1" x14ac:dyDescent="0.2">
      <c r="A4172" s="81">
        <v>20042356</v>
      </c>
      <c r="B4172" s="80" t="s">
        <v>4515</v>
      </c>
      <c r="C4172" s="81" t="s">
        <v>9645</v>
      </c>
    </row>
    <row r="4173" spans="1:3" s="79" customFormat="1" ht="169.15" customHeight="1" x14ac:dyDescent="0.2">
      <c r="A4173" s="81">
        <v>20042358</v>
      </c>
      <c r="B4173" s="80" t="s">
        <v>4514</v>
      </c>
      <c r="C4173" s="81" t="s">
        <v>9646</v>
      </c>
    </row>
    <row r="4174" spans="1:3" s="79" customFormat="1" ht="59.1" customHeight="1" x14ac:dyDescent="0.2">
      <c r="A4174" s="81">
        <v>20042369</v>
      </c>
      <c r="B4174" s="80" t="s">
        <v>4517</v>
      </c>
      <c r="C4174" s="82" t="s">
        <v>9647</v>
      </c>
    </row>
    <row r="4175" spans="1:3" s="79" customFormat="1" ht="38.85" customHeight="1" x14ac:dyDescent="0.2">
      <c r="A4175" s="81">
        <v>20042378</v>
      </c>
      <c r="B4175" s="80" t="s">
        <v>4516</v>
      </c>
      <c r="C4175" s="82" t="s">
        <v>9648</v>
      </c>
    </row>
    <row r="4176" spans="1:3" s="79" customFormat="1" ht="38.85" customHeight="1" x14ac:dyDescent="0.2">
      <c r="A4176" s="81">
        <v>20042388</v>
      </c>
      <c r="B4176" s="80" t="s">
        <v>11261</v>
      </c>
      <c r="C4176" s="81" t="s">
        <v>11262</v>
      </c>
    </row>
    <row r="4177" spans="1:3" s="79" customFormat="1" ht="129" customHeight="1" x14ac:dyDescent="0.2">
      <c r="A4177" s="81">
        <v>20042390</v>
      </c>
      <c r="B4177" s="80" t="s">
        <v>4518</v>
      </c>
      <c r="C4177" s="81" t="s">
        <v>9649</v>
      </c>
    </row>
    <row r="4178" spans="1:3" s="79" customFormat="1" ht="129" customHeight="1" x14ac:dyDescent="0.2">
      <c r="A4178" s="81">
        <v>20042391</v>
      </c>
      <c r="B4178" s="80" t="s">
        <v>4519</v>
      </c>
      <c r="C4178" s="82" t="s">
        <v>9650</v>
      </c>
    </row>
    <row r="4179" spans="1:3" s="79" customFormat="1" ht="28.7" customHeight="1" x14ac:dyDescent="0.2">
      <c r="A4179" s="81">
        <v>20042403</v>
      </c>
      <c r="B4179" s="80" t="s">
        <v>4528</v>
      </c>
      <c r="C4179" s="82" t="s">
        <v>9651</v>
      </c>
    </row>
    <row r="4180" spans="1:3" s="79" customFormat="1" ht="49.15" customHeight="1" x14ac:dyDescent="0.2">
      <c r="A4180" s="81">
        <v>20042404</v>
      </c>
      <c r="B4180" s="80" t="s">
        <v>4529</v>
      </c>
      <c r="C4180" s="82" t="s">
        <v>11036</v>
      </c>
    </row>
    <row r="4181" spans="1:3" s="79" customFormat="1" ht="68.849999999999994" customHeight="1" x14ac:dyDescent="0.2">
      <c r="A4181" s="81">
        <v>20042405</v>
      </c>
      <c r="B4181" s="80" t="s">
        <v>4530</v>
      </c>
      <c r="C4181" s="82" t="s">
        <v>11037</v>
      </c>
    </row>
    <row r="4182" spans="1:3" s="79" customFormat="1" ht="99.2" customHeight="1" x14ac:dyDescent="0.2">
      <c r="A4182" s="81">
        <v>20042418</v>
      </c>
      <c r="B4182" s="80" t="s">
        <v>11678</v>
      </c>
      <c r="C4182" s="81" t="s">
        <v>9652</v>
      </c>
    </row>
    <row r="4183" spans="1:3" s="79" customFormat="1" ht="28.7" customHeight="1" x14ac:dyDescent="0.2">
      <c r="A4183" s="81">
        <v>20042419</v>
      </c>
      <c r="B4183" s="80" t="s">
        <v>11679</v>
      </c>
      <c r="C4183" s="81" t="s">
        <v>9653</v>
      </c>
    </row>
    <row r="4184" spans="1:3" s="79" customFormat="1" ht="28.7" customHeight="1" x14ac:dyDescent="0.2">
      <c r="A4184" s="81">
        <v>20042432</v>
      </c>
      <c r="B4184" s="80" t="s">
        <v>4522</v>
      </c>
      <c r="C4184" s="82" t="s">
        <v>9654</v>
      </c>
    </row>
    <row r="4185" spans="1:3" s="79" customFormat="1" ht="28.7" customHeight="1" x14ac:dyDescent="0.2">
      <c r="A4185" s="81">
        <v>20042452</v>
      </c>
      <c r="B4185" s="80" t="s">
        <v>4533</v>
      </c>
      <c r="C4185" s="82" t="s">
        <v>9655</v>
      </c>
    </row>
    <row r="4186" spans="1:3" s="79" customFormat="1" ht="38.85" customHeight="1" x14ac:dyDescent="0.2">
      <c r="A4186" s="81">
        <v>20042459</v>
      </c>
      <c r="B4186" s="80" t="s">
        <v>4523</v>
      </c>
      <c r="C4186" s="82" t="s">
        <v>9656</v>
      </c>
    </row>
    <row r="4187" spans="1:3" s="79" customFormat="1" ht="179.1" customHeight="1" x14ac:dyDescent="0.2">
      <c r="A4187" s="81">
        <v>20042460</v>
      </c>
      <c r="B4187" s="80" t="s">
        <v>4524</v>
      </c>
      <c r="C4187" s="82" t="s">
        <v>9657</v>
      </c>
    </row>
    <row r="4188" spans="1:3" s="79" customFormat="1" ht="189.4" customHeight="1" x14ac:dyDescent="0.2">
      <c r="A4188" s="81">
        <v>20042461</v>
      </c>
      <c r="B4188" s="80" t="s">
        <v>4525</v>
      </c>
      <c r="C4188" s="82" t="s">
        <v>9658</v>
      </c>
    </row>
    <row r="4189" spans="1:3" s="79" customFormat="1" ht="28.7" customHeight="1" x14ac:dyDescent="0.2">
      <c r="A4189" s="81">
        <v>20042462</v>
      </c>
      <c r="B4189" s="80" t="s">
        <v>4526</v>
      </c>
      <c r="C4189" s="82" t="s">
        <v>9659</v>
      </c>
    </row>
    <row r="4190" spans="1:3" s="79" customFormat="1" ht="28.7" customHeight="1" x14ac:dyDescent="0.2">
      <c r="A4190" s="81">
        <v>20042463</v>
      </c>
      <c r="B4190" s="80" t="s">
        <v>4527</v>
      </c>
      <c r="C4190" s="80" t="s">
        <v>9660</v>
      </c>
    </row>
    <row r="4191" spans="1:3" s="79" customFormat="1" ht="28.7" customHeight="1" x14ac:dyDescent="0.2">
      <c r="A4191" s="81">
        <v>20042465</v>
      </c>
      <c r="B4191" s="80" t="s">
        <v>11438</v>
      </c>
      <c r="C4191" s="81" t="s">
        <v>11439</v>
      </c>
    </row>
    <row r="4192" spans="1:3" s="79" customFormat="1" ht="28.7" customHeight="1" x14ac:dyDescent="0.2">
      <c r="A4192" s="81">
        <v>20042466</v>
      </c>
      <c r="B4192" s="80" t="s">
        <v>4531</v>
      </c>
      <c r="C4192" s="80" t="s">
        <v>9661</v>
      </c>
    </row>
    <row r="4193" spans="1:3" s="79" customFormat="1" ht="28.7" customHeight="1" x14ac:dyDescent="0.2">
      <c r="A4193" s="81">
        <v>20042467</v>
      </c>
      <c r="B4193" s="80" t="s">
        <v>4532</v>
      </c>
      <c r="C4193" s="82" t="s">
        <v>9662</v>
      </c>
    </row>
    <row r="4194" spans="1:3" s="79" customFormat="1" ht="28.7" customHeight="1" x14ac:dyDescent="0.2">
      <c r="A4194" s="81">
        <v>20042514</v>
      </c>
      <c r="B4194" s="80" t="s">
        <v>4568</v>
      </c>
      <c r="C4194" s="82" t="s">
        <v>9663</v>
      </c>
    </row>
    <row r="4195" spans="1:3" s="79" customFormat="1" ht="19.149999999999999" customHeight="1" x14ac:dyDescent="0.2">
      <c r="A4195" s="81">
        <v>20042516</v>
      </c>
      <c r="B4195" s="80" t="s">
        <v>4571</v>
      </c>
      <c r="C4195" s="80" t="s">
        <v>9664</v>
      </c>
    </row>
    <row r="4196" spans="1:3" s="79" customFormat="1" ht="198.95" customHeight="1" x14ac:dyDescent="0.2">
      <c r="A4196" s="81">
        <v>20042520</v>
      </c>
      <c r="B4196" s="80" t="s">
        <v>4535</v>
      </c>
      <c r="C4196" s="81" t="s">
        <v>11213</v>
      </c>
    </row>
    <row r="4197" spans="1:3" s="79" customFormat="1" ht="19.149999999999999" customHeight="1" x14ac:dyDescent="0.2">
      <c r="A4197" s="81">
        <v>20042521</v>
      </c>
      <c r="B4197" s="80" t="s">
        <v>4536</v>
      </c>
      <c r="C4197" s="82" t="s">
        <v>9665</v>
      </c>
    </row>
    <row r="4198" spans="1:3" s="79" customFormat="1" ht="49.15" customHeight="1" x14ac:dyDescent="0.2">
      <c r="A4198" s="81">
        <v>20042522</v>
      </c>
      <c r="B4198" s="80" t="s">
        <v>4537</v>
      </c>
      <c r="C4198" s="82" t="s">
        <v>9666</v>
      </c>
    </row>
    <row r="4199" spans="1:3" s="79" customFormat="1" ht="38.85" customHeight="1" x14ac:dyDescent="0.2">
      <c r="A4199" s="81">
        <v>20042523</v>
      </c>
      <c r="B4199" s="80" t="s">
        <v>4538</v>
      </c>
      <c r="C4199" s="80" t="s">
        <v>9667</v>
      </c>
    </row>
    <row r="4200" spans="1:3" s="79" customFormat="1" ht="19.149999999999999" customHeight="1" x14ac:dyDescent="0.2">
      <c r="A4200" s="81">
        <v>20042528</v>
      </c>
      <c r="B4200" s="80" t="s">
        <v>4534</v>
      </c>
      <c r="C4200" s="82" t="s">
        <v>9668</v>
      </c>
    </row>
    <row r="4201" spans="1:3" s="79" customFormat="1" ht="89.1" customHeight="1" x14ac:dyDescent="0.2">
      <c r="A4201" s="81">
        <v>20042542</v>
      </c>
      <c r="B4201" s="80" t="s">
        <v>4566</v>
      </c>
      <c r="C4201" s="82" t="s">
        <v>9669</v>
      </c>
    </row>
    <row r="4202" spans="1:3" s="79" customFormat="1" ht="38.85" customHeight="1" x14ac:dyDescent="0.2">
      <c r="A4202" s="81">
        <v>20042543</v>
      </c>
      <c r="B4202" s="80" t="s">
        <v>4580</v>
      </c>
      <c r="C4202" s="82" t="s">
        <v>9670</v>
      </c>
    </row>
    <row r="4203" spans="1:3" s="79" customFormat="1" ht="38.85" customHeight="1" x14ac:dyDescent="0.2">
      <c r="A4203" s="81">
        <v>20042544</v>
      </c>
      <c r="B4203" s="80" t="s">
        <v>4581</v>
      </c>
      <c r="C4203" s="80" t="s">
        <v>9671</v>
      </c>
    </row>
    <row r="4204" spans="1:3" s="79" customFormat="1" ht="19.149999999999999" customHeight="1" x14ac:dyDescent="0.2">
      <c r="A4204" s="81">
        <v>20042545</v>
      </c>
      <c r="B4204" s="80" t="s">
        <v>4582</v>
      </c>
      <c r="C4204" s="82" t="s">
        <v>9672</v>
      </c>
    </row>
    <row r="4205" spans="1:3" s="79" customFormat="1" ht="109.35" customHeight="1" x14ac:dyDescent="0.2">
      <c r="A4205" s="81">
        <v>20042546</v>
      </c>
      <c r="B4205" s="80" t="s">
        <v>4583</v>
      </c>
      <c r="C4205" s="82" t="s">
        <v>9673</v>
      </c>
    </row>
    <row r="4206" spans="1:3" s="79" customFormat="1" ht="28.7" customHeight="1" x14ac:dyDescent="0.2">
      <c r="A4206" s="81">
        <v>20042547</v>
      </c>
      <c r="B4206" s="80" t="s">
        <v>4584</v>
      </c>
      <c r="C4206" s="82" t="s">
        <v>9674</v>
      </c>
    </row>
    <row r="4207" spans="1:3" s="79" customFormat="1" ht="38.85" customHeight="1" x14ac:dyDescent="0.2">
      <c r="A4207" s="81">
        <v>20042552</v>
      </c>
      <c r="B4207" s="80" t="s">
        <v>4569</v>
      </c>
      <c r="C4207" s="82" t="s">
        <v>9675</v>
      </c>
    </row>
    <row r="4208" spans="1:3" s="79" customFormat="1" ht="19.149999999999999" customHeight="1" x14ac:dyDescent="0.2">
      <c r="A4208" s="81">
        <v>20042553</v>
      </c>
      <c r="B4208" s="80" t="s">
        <v>4570</v>
      </c>
      <c r="C4208" s="82" t="s">
        <v>9676</v>
      </c>
    </row>
    <row r="4209" spans="1:3" s="79" customFormat="1" ht="38.85" customHeight="1" x14ac:dyDescent="0.2">
      <c r="A4209" s="81">
        <v>20042559</v>
      </c>
      <c r="B4209" s="80" t="s">
        <v>4563</v>
      </c>
      <c r="C4209" s="82" t="s">
        <v>9677</v>
      </c>
    </row>
    <row r="4210" spans="1:3" s="79" customFormat="1" ht="38.85" customHeight="1" x14ac:dyDescent="0.2">
      <c r="A4210" s="81">
        <v>20042560</v>
      </c>
      <c r="B4210" s="80" t="s">
        <v>4564</v>
      </c>
      <c r="C4210" s="82" t="s">
        <v>9678</v>
      </c>
    </row>
    <row r="4211" spans="1:3" s="79" customFormat="1" ht="38.85" customHeight="1" x14ac:dyDescent="0.2">
      <c r="A4211" s="81">
        <v>20042561</v>
      </c>
      <c r="B4211" s="80" t="s">
        <v>4565</v>
      </c>
      <c r="C4211" s="82" t="s">
        <v>9679</v>
      </c>
    </row>
    <row r="4212" spans="1:3" s="79" customFormat="1" ht="38.85" customHeight="1" x14ac:dyDescent="0.2">
      <c r="A4212" s="81">
        <v>20042565</v>
      </c>
      <c r="B4212" s="80" t="s">
        <v>4573</v>
      </c>
      <c r="C4212" s="82" t="s">
        <v>9680</v>
      </c>
    </row>
    <row r="4213" spans="1:3" s="79" customFormat="1" ht="28.7" customHeight="1" x14ac:dyDescent="0.2">
      <c r="A4213" s="81">
        <v>20042566</v>
      </c>
      <c r="B4213" s="80" t="s">
        <v>4574</v>
      </c>
      <c r="C4213" s="82" t="s">
        <v>9681</v>
      </c>
    </row>
    <row r="4214" spans="1:3" s="79" customFormat="1" ht="28.7" customHeight="1" x14ac:dyDescent="0.2">
      <c r="A4214" s="81">
        <v>20042567</v>
      </c>
      <c r="B4214" s="80" t="s">
        <v>4575</v>
      </c>
      <c r="C4214" s="82" t="s">
        <v>9682</v>
      </c>
    </row>
    <row r="4215" spans="1:3" s="79" customFormat="1" ht="28.7" customHeight="1" x14ac:dyDescent="0.2">
      <c r="A4215" s="81">
        <v>20042568</v>
      </c>
      <c r="B4215" s="80" t="s">
        <v>4572</v>
      </c>
      <c r="C4215" s="82" t="s">
        <v>9683</v>
      </c>
    </row>
    <row r="4216" spans="1:3" s="79" customFormat="1" ht="28.7" customHeight="1" x14ac:dyDescent="0.2">
      <c r="A4216" s="81">
        <v>20042569</v>
      </c>
      <c r="B4216" s="80" t="s">
        <v>4589</v>
      </c>
      <c r="C4216" s="80" t="s">
        <v>9684</v>
      </c>
    </row>
    <row r="4217" spans="1:3" s="79" customFormat="1" ht="38.85" customHeight="1" x14ac:dyDescent="0.2">
      <c r="A4217" s="81">
        <v>20042578</v>
      </c>
      <c r="B4217" s="80" t="s">
        <v>4576</v>
      </c>
      <c r="C4217" s="82" t="s">
        <v>9685</v>
      </c>
    </row>
    <row r="4218" spans="1:3" s="79" customFormat="1" ht="38.85" customHeight="1" x14ac:dyDescent="0.2">
      <c r="A4218" s="81">
        <v>20042579</v>
      </c>
      <c r="B4218" s="80" t="s">
        <v>4577</v>
      </c>
      <c r="C4218" s="82" t="s">
        <v>9686</v>
      </c>
    </row>
    <row r="4219" spans="1:3" s="79" customFormat="1" ht="38.85" customHeight="1" x14ac:dyDescent="0.2">
      <c r="A4219" s="81">
        <v>20042580</v>
      </c>
      <c r="B4219" s="80" t="s">
        <v>4578</v>
      </c>
      <c r="C4219" s="82" t="s">
        <v>9687</v>
      </c>
    </row>
    <row r="4220" spans="1:3" s="79" customFormat="1" ht="28.7" customHeight="1" x14ac:dyDescent="0.2">
      <c r="A4220" s="81">
        <v>20042581</v>
      </c>
      <c r="B4220" s="80" t="s">
        <v>4579</v>
      </c>
      <c r="C4220" s="82" t="s">
        <v>9688</v>
      </c>
    </row>
    <row r="4221" spans="1:3" s="79" customFormat="1" ht="19.149999999999999" customHeight="1" x14ac:dyDescent="0.2">
      <c r="A4221" s="81">
        <v>20042585</v>
      </c>
      <c r="B4221" s="80" t="s">
        <v>4590</v>
      </c>
      <c r="C4221" s="82" t="s">
        <v>9689</v>
      </c>
    </row>
    <row r="4222" spans="1:3" s="79" customFormat="1" ht="38.85" customHeight="1" x14ac:dyDescent="0.2">
      <c r="A4222" s="81">
        <v>20042588</v>
      </c>
      <c r="B4222" s="80" t="s">
        <v>4585</v>
      </c>
      <c r="C4222" s="82" t="s">
        <v>9690</v>
      </c>
    </row>
    <row r="4223" spans="1:3" s="79" customFormat="1" ht="38.85" customHeight="1" x14ac:dyDescent="0.2">
      <c r="A4223" s="81">
        <v>20042589</v>
      </c>
      <c r="B4223" s="80" t="s">
        <v>4586</v>
      </c>
      <c r="C4223" s="82" t="s">
        <v>9691</v>
      </c>
    </row>
    <row r="4224" spans="1:3" s="79" customFormat="1" ht="38.85" customHeight="1" x14ac:dyDescent="0.2">
      <c r="A4224" s="81">
        <v>20042618</v>
      </c>
      <c r="B4224" s="80" t="s">
        <v>11680</v>
      </c>
      <c r="C4224" s="81" t="s">
        <v>9692</v>
      </c>
    </row>
    <row r="4225" spans="1:3" s="79" customFormat="1" ht="38.85" customHeight="1" x14ac:dyDescent="0.2">
      <c r="A4225" s="81">
        <v>20042619</v>
      </c>
      <c r="B4225" s="80" t="s">
        <v>4592</v>
      </c>
      <c r="C4225" s="82" t="s">
        <v>9693</v>
      </c>
    </row>
    <row r="4226" spans="1:3" s="79" customFormat="1" ht="68.849999999999994" customHeight="1" x14ac:dyDescent="0.2">
      <c r="A4226" s="81">
        <v>20042622</v>
      </c>
      <c r="B4226" s="80" t="s">
        <v>4593</v>
      </c>
      <c r="C4226" s="82" t="s">
        <v>9694</v>
      </c>
    </row>
    <row r="4227" spans="1:3" s="79" customFormat="1" ht="38.85" customHeight="1" x14ac:dyDescent="0.2">
      <c r="A4227" s="81">
        <v>20042643</v>
      </c>
      <c r="B4227" s="80" t="s">
        <v>4591</v>
      </c>
      <c r="C4227" s="81" t="s">
        <v>9695</v>
      </c>
    </row>
    <row r="4228" spans="1:3" s="79" customFormat="1" ht="38.85" customHeight="1" x14ac:dyDescent="0.2">
      <c r="A4228" s="81">
        <v>20042652</v>
      </c>
      <c r="B4228" s="80" t="s">
        <v>4597</v>
      </c>
      <c r="C4228" s="82" t="s">
        <v>9696</v>
      </c>
    </row>
    <row r="4229" spans="1:3" s="79" customFormat="1" ht="169.15" customHeight="1" x14ac:dyDescent="0.2">
      <c r="A4229" s="81">
        <v>20042653</v>
      </c>
      <c r="B4229" s="80" t="s">
        <v>4598</v>
      </c>
      <c r="C4229" s="82" t="s">
        <v>9697</v>
      </c>
    </row>
    <row r="4230" spans="1:3" s="79" customFormat="1" ht="68.849999999999994" customHeight="1" x14ac:dyDescent="0.2">
      <c r="A4230" s="81">
        <v>20042654</v>
      </c>
      <c r="B4230" s="80" t="s">
        <v>4599</v>
      </c>
      <c r="C4230" s="82" t="s">
        <v>9698</v>
      </c>
    </row>
    <row r="4231" spans="1:3" s="79" customFormat="1" ht="28.7" customHeight="1" x14ac:dyDescent="0.2">
      <c r="A4231" s="81">
        <v>20042656</v>
      </c>
      <c r="B4231" s="80" t="s">
        <v>11518</v>
      </c>
      <c r="C4231" s="82" t="s">
        <v>11263</v>
      </c>
    </row>
    <row r="4232" spans="1:3" s="79" customFormat="1" ht="49.15" customHeight="1" x14ac:dyDescent="0.2">
      <c r="A4232" s="81">
        <v>20042657</v>
      </c>
      <c r="B4232" s="80" t="s">
        <v>4600</v>
      </c>
      <c r="C4232" s="80" t="s">
        <v>9699</v>
      </c>
    </row>
    <row r="4233" spans="1:3" s="79" customFormat="1" ht="59.1" customHeight="1" x14ac:dyDescent="0.2">
      <c r="A4233" s="81">
        <v>20042658</v>
      </c>
      <c r="B4233" s="80" t="s">
        <v>4594</v>
      </c>
      <c r="C4233" s="82" t="s">
        <v>9700</v>
      </c>
    </row>
    <row r="4234" spans="1:3" s="79" customFormat="1" ht="68.849999999999994" customHeight="1" x14ac:dyDescent="0.2">
      <c r="A4234" s="81">
        <v>20042668</v>
      </c>
      <c r="B4234" s="80" t="s">
        <v>4595</v>
      </c>
      <c r="C4234" s="82" t="s">
        <v>9701</v>
      </c>
    </row>
    <row r="4235" spans="1:3" s="79" customFormat="1" ht="59.1" customHeight="1" x14ac:dyDescent="0.2">
      <c r="A4235" s="81">
        <v>20042669</v>
      </c>
      <c r="B4235" s="80" t="s">
        <v>4596</v>
      </c>
      <c r="C4235" s="82" t="s">
        <v>9702</v>
      </c>
    </row>
    <row r="4236" spans="1:3" s="79" customFormat="1" ht="28.7" customHeight="1" x14ac:dyDescent="0.2">
      <c r="A4236" s="81">
        <v>20042672</v>
      </c>
      <c r="B4236" s="80" t="s">
        <v>4609</v>
      </c>
      <c r="C4236" s="82" t="s">
        <v>9703</v>
      </c>
    </row>
    <row r="4237" spans="1:3" s="79" customFormat="1" ht="19.149999999999999" customHeight="1" x14ac:dyDescent="0.2">
      <c r="A4237" s="81">
        <v>20042673</v>
      </c>
      <c r="B4237" s="80" t="s">
        <v>4639</v>
      </c>
      <c r="C4237" s="82" t="s">
        <v>9704</v>
      </c>
    </row>
    <row r="4238" spans="1:3" s="79" customFormat="1" ht="19.149999999999999" customHeight="1" x14ac:dyDescent="0.2">
      <c r="A4238" s="81">
        <v>20042675</v>
      </c>
      <c r="B4238" s="80" t="s">
        <v>4640</v>
      </c>
      <c r="C4238" s="82" t="s">
        <v>9705</v>
      </c>
    </row>
    <row r="4239" spans="1:3" s="79" customFormat="1" ht="49.15" customHeight="1" x14ac:dyDescent="0.2">
      <c r="A4239" s="81">
        <v>20042676</v>
      </c>
      <c r="B4239" s="80" t="s">
        <v>4649</v>
      </c>
      <c r="C4239" s="82" t="s">
        <v>9706</v>
      </c>
    </row>
    <row r="4240" spans="1:3" s="79" customFormat="1" ht="49.15" customHeight="1" x14ac:dyDescent="0.2">
      <c r="A4240" s="81">
        <v>20042680</v>
      </c>
      <c r="B4240" s="80" t="s">
        <v>4602</v>
      </c>
      <c r="C4240" s="81" t="s">
        <v>9707</v>
      </c>
    </row>
    <row r="4241" spans="1:3" s="79" customFormat="1" ht="28.7" customHeight="1" x14ac:dyDescent="0.2">
      <c r="A4241" s="81">
        <v>20042681</v>
      </c>
      <c r="B4241" s="80" t="s">
        <v>4603</v>
      </c>
      <c r="C4241" s="81" t="s">
        <v>9708</v>
      </c>
    </row>
    <row r="4242" spans="1:3" s="79" customFormat="1" ht="109.35" customHeight="1" x14ac:dyDescent="0.2">
      <c r="A4242" s="81">
        <v>20042682</v>
      </c>
      <c r="B4242" s="80" t="s">
        <v>4604</v>
      </c>
      <c r="C4242" s="81" t="s">
        <v>10962</v>
      </c>
    </row>
    <row r="4243" spans="1:3" s="79" customFormat="1" ht="49.15" customHeight="1" x14ac:dyDescent="0.2">
      <c r="A4243" s="81">
        <v>20042683</v>
      </c>
      <c r="B4243" s="80" t="s">
        <v>4605</v>
      </c>
      <c r="C4243" s="81" t="s">
        <v>9709</v>
      </c>
    </row>
    <row r="4244" spans="1:3" s="79" customFormat="1" ht="49.15" customHeight="1" x14ac:dyDescent="0.2">
      <c r="A4244" s="81">
        <v>20042684</v>
      </c>
      <c r="B4244" s="80" t="s">
        <v>4606</v>
      </c>
      <c r="C4244" s="81" t="s">
        <v>9710</v>
      </c>
    </row>
    <row r="4245" spans="1:3" s="79" customFormat="1" ht="109.35" customHeight="1" x14ac:dyDescent="0.2">
      <c r="A4245" s="81">
        <v>20042685</v>
      </c>
      <c r="B4245" s="80" t="s">
        <v>4607</v>
      </c>
      <c r="C4245" s="81" t="s">
        <v>9711</v>
      </c>
    </row>
    <row r="4246" spans="1:3" s="79" customFormat="1" ht="89.1" customHeight="1" x14ac:dyDescent="0.2">
      <c r="A4246" s="81">
        <v>20042693</v>
      </c>
      <c r="B4246" s="80" t="s">
        <v>11681</v>
      </c>
      <c r="C4246" s="82" t="s">
        <v>9712</v>
      </c>
    </row>
    <row r="4247" spans="1:3" s="79" customFormat="1" ht="78.95" customHeight="1" x14ac:dyDescent="0.2">
      <c r="A4247" s="81">
        <v>20042699</v>
      </c>
      <c r="B4247" s="80" t="s">
        <v>4608</v>
      </c>
      <c r="C4247" s="80" t="s">
        <v>9713</v>
      </c>
    </row>
    <row r="4248" spans="1:3" s="79" customFormat="1" ht="139.15" customHeight="1" x14ac:dyDescent="0.2">
      <c r="A4248" s="81">
        <v>20042700</v>
      </c>
      <c r="B4248" s="80" t="s">
        <v>4610</v>
      </c>
      <c r="C4248" s="80" t="s">
        <v>9714</v>
      </c>
    </row>
    <row r="4249" spans="1:3" s="79" customFormat="1" ht="129" customHeight="1" x14ac:dyDescent="0.2">
      <c r="A4249" s="81">
        <v>20042706</v>
      </c>
      <c r="B4249" s="80" t="s">
        <v>4641</v>
      </c>
      <c r="C4249" s="82" t="s">
        <v>9715</v>
      </c>
    </row>
    <row r="4250" spans="1:3" s="79" customFormat="1" ht="179.1" customHeight="1" x14ac:dyDescent="0.2">
      <c r="A4250" s="81">
        <v>20042707</v>
      </c>
      <c r="B4250" s="80" t="s">
        <v>4642</v>
      </c>
      <c r="C4250" s="82" t="s">
        <v>9716</v>
      </c>
    </row>
    <row r="4251" spans="1:3" s="79" customFormat="1" ht="68.849999999999994" customHeight="1" x14ac:dyDescent="0.2">
      <c r="A4251" s="81">
        <v>20042708</v>
      </c>
      <c r="B4251" s="80" t="s">
        <v>4611</v>
      </c>
      <c r="C4251" s="82" t="s">
        <v>9717</v>
      </c>
    </row>
    <row r="4252" spans="1:3" s="79" customFormat="1" ht="19.149999999999999" customHeight="1" x14ac:dyDescent="0.2">
      <c r="A4252" s="81">
        <v>20042710</v>
      </c>
      <c r="B4252" s="80" t="s">
        <v>4612</v>
      </c>
      <c r="C4252" s="82" t="s">
        <v>9718</v>
      </c>
    </row>
    <row r="4253" spans="1:3" s="79" customFormat="1" ht="19.149999999999999" customHeight="1" x14ac:dyDescent="0.2">
      <c r="A4253" s="81">
        <v>20042711</v>
      </c>
      <c r="B4253" s="80" t="s">
        <v>4613</v>
      </c>
      <c r="C4253" s="82" t="s">
        <v>9719</v>
      </c>
    </row>
    <row r="4254" spans="1:3" s="79" customFormat="1" ht="28.7" customHeight="1" x14ac:dyDescent="0.2">
      <c r="A4254" s="81">
        <v>20042712</v>
      </c>
      <c r="B4254" s="80" t="s">
        <v>4614</v>
      </c>
      <c r="C4254" s="82" t="s">
        <v>9720</v>
      </c>
    </row>
    <row r="4255" spans="1:3" s="79" customFormat="1" ht="28.7" customHeight="1" x14ac:dyDescent="0.2">
      <c r="A4255" s="81">
        <v>20042713</v>
      </c>
      <c r="B4255" s="80" t="s">
        <v>4615</v>
      </c>
      <c r="C4255" s="80" t="s">
        <v>9721</v>
      </c>
    </row>
    <row r="4256" spans="1:3" s="79" customFormat="1" ht="28.7" customHeight="1" x14ac:dyDescent="0.2">
      <c r="A4256" s="81">
        <v>20042714</v>
      </c>
      <c r="B4256" s="80" t="s">
        <v>4616</v>
      </c>
      <c r="C4256" s="80" t="s">
        <v>9721</v>
      </c>
    </row>
    <row r="4257" spans="1:3" s="79" customFormat="1" ht="28.7" customHeight="1" x14ac:dyDescent="0.2">
      <c r="A4257" s="81">
        <v>20042715</v>
      </c>
      <c r="B4257" s="80" t="s">
        <v>4617</v>
      </c>
      <c r="C4257" s="80" t="s">
        <v>9721</v>
      </c>
    </row>
    <row r="4258" spans="1:3" s="79" customFormat="1" ht="28.7" customHeight="1" x14ac:dyDescent="0.2">
      <c r="A4258" s="81">
        <v>20042716</v>
      </c>
      <c r="B4258" s="80" t="s">
        <v>4618</v>
      </c>
      <c r="C4258" s="80" t="s">
        <v>9721</v>
      </c>
    </row>
    <row r="4259" spans="1:3" s="79" customFormat="1" ht="28.7" customHeight="1" x14ac:dyDescent="0.2">
      <c r="A4259" s="81">
        <v>20042718</v>
      </c>
      <c r="B4259" s="80" t="s">
        <v>4619</v>
      </c>
      <c r="C4259" s="81" t="s">
        <v>9722</v>
      </c>
    </row>
    <row r="4260" spans="1:3" s="79" customFormat="1" ht="19.149999999999999" customHeight="1" x14ac:dyDescent="0.2">
      <c r="A4260" s="81">
        <v>20042719</v>
      </c>
      <c r="B4260" s="80" t="s">
        <v>4620</v>
      </c>
      <c r="C4260" s="81" t="s">
        <v>9723</v>
      </c>
    </row>
    <row r="4261" spans="1:3" s="79" customFormat="1" ht="19.149999999999999" customHeight="1" x14ac:dyDescent="0.2">
      <c r="A4261" s="81">
        <v>20042720</v>
      </c>
      <c r="B4261" s="80" t="s">
        <v>4621</v>
      </c>
      <c r="C4261" s="81" t="s">
        <v>9724</v>
      </c>
    </row>
    <row r="4262" spans="1:3" s="79" customFormat="1" ht="19.149999999999999" customHeight="1" x14ac:dyDescent="0.2">
      <c r="A4262" s="81">
        <v>20042721</v>
      </c>
      <c r="B4262" s="80" t="s">
        <v>4622</v>
      </c>
      <c r="C4262" s="81" t="s">
        <v>9725</v>
      </c>
    </row>
    <row r="4263" spans="1:3" s="79" customFormat="1" ht="19.149999999999999" customHeight="1" x14ac:dyDescent="0.2">
      <c r="A4263" s="81">
        <v>20042722</v>
      </c>
      <c r="B4263" s="80" t="s">
        <v>4623</v>
      </c>
      <c r="C4263" s="81" t="s">
        <v>9726</v>
      </c>
    </row>
    <row r="4264" spans="1:3" s="79" customFormat="1" ht="68.849999999999994" customHeight="1" x14ac:dyDescent="0.2">
      <c r="A4264" s="81">
        <v>20042723</v>
      </c>
      <c r="B4264" s="80" t="s">
        <v>4624</v>
      </c>
      <c r="C4264" s="81" t="s">
        <v>9727</v>
      </c>
    </row>
    <row r="4265" spans="1:3" s="79" customFormat="1" ht="68.849999999999994" customHeight="1" x14ac:dyDescent="0.2">
      <c r="A4265" s="81">
        <v>20042724</v>
      </c>
      <c r="B4265" s="80" t="s">
        <v>4625</v>
      </c>
      <c r="C4265" s="81" t="s">
        <v>9728</v>
      </c>
    </row>
    <row r="4266" spans="1:3" s="79" customFormat="1" ht="68.849999999999994" customHeight="1" x14ac:dyDescent="0.2">
      <c r="A4266" s="81">
        <v>20042725</v>
      </c>
      <c r="B4266" s="80" t="s">
        <v>4626</v>
      </c>
      <c r="C4266" s="81" t="s">
        <v>9729</v>
      </c>
    </row>
    <row r="4267" spans="1:3" s="79" customFormat="1" ht="68.849999999999994" customHeight="1" x14ac:dyDescent="0.2">
      <c r="A4267" s="81">
        <v>20042726</v>
      </c>
      <c r="B4267" s="80" t="s">
        <v>4627</v>
      </c>
      <c r="C4267" s="81" t="s">
        <v>9730</v>
      </c>
    </row>
    <row r="4268" spans="1:3" s="79" customFormat="1" ht="68.849999999999994" customHeight="1" x14ac:dyDescent="0.2">
      <c r="A4268" s="81">
        <v>20042727</v>
      </c>
      <c r="B4268" s="80" t="s">
        <v>4628</v>
      </c>
      <c r="C4268" s="81" t="s">
        <v>9731</v>
      </c>
    </row>
    <row r="4269" spans="1:3" s="79" customFormat="1" ht="68.849999999999994" customHeight="1" x14ac:dyDescent="0.2">
      <c r="A4269" s="81">
        <v>20042728</v>
      </c>
      <c r="B4269" s="80" t="s">
        <v>4629</v>
      </c>
      <c r="C4269" s="81" t="s">
        <v>9732</v>
      </c>
    </row>
    <row r="4270" spans="1:3" s="79" customFormat="1" ht="68.849999999999994" customHeight="1" x14ac:dyDescent="0.2">
      <c r="A4270" s="81">
        <v>20042729</v>
      </c>
      <c r="B4270" s="80" t="s">
        <v>4630</v>
      </c>
      <c r="C4270" s="81" t="s">
        <v>9733</v>
      </c>
    </row>
    <row r="4271" spans="1:3" s="79" customFormat="1" ht="68.849999999999994" customHeight="1" x14ac:dyDescent="0.2">
      <c r="A4271" s="81">
        <v>20042730</v>
      </c>
      <c r="B4271" s="80" t="s">
        <v>4631</v>
      </c>
      <c r="C4271" s="81" t="s">
        <v>9734</v>
      </c>
    </row>
    <row r="4272" spans="1:3" s="79" customFormat="1" ht="68.849999999999994" customHeight="1" x14ac:dyDescent="0.2">
      <c r="A4272" s="81">
        <v>20042731</v>
      </c>
      <c r="B4272" s="80" t="s">
        <v>4632</v>
      </c>
      <c r="C4272" s="81" t="s">
        <v>9735</v>
      </c>
    </row>
    <row r="4273" spans="1:3" s="79" customFormat="1" ht="68.849999999999994" customHeight="1" x14ac:dyDescent="0.2">
      <c r="A4273" s="81">
        <v>20042732</v>
      </c>
      <c r="B4273" s="80" t="s">
        <v>4633</v>
      </c>
      <c r="C4273" s="81" t="s">
        <v>9736</v>
      </c>
    </row>
    <row r="4274" spans="1:3" s="79" customFormat="1" ht="68.849999999999994" customHeight="1" x14ac:dyDescent="0.2">
      <c r="A4274" s="81">
        <v>20042733</v>
      </c>
      <c r="B4274" s="80" t="s">
        <v>4634</v>
      </c>
      <c r="C4274" s="81" t="s">
        <v>9737</v>
      </c>
    </row>
    <row r="4275" spans="1:3" s="79" customFormat="1" ht="68.849999999999994" customHeight="1" x14ac:dyDescent="0.2">
      <c r="A4275" s="81">
        <v>20042734</v>
      </c>
      <c r="B4275" s="80" t="s">
        <v>4635</v>
      </c>
      <c r="C4275" s="81" t="s">
        <v>9738</v>
      </c>
    </row>
    <row r="4276" spans="1:3" s="79" customFormat="1" ht="68.849999999999994" customHeight="1" x14ac:dyDescent="0.2">
      <c r="A4276" s="81">
        <v>20042735</v>
      </c>
      <c r="B4276" s="80" t="s">
        <v>4636</v>
      </c>
      <c r="C4276" s="81" t="s">
        <v>9739</v>
      </c>
    </row>
    <row r="4277" spans="1:3" s="79" customFormat="1" ht="68.849999999999994" customHeight="1" x14ac:dyDescent="0.2">
      <c r="A4277" s="81">
        <v>20042736</v>
      </c>
      <c r="B4277" s="80" t="s">
        <v>4637</v>
      </c>
      <c r="C4277" s="81" t="s">
        <v>9740</v>
      </c>
    </row>
    <row r="4278" spans="1:3" s="79" customFormat="1" ht="68.849999999999994" customHeight="1" x14ac:dyDescent="0.2">
      <c r="A4278" s="81">
        <v>20042737</v>
      </c>
      <c r="B4278" s="80" t="s">
        <v>4638</v>
      </c>
      <c r="C4278" s="81" t="s">
        <v>9741</v>
      </c>
    </row>
    <row r="4279" spans="1:3" s="79" customFormat="1" ht="68.849999999999994" customHeight="1" x14ac:dyDescent="0.2">
      <c r="A4279" s="81">
        <v>20042739</v>
      </c>
      <c r="B4279" s="80" t="s">
        <v>4643</v>
      </c>
      <c r="C4279" s="82" t="s">
        <v>9742</v>
      </c>
    </row>
    <row r="4280" spans="1:3" s="79" customFormat="1" ht="68.849999999999994" customHeight="1" x14ac:dyDescent="0.2">
      <c r="A4280" s="81">
        <v>20042748</v>
      </c>
      <c r="B4280" s="80" t="s">
        <v>4644</v>
      </c>
      <c r="C4280" s="82" t="s">
        <v>9743</v>
      </c>
    </row>
    <row r="4281" spans="1:3" s="79" customFormat="1" ht="68.849999999999994" customHeight="1" x14ac:dyDescent="0.2">
      <c r="A4281" s="81">
        <v>20042749</v>
      </c>
      <c r="B4281" s="80" t="s">
        <v>4645</v>
      </c>
      <c r="C4281" s="82" t="s">
        <v>9744</v>
      </c>
    </row>
    <row r="4282" spans="1:3" s="79" customFormat="1" ht="68.849999999999994" customHeight="1" x14ac:dyDescent="0.2">
      <c r="A4282" s="81">
        <v>20042750</v>
      </c>
      <c r="B4282" s="80" t="s">
        <v>4646</v>
      </c>
      <c r="C4282" s="82" t="s">
        <v>9745</v>
      </c>
    </row>
    <row r="4283" spans="1:3" s="79" customFormat="1" ht="68.849999999999994" customHeight="1" x14ac:dyDescent="0.2">
      <c r="A4283" s="81">
        <v>20042754</v>
      </c>
      <c r="B4283" s="80" t="s">
        <v>4647</v>
      </c>
      <c r="C4283" s="82" t="s">
        <v>9746</v>
      </c>
    </row>
    <row r="4284" spans="1:3" s="79" customFormat="1" ht="59.1" customHeight="1" x14ac:dyDescent="0.2">
      <c r="A4284" s="81">
        <v>20042755</v>
      </c>
      <c r="B4284" s="80" t="s">
        <v>4648</v>
      </c>
      <c r="C4284" s="82" t="s">
        <v>9747</v>
      </c>
    </row>
    <row r="4285" spans="1:3" s="79" customFormat="1" ht="38.85" customHeight="1" x14ac:dyDescent="0.2">
      <c r="A4285" s="81">
        <v>20042760</v>
      </c>
      <c r="B4285" s="80" t="s">
        <v>4650</v>
      </c>
      <c r="C4285" s="82" t="s">
        <v>9748</v>
      </c>
    </row>
    <row r="4286" spans="1:3" s="79" customFormat="1" ht="28.7" customHeight="1" x14ac:dyDescent="0.2">
      <c r="A4286" s="81">
        <v>20042761</v>
      </c>
      <c r="B4286" s="80" t="s">
        <v>4651</v>
      </c>
      <c r="C4286" s="81" t="s">
        <v>9749</v>
      </c>
    </row>
    <row r="4287" spans="1:3" s="79" customFormat="1" ht="28.7" customHeight="1" x14ac:dyDescent="0.2">
      <c r="A4287" s="81">
        <v>20042769</v>
      </c>
      <c r="B4287" s="80" t="s">
        <v>4652</v>
      </c>
      <c r="C4287" s="81" t="s">
        <v>9750</v>
      </c>
    </row>
    <row r="4288" spans="1:3" s="79" customFormat="1" ht="28.7" customHeight="1" x14ac:dyDescent="0.2">
      <c r="A4288" s="81">
        <v>20042773</v>
      </c>
      <c r="B4288" s="80" t="s">
        <v>4660</v>
      </c>
      <c r="C4288" s="82" t="s">
        <v>9751</v>
      </c>
    </row>
    <row r="4289" spans="1:3" s="79" customFormat="1" ht="38.85" customHeight="1" x14ac:dyDescent="0.2">
      <c r="A4289" s="81">
        <v>20042779</v>
      </c>
      <c r="B4289" s="80" t="s">
        <v>4655</v>
      </c>
      <c r="C4289" s="82" t="s">
        <v>9752</v>
      </c>
    </row>
    <row r="4290" spans="1:3" s="79" customFormat="1" ht="28.7" customHeight="1" x14ac:dyDescent="0.2">
      <c r="A4290" s="81">
        <v>20042784</v>
      </c>
      <c r="B4290" s="80" t="s">
        <v>4671</v>
      </c>
      <c r="C4290" s="81" t="s">
        <v>9753</v>
      </c>
    </row>
    <row r="4291" spans="1:3" s="79" customFormat="1" ht="209.1" customHeight="1" x14ac:dyDescent="0.2">
      <c r="A4291" s="81">
        <v>20042785</v>
      </c>
      <c r="B4291" s="80" t="s">
        <v>4672</v>
      </c>
      <c r="C4291" s="82" t="s">
        <v>9754</v>
      </c>
    </row>
    <row r="4292" spans="1:3" s="79" customFormat="1" ht="89.1" customHeight="1" x14ac:dyDescent="0.2">
      <c r="A4292" s="81">
        <v>20042786</v>
      </c>
      <c r="B4292" s="80" t="s">
        <v>4675</v>
      </c>
      <c r="C4292" s="82" t="s">
        <v>9755</v>
      </c>
    </row>
    <row r="4293" spans="1:3" s="79" customFormat="1" ht="38.85" customHeight="1" x14ac:dyDescent="0.2">
      <c r="A4293" s="81">
        <v>20042789</v>
      </c>
      <c r="B4293" s="80" t="s">
        <v>4653</v>
      </c>
      <c r="C4293" s="82" t="s">
        <v>9756</v>
      </c>
    </row>
    <row r="4294" spans="1:3" s="79" customFormat="1" ht="28.7" customHeight="1" x14ac:dyDescent="0.2">
      <c r="A4294" s="81">
        <v>20042790</v>
      </c>
      <c r="B4294" s="80" t="s">
        <v>4656</v>
      </c>
      <c r="C4294" s="82" t="s">
        <v>9757</v>
      </c>
    </row>
    <row r="4295" spans="1:3" s="79" customFormat="1" ht="109.35" customHeight="1" x14ac:dyDescent="0.2">
      <c r="A4295" s="81">
        <v>20042791</v>
      </c>
      <c r="B4295" s="80" t="s">
        <v>4659</v>
      </c>
      <c r="C4295" s="82" t="s">
        <v>9758</v>
      </c>
    </row>
    <row r="4296" spans="1:3" s="79" customFormat="1" ht="38.85" customHeight="1" x14ac:dyDescent="0.2">
      <c r="A4296" s="81">
        <v>20042795</v>
      </c>
      <c r="B4296" s="80" t="s">
        <v>4661</v>
      </c>
      <c r="C4296" s="81" t="s">
        <v>9759</v>
      </c>
    </row>
    <row r="4297" spans="1:3" s="79" customFormat="1" ht="89.1" customHeight="1" x14ac:dyDescent="0.2">
      <c r="A4297" s="81">
        <v>20042796</v>
      </c>
      <c r="B4297" s="80" t="s">
        <v>4662</v>
      </c>
      <c r="C4297" s="82" t="s">
        <v>9760</v>
      </c>
    </row>
    <row r="4298" spans="1:3" s="79" customFormat="1" ht="38.85" customHeight="1" x14ac:dyDescent="0.2">
      <c r="A4298" s="81">
        <v>20042797</v>
      </c>
      <c r="B4298" s="80" t="s">
        <v>4663</v>
      </c>
      <c r="C4298" s="82" t="s">
        <v>9761</v>
      </c>
    </row>
    <row r="4299" spans="1:3" s="79" customFormat="1" ht="38.85" customHeight="1" x14ac:dyDescent="0.2">
      <c r="A4299" s="81">
        <v>20042799</v>
      </c>
      <c r="B4299" s="80" t="s">
        <v>4654</v>
      </c>
      <c r="C4299" s="80" t="s">
        <v>9762</v>
      </c>
    </row>
    <row r="4300" spans="1:3" s="79" customFormat="1" ht="28.7" customHeight="1" x14ac:dyDescent="0.2">
      <c r="A4300" s="81">
        <v>20042802</v>
      </c>
      <c r="B4300" s="80" t="s">
        <v>4657</v>
      </c>
      <c r="C4300" s="81" t="s">
        <v>9763</v>
      </c>
    </row>
    <row r="4301" spans="1:3" s="79" customFormat="1" ht="68.849999999999994" customHeight="1" x14ac:dyDescent="0.2">
      <c r="A4301" s="81">
        <v>20042804</v>
      </c>
      <c r="B4301" s="80" t="s">
        <v>4658</v>
      </c>
      <c r="C4301" s="82" t="s">
        <v>9764</v>
      </c>
    </row>
    <row r="4302" spans="1:3" s="79" customFormat="1" ht="28.7" customHeight="1" x14ac:dyDescent="0.2">
      <c r="A4302" s="81">
        <v>20042806</v>
      </c>
      <c r="B4302" s="80" t="s">
        <v>4665</v>
      </c>
      <c r="C4302" s="81" t="s">
        <v>9765</v>
      </c>
    </row>
    <row r="4303" spans="1:3" s="79" customFormat="1" ht="19.149999999999999" customHeight="1" x14ac:dyDescent="0.2">
      <c r="A4303" s="81">
        <v>20042807</v>
      </c>
      <c r="B4303" s="80" t="s">
        <v>4666</v>
      </c>
      <c r="C4303" s="81" t="s">
        <v>9766</v>
      </c>
    </row>
    <row r="4304" spans="1:3" s="79" customFormat="1" ht="19.149999999999999" customHeight="1" x14ac:dyDescent="0.2">
      <c r="A4304" s="81">
        <v>20042809</v>
      </c>
      <c r="B4304" s="80" t="s">
        <v>4664</v>
      </c>
      <c r="C4304" s="82" t="s">
        <v>9767</v>
      </c>
    </row>
    <row r="4305" spans="1:3" s="79" customFormat="1" ht="89.1" customHeight="1" x14ac:dyDescent="0.2">
      <c r="A4305" s="81">
        <v>20042810</v>
      </c>
      <c r="B4305" s="80" t="s">
        <v>4670</v>
      </c>
      <c r="C4305" s="82" t="s">
        <v>9768</v>
      </c>
    </row>
    <row r="4306" spans="1:3" s="79" customFormat="1" ht="49.15" customHeight="1" x14ac:dyDescent="0.2">
      <c r="A4306" s="81">
        <v>20042811</v>
      </c>
      <c r="B4306" s="80" t="s">
        <v>4673</v>
      </c>
      <c r="C4306" s="82" t="s">
        <v>9769</v>
      </c>
    </row>
    <row r="4307" spans="1:3" s="79" customFormat="1" ht="78.95" customHeight="1" x14ac:dyDescent="0.2">
      <c r="A4307" s="81">
        <v>20042813</v>
      </c>
      <c r="B4307" s="80" t="s">
        <v>4674</v>
      </c>
      <c r="C4307" s="81" t="s">
        <v>9770</v>
      </c>
    </row>
    <row r="4308" spans="1:3" s="79" customFormat="1" ht="78.95" customHeight="1" x14ac:dyDescent="0.2">
      <c r="A4308" s="81">
        <v>20042818</v>
      </c>
      <c r="B4308" s="80" t="s">
        <v>4667</v>
      </c>
      <c r="C4308" s="81" t="s">
        <v>9771</v>
      </c>
    </row>
    <row r="4309" spans="1:3" s="79" customFormat="1" ht="19.149999999999999" customHeight="1" x14ac:dyDescent="0.2">
      <c r="A4309" s="81">
        <v>20042819</v>
      </c>
      <c r="B4309" s="80" t="s">
        <v>4668</v>
      </c>
      <c r="C4309" s="81" t="s">
        <v>9772</v>
      </c>
    </row>
    <row r="4310" spans="1:3" s="79" customFormat="1" ht="28.7" customHeight="1" x14ac:dyDescent="0.2">
      <c r="A4310" s="81">
        <v>20042820</v>
      </c>
      <c r="B4310" s="80" t="s">
        <v>4669</v>
      </c>
      <c r="C4310" s="81" t="s">
        <v>9773</v>
      </c>
    </row>
    <row r="4311" spans="1:3" s="79" customFormat="1" ht="38.85" customHeight="1" x14ac:dyDescent="0.2">
      <c r="A4311" s="81">
        <v>20042838</v>
      </c>
      <c r="B4311" s="80" t="s">
        <v>4676</v>
      </c>
      <c r="C4311" s="82" t="s">
        <v>9774</v>
      </c>
    </row>
    <row r="4312" spans="1:3" s="79" customFormat="1" ht="109.35" customHeight="1" x14ac:dyDescent="0.2">
      <c r="A4312" s="81">
        <v>20042839</v>
      </c>
      <c r="B4312" s="80" t="s">
        <v>4677</v>
      </c>
      <c r="C4312" s="82" t="s">
        <v>9775</v>
      </c>
    </row>
    <row r="4313" spans="1:3" s="79" customFormat="1" ht="78.95" customHeight="1" x14ac:dyDescent="0.2">
      <c r="A4313" s="81">
        <v>20042840</v>
      </c>
      <c r="B4313" s="80" t="s">
        <v>4678</v>
      </c>
      <c r="C4313" s="82" t="s">
        <v>9776</v>
      </c>
    </row>
    <row r="4314" spans="1:3" s="79" customFormat="1" ht="78.95" customHeight="1" x14ac:dyDescent="0.2">
      <c r="A4314" s="81">
        <v>20042841</v>
      </c>
      <c r="B4314" s="80" t="s">
        <v>4679</v>
      </c>
      <c r="C4314" s="81" t="s">
        <v>9777</v>
      </c>
    </row>
    <row r="4315" spans="1:3" s="79" customFormat="1" ht="78.95" customHeight="1" x14ac:dyDescent="0.2">
      <c r="A4315" s="81">
        <v>20042844</v>
      </c>
      <c r="B4315" s="80" t="s">
        <v>4680</v>
      </c>
      <c r="C4315" s="82" t="s">
        <v>9778</v>
      </c>
    </row>
    <row r="4316" spans="1:3" s="79" customFormat="1" ht="59.1" customHeight="1" x14ac:dyDescent="0.2">
      <c r="A4316" s="81">
        <v>20042847</v>
      </c>
      <c r="B4316" s="80" t="s">
        <v>4683</v>
      </c>
      <c r="C4316" s="81" t="s">
        <v>9779</v>
      </c>
    </row>
    <row r="4317" spans="1:3" s="79" customFormat="1" ht="59.1" customHeight="1" x14ac:dyDescent="0.2">
      <c r="A4317" s="81">
        <v>20042850</v>
      </c>
      <c r="B4317" s="80" t="s">
        <v>4682</v>
      </c>
      <c r="C4317" s="82" t="s">
        <v>9780</v>
      </c>
    </row>
    <row r="4318" spans="1:3" s="79" customFormat="1" ht="59.1" customHeight="1" x14ac:dyDescent="0.2">
      <c r="A4318" s="81">
        <v>20042858</v>
      </c>
      <c r="B4318" s="80" t="s">
        <v>4681</v>
      </c>
      <c r="C4318" s="81" t="s">
        <v>9781</v>
      </c>
    </row>
    <row r="4319" spans="1:3" s="79" customFormat="1" ht="99.2" customHeight="1" x14ac:dyDescent="0.2">
      <c r="A4319" s="81">
        <v>20042861</v>
      </c>
      <c r="B4319" s="80" t="s">
        <v>4685</v>
      </c>
      <c r="C4319" s="82" t="s">
        <v>9782</v>
      </c>
    </row>
    <row r="4320" spans="1:3" s="79" customFormat="1" ht="49.15" customHeight="1" x14ac:dyDescent="0.2">
      <c r="A4320" s="81">
        <v>20042862</v>
      </c>
      <c r="B4320" s="80" t="s">
        <v>4686</v>
      </c>
      <c r="C4320" s="82" t="s">
        <v>9783</v>
      </c>
    </row>
    <row r="4321" spans="1:3" s="79" customFormat="1" ht="189.4" customHeight="1" x14ac:dyDescent="0.2">
      <c r="A4321" s="81">
        <v>20042884</v>
      </c>
      <c r="B4321" s="80" t="s">
        <v>4687</v>
      </c>
      <c r="C4321" s="82" t="s">
        <v>9784</v>
      </c>
    </row>
    <row r="4322" spans="1:3" s="79" customFormat="1" ht="28.7" customHeight="1" x14ac:dyDescent="0.2">
      <c r="A4322" s="81">
        <v>20042888</v>
      </c>
      <c r="B4322" s="80" t="s">
        <v>4688</v>
      </c>
      <c r="C4322" s="81" t="s">
        <v>9785</v>
      </c>
    </row>
    <row r="4323" spans="1:3" s="79" customFormat="1" ht="109.35" customHeight="1" x14ac:dyDescent="0.2">
      <c r="A4323" s="81">
        <v>20042889</v>
      </c>
      <c r="B4323" s="80" t="s">
        <v>4689</v>
      </c>
      <c r="C4323" s="81" t="s">
        <v>9786</v>
      </c>
    </row>
    <row r="4324" spans="1:3" s="79" customFormat="1" ht="38.85" customHeight="1" x14ac:dyDescent="0.2">
      <c r="A4324" s="81">
        <v>20042891</v>
      </c>
      <c r="B4324" s="80" t="s">
        <v>4690</v>
      </c>
      <c r="C4324" s="81" t="s">
        <v>9787</v>
      </c>
    </row>
    <row r="4325" spans="1:3" s="79" customFormat="1" ht="38.85" customHeight="1" x14ac:dyDescent="0.2">
      <c r="A4325" s="81">
        <v>20042892</v>
      </c>
      <c r="B4325" s="80" t="s">
        <v>4691</v>
      </c>
      <c r="C4325" s="81" t="s">
        <v>9788</v>
      </c>
    </row>
    <row r="4326" spans="1:3" s="79" customFormat="1" ht="68.849999999999994" customHeight="1" x14ac:dyDescent="0.2">
      <c r="A4326" s="81">
        <v>20042893</v>
      </c>
      <c r="B4326" s="80" t="s">
        <v>4692</v>
      </c>
      <c r="C4326" s="81" t="s">
        <v>9789</v>
      </c>
    </row>
    <row r="4327" spans="1:3" s="79" customFormat="1" ht="99.2" customHeight="1" x14ac:dyDescent="0.2">
      <c r="A4327" s="81">
        <v>20042894</v>
      </c>
      <c r="B4327" s="80" t="s">
        <v>4693</v>
      </c>
      <c r="C4327" s="81" t="s">
        <v>9790</v>
      </c>
    </row>
    <row r="4328" spans="1:3" s="79" customFormat="1" ht="99.2" customHeight="1" x14ac:dyDescent="0.2">
      <c r="A4328" s="81">
        <v>20042895</v>
      </c>
      <c r="B4328" s="80" t="s">
        <v>4696</v>
      </c>
      <c r="C4328" s="81" t="s">
        <v>9791</v>
      </c>
    </row>
    <row r="4329" spans="1:3" s="79" customFormat="1" ht="99.2" customHeight="1" x14ac:dyDescent="0.2">
      <c r="A4329" s="81">
        <v>20042900</v>
      </c>
      <c r="B4329" s="80" t="s">
        <v>4694</v>
      </c>
      <c r="C4329" s="82" t="s">
        <v>9792</v>
      </c>
    </row>
    <row r="4330" spans="1:3" s="79" customFormat="1" ht="99.2" customHeight="1" x14ac:dyDescent="0.2">
      <c r="A4330" s="81">
        <v>20042908</v>
      </c>
      <c r="B4330" s="80" t="s">
        <v>4695</v>
      </c>
      <c r="C4330" s="82" t="s">
        <v>9793</v>
      </c>
    </row>
    <row r="4331" spans="1:3" s="79" customFormat="1" ht="99.2" customHeight="1" x14ac:dyDescent="0.2">
      <c r="A4331" s="81">
        <v>20042914</v>
      </c>
      <c r="B4331" s="80" t="s">
        <v>4697</v>
      </c>
      <c r="C4331" s="81" t="s">
        <v>9794</v>
      </c>
    </row>
    <row r="4332" spans="1:3" s="79" customFormat="1" ht="99.2" customHeight="1" x14ac:dyDescent="0.2">
      <c r="A4332" s="81">
        <v>20042917</v>
      </c>
      <c r="B4332" s="80" t="s">
        <v>4698</v>
      </c>
      <c r="C4332" s="82" t="s">
        <v>9795</v>
      </c>
    </row>
    <row r="4333" spans="1:3" s="79" customFormat="1" ht="169.15" customHeight="1" x14ac:dyDescent="0.2">
      <c r="A4333" s="81">
        <v>20042930</v>
      </c>
      <c r="B4333" s="80" t="s">
        <v>4699</v>
      </c>
      <c r="C4333" s="82" t="s">
        <v>9796</v>
      </c>
    </row>
    <row r="4334" spans="1:3" s="79" customFormat="1" ht="59.1" customHeight="1" x14ac:dyDescent="0.2">
      <c r="A4334" s="81">
        <v>20042931</v>
      </c>
      <c r="B4334" s="80" t="s">
        <v>4700</v>
      </c>
      <c r="C4334" s="82" t="s">
        <v>9797</v>
      </c>
    </row>
    <row r="4335" spans="1:3" s="79" customFormat="1" ht="28.7" customHeight="1" x14ac:dyDescent="0.2">
      <c r="A4335" s="81">
        <v>20042932</v>
      </c>
      <c r="B4335" s="80" t="s">
        <v>4701</v>
      </c>
      <c r="C4335" s="82" t="s">
        <v>9798</v>
      </c>
    </row>
    <row r="4336" spans="1:3" s="79" customFormat="1" ht="89.1" customHeight="1" x14ac:dyDescent="0.2">
      <c r="A4336" s="81">
        <v>20042935</v>
      </c>
      <c r="B4336" s="80" t="s">
        <v>4702</v>
      </c>
      <c r="C4336" s="82" t="s">
        <v>9799</v>
      </c>
    </row>
    <row r="4337" spans="1:3" s="79" customFormat="1" ht="28.7" customHeight="1" x14ac:dyDescent="0.2">
      <c r="A4337" s="81">
        <v>20042936</v>
      </c>
      <c r="B4337" s="80" t="s">
        <v>4716</v>
      </c>
      <c r="C4337" s="82" t="s">
        <v>9800</v>
      </c>
    </row>
    <row r="4338" spans="1:3" s="79" customFormat="1" ht="28.7" customHeight="1" x14ac:dyDescent="0.2">
      <c r="A4338" s="81">
        <v>20042938</v>
      </c>
      <c r="B4338" s="80" t="s">
        <v>4703</v>
      </c>
      <c r="C4338" s="82" t="s">
        <v>9801</v>
      </c>
    </row>
    <row r="4339" spans="1:3" s="79" customFormat="1" ht="28.7" customHeight="1" x14ac:dyDescent="0.2">
      <c r="A4339" s="81">
        <v>20042939</v>
      </c>
      <c r="B4339" s="80" t="s">
        <v>4704</v>
      </c>
      <c r="C4339" s="82" t="s">
        <v>9802</v>
      </c>
    </row>
    <row r="4340" spans="1:3" s="79" customFormat="1" ht="28.7" customHeight="1" x14ac:dyDescent="0.2">
      <c r="A4340" s="81">
        <v>20042941</v>
      </c>
      <c r="B4340" s="80" t="s">
        <v>4705</v>
      </c>
      <c r="C4340" s="82" t="s">
        <v>9803</v>
      </c>
    </row>
    <row r="4341" spans="1:3" s="79" customFormat="1" ht="28.7" customHeight="1" x14ac:dyDescent="0.2">
      <c r="A4341" s="81">
        <v>20042942</v>
      </c>
      <c r="B4341" s="80" t="s">
        <v>4706</v>
      </c>
      <c r="C4341" s="82" t="s">
        <v>9804</v>
      </c>
    </row>
    <row r="4342" spans="1:3" s="79" customFormat="1" ht="68.849999999999994" customHeight="1" x14ac:dyDescent="0.2">
      <c r="A4342" s="81">
        <v>20042943</v>
      </c>
      <c r="B4342" s="80" t="s">
        <v>4707</v>
      </c>
      <c r="C4342" s="82" t="s">
        <v>9805</v>
      </c>
    </row>
    <row r="4343" spans="1:3" s="79" customFormat="1" ht="28.7" customHeight="1" x14ac:dyDescent="0.2">
      <c r="A4343" s="81">
        <v>20042944</v>
      </c>
      <c r="B4343" s="80" t="s">
        <v>4708</v>
      </c>
      <c r="C4343" s="82" t="s">
        <v>9806</v>
      </c>
    </row>
    <row r="4344" spans="1:3" s="79" customFormat="1" ht="28.7" customHeight="1" x14ac:dyDescent="0.2">
      <c r="A4344" s="81">
        <v>20042945</v>
      </c>
      <c r="B4344" s="80" t="s">
        <v>4709</v>
      </c>
      <c r="C4344" s="82" t="s">
        <v>9807</v>
      </c>
    </row>
    <row r="4345" spans="1:3" s="79" customFormat="1" ht="28.7" customHeight="1" x14ac:dyDescent="0.2">
      <c r="A4345" s="81">
        <v>20042946</v>
      </c>
      <c r="B4345" s="80" t="s">
        <v>4710</v>
      </c>
      <c r="C4345" s="82" t="s">
        <v>9808</v>
      </c>
    </row>
    <row r="4346" spans="1:3" s="79" customFormat="1" ht="28.7" customHeight="1" x14ac:dyDescent="0.2">
      <c r="A4346" s="81">
        <v>20042947</v>
      </c>
      <c r="B4346" s="80" t="s">
        <v>4711</v>
      </c>
      <c r="C4346" s="82" t="s">
        <v>9809</v>
      </c>
    </row>
    <row r="4347" spans="1:3" s="79" customFormat="1" ht="28.7" customHeight="1" x14ac:dyDescent="0.2">
      <c r="A4347" s="81">
        <v>20042948</v>
      </c>
      <c r="B4347" s="80" t="s">
        <v>4712</v>
      </c>
      <c r="C4347" s="82" t="s">
        <v>9810</v>
      </c>
    </row>
    <row r="4348" spans="1:3" s="79" customFormat="1" ht="28.7" customHeight="1" x14ac:dyDescent="0.2">
      <c r="A4348" s="81">
        <v>20042949</v>
      </c>
      <c r="B4348" s="80" t="s">
        <v>4713</v>
      </c>
      <c r="C4348" s="82" t="s">
        <v>9811</v>
      </c>
    </row>
    <row r="4349" spans="1:3" s="79" customFormat="1" ht="28.7" customHeight="1" x14ac:dyDescent="0.2">
      <c r="A4349" s="81">
        <v>20042950</v>
      </c>
      <c r="B4349" s="80" t="s">
        <v>4714</v>
      </c>
      <c r="C4349" s="82" t="s">
        <v>9812</v>
      </c>
    </row>
    <row r="4350" spans="1:3" s="79" customFormat="1" ht="78.95" customHeight="1" x14ac:dyDescent="0.2">
      <c r="A4350" s="81">
        <v>20042951</v>
      </c>
      <c r="B4350" s="80" t="s">
        <v>4715</v>
      </c>
      <c r="C4350" s="82" t="s">
        <v>9813</v>
      </c>
    </row>
    <row r="4351" spans="1:3" s="79" customFormat="1" ht="59.1" customHeight="1" x14ac:dyDescent="0.2">
      <c r="A4351" s="81">
        <v>20042959</v>
      </c>
      <c r="B4351" s="80" t="s">
        <v>11519</v>
      </c>
      <c r="C4351" s="82" t="s">
        <v>11520</v>
      </c>
    </row>
    <row r="4352" spans="1:3" s="79" customFormat="1" ht="59.1" customHeight="1" x14ac:dyDescent="0.2">
      <c r="A4352" s="81">
        <v>20042966</v>
      </c>
      <c r="B4352" s="80" t="s">
        <v>4721</v>
      </c>
      <c r="C4352" s="80" t="s">
        <v>9814</v>
      </c>
    </row>
    <row r="4353" spans="1:3" s="79" customFormat="1" ht="59.1" customHeight="1" x14ac:dyDescent="0.2">
      <c r="A4353" s="81">
        <v>20042968</v>
      </c>
      <c r="B4353" s="80" t="s">
        <v>4717</v>
      </c>
      <c r="C4353" s="82" t="s">
        <v>9815</v>
      </c>
    </row>
    <row r="4354" spans="1:3" s="79" customFormat="1" ht="49.15" customHeight="1" x14ac:dyDescent="0.2">
      <c r="A4354" s="81">
        <v>20042969</v>
      </c>
      <c r="B4354" s="80" t="s">
        <v>4718</v>
      </c>
      <c r="C4354" s="82" t="s">
        <v>9816</v>
      </c>
    </row>
    <row r="4355" spans="1:3" s="79" customFormat="1" ht="59.1" customHeight="1" x14ac:dyDescent="0.2">
      <c r="A4355" s="81">
        <v>20042970</v>
      </c>
      <c r="B4355" s="80" t="s">
        <v>4719</v>
      </c>
      <c r="C4355" s="82" t="s">
        <v>9817</v>
      </c>
    </row>
    <row r="4356" spans="1:3" s="79" customFormat="1" ht="49.15" customHeight="1" x14ac:dyDescent="0.2">
      <c r="A4356" s="81">
        <v>20042972</v>
      </c>
      <c r="B4356" s="80" t="s">
        <v>4722</v>
      </c>
      <c r="C4356" s="82" t="s">
        <v>9818</v>
      </c>
    </row>
    <row r="4357" spans="1:3" s="79" customFormat="1" ht="19.149999999999999" customHeight="1" x14ac:dyDescent="0.2">
      <c r="A4357" s="81">
        <v>20042973</v>
      </c>
      <c r="B4357" s="80" t="s">
        <v>4723</v>
      </c>
      <c r="C4357" s="82" t="s">
        <v>9818</v>
      </c>
    </row>
    <row r="4358" spans="1:3" s="79" customFormat="1" ht="28.7" customHeight="1" x14ac:dyDescent="0.2">
      <c r="A4358" s="81">
        <v>20042974</v>
      </c>
      <c r="B4358" s="80" t="s">
        <v>4724</v>
      </c>
      <c r="C4358" s="82" t="s">
        <v>9818</v>
      </c>
    </row>
    <row r="4359" spans="1:3" s="79" customFormat="1" ht="28.7" customHeight="1" x14ac:dyDescent="0.2">
      <c r="A4359" s="81">
        <v>20042975</v>
      </c>
      <c r="B4359" s="80" t="s">
        <v>4725</v>
      </c>
      <c r="C4359" s="82" t="s">
        <v>9818</v>
      </c>
    </row>
    <row r="4360" spans="1:3" s="79" customFormat="1" ht="38.85" customHeight="1" x14ac:dyDescent="0.2">
      <c r="A4360" s="81">
        <v>20042976</v>
      </c>
      <c r="B4360" s="80" t="s">
        <v>4726</v>
      </c>
      <c r="C4360" s="82" t="s">
        <v>9818</v>
      </c>
    </row>
    <row r="4361" spans="1:3" s="79" customFormat="1" ht="28.7" customHeight="1" x14ac:dyDescent="0.2">
      <c r="A4361" s="81">
        <v>20042977</v>
      </c>
      <c r="B4361" s="80" t="s">
        <v>4727</v>
      </c>
      <c r="C4361" s="82" t="s">
        <v>9818</v>
      </c>
    </row>
    <row r="4362" spans="1:3" s="79" customFormat="1" ht="28.7" customHeight="1" x14ac:dyDescent="0.2">
      <c r="A4362" s="81">
        <v>20042982</v>
      </c>
      <c r="B4362" s="80" t="s">
        <v>4737</v>
      </c>
      <c r="C4362" s="80" t="s">
        <v>9819</v>
      </c>
    </row>
    <row r="4363" spans="1:3" s="79" customFormat="1" ht="28.7" customHeight="1" x14ac:dyDescent="0.2">
      <c r="A4363" s="81">
        <v>20042983</v>
      </c>
      <c r="B4363" s="80" t="s">
        <v>4738</v>
      </c>
      <c r="C4363" s="82" t="s">
        <v>9820</v>
      </c>
    </row>
    <row r="4364" spans="1:3" s="79" customFormat="1" ht="28.7" customHeight="1" x14ac:dyDescent="0.2">
      <c r="A4364" s="81">
        <v>20042995</v>
      </c>
      <c r="B4364" s="80" t="s">
        <v>4728</v>
      </c>
      <c r="C4364" s="82" t="s">
        <v>9821</v>
      </c>
    </row>
    <row r="4365" spans="1:3" s="79" customFormat="1" ht="28.7" customHeight="1" x14ac:dyDescent="0.2">
      <c r="A4365" s="81">
        <v>20042999</v>
      </c>
      <c r="B4365" s="80" t="s">
        <v>4729</v>
      </c>
      <c r="C4365" s="82" t="s">
        <v>9818</v>
      </c>
    </row>
    <row r="4366" spans="1:3" s="79" customFormat="1" ht="28.7" customHeight="1" x14ac:dyDescent="0.2">
      <c r="A4366" s="81">
        <v>20043001</v>
      </c>
      <c r="B4366" s="80" t="s">
        <v>4735</v>
      </c>
      <c r="C4366" s="82" t="s">
        <v>9822</v>
      </c>
    </row>
    <row r="4367" spans="1:3" s="79" customFormat="1" ht="19.149999999999999" customHeight="1" x14ac:dyDescent="0.2">
      <c r="A4367" s="81">
        <v>20043003</v>
      </c>
      <c r="B4367" s="80" t="s">
        <v>4736</v>
      </c>
      <c r="C4367" s="81" t="s">
        <v>9823</v>
      </c>
    </row>
    <row r="4368" spans="1:3" s="79" customFormat="1" ht="28.7" customHeight="1" x14ac:dyDescent="0.2">
      <c r="A4368" s="81">
        <v>20043004</v>
      </c>
      <c r="B4368" s="80" t="s">
        <v>4739</v>
      </c>
      <c r="C4368" s="82" t="s">
        <v>9824</v>
      </c>
    </row>
    <row r="4369" spans="1:3" s="79" customFormat="1" ht="28.7" customHeight="1" x14ac:dyDescent="0.2">
      <c r="A4369" s="81">
        <v>20043009</v>
      </c>
      <c r="B4369" s="80" t="s">
        <v>4730</v>
      </c>
      <c r="C4369" s="81" t="s">
        <v>9825</v>
      </c>
    </row>
    <row r="4370" spans="1:3" s="79" customFormat="1" ht="28.7" customHeight="1" x14ac:dyDescent="0.2">
      <c r="A4370" s="81">
        <v>20043010</v>
      </c>
      <c r="B4370" s="80" t="s">
        <v>4731</v>
      </c>
      <c r="C4370" s="81" t="s">
        <v>9826</v>
      </c>
    </row>
    <row r="4371" spans="1:3" s="79" customFormat="1" ht="38.85" customHeight="1" x14ac:dyDescent="0.2">
      <c r="A4371" s="81">
        <v>20043011</v>
      </c>
      <c r="B4371" s="80" t="s">
        <v>4732</v>
      </c>
      <c r="C4371" s="81" t="s">
        <v>9827</v>
      </c>
    </row>
    <row r="4372" spans="1:3" s="79" customFormat="1" ht="49.15" customHeight="1" x14ac:dyDescent="0.2">
      <c r="A4372" s="81">
        <v>20043012</v>
      </c>
      <c r="B4372" s="80" t="s">
        <v>4733</v>
      </c>
      <c r="C4372" s="81" t="s">
        <v>9828</v>
      </c>
    </row>
    <row r="4373" spans="1:3" s="79" customFormat="1" ht="38.85" customHeight="1" x14ac:dyDescent="0.2">
      <c r="A4373" s="81">
        <v>20043014</v>
      </c>
      <c r="B4373" s="80" t="s">
        <v>4734</v>
      </c>
      <c r="C4373" s="82" t="s">
        <v>9829</v>
      </c>
    </row>
    <row r="4374" spans="1:3" s="79" customFormat="1" ht="179.1" customHeight="1" x14ac:dyDescent="0.2">
      <c r="A4374" s="81">
        <v>20043018</v>
      </c>
      <c r="B4374" s="80" t="s">
        <v>4749</v>
      </c>
      <c r="C4374" s="82" t="s">
        <v>9830</v>
      </c>
    </row>
    <row r="4375" spans="1:3" s="79" customFormat="1" ht="169.15" customHeight="1" x14ac:dyDescent="0.2">
      <c r="A4375" s="81">
        <v>20043020</v>
      </c>
      <c r="B4375" s="80" t="s">
        <v>4750</v>
      </c>
      <c r="C4375" s="82" t="s">
        <v>9831</v>
      </c>
    </row>
    <row r="4376" spans="1:3" s="79" customFormat="1" ht="169.15" customHeight="1" x14ac:dyDescent="0.2">
      <c r="A4376" s="81">
        <v>20043021</v>
      </c>
      <c r="B4376" s="80" t="s">
        <v>11682</v>
      </c>
      <c r="C4376" s="81" t="s">
        <v>9652</v>
      </c>
    </row>
    <row r="4377" spans="1:3" s="79" customFormat="1" ht="169.15" customHeight="1" x14ac:dyDescent="0.2">
      <c r="A4377" s="81">
        <v>20043022</v>
      </c>
      <c r="B4377" s="80" t="s">
        <v>11683</v>
      </c>
      <c r="C4377" s="81" t="s">
        <v>9653</v>
      </c>
    </row>
    <row r="4378" spans="1:3" s="79" customFormat="1" ht="28.7" customHeight="1" x14ac:dyDescent="0.2">
      <c r="A4378" s="81">
        <v>20043023</v>
      </c>
      <c r="B4378" s="80" t="s">
        <v>4756</v>
      </c>
      <c r="C4378" s="82" t="s">
        <v>9832</v>
      </c>
    </row>
    <row r="4379" spans="1:3" s="79" customFormat="1" ht="38.85" customHeight="1" x14ac:dyDescent="0.2">
      <c r="A4379" s="81">
        <v>20043026</v>
      </c>
      <c r="B4379" s="80" t="s">
        <v>4761</v>
      </c>
      <c r="C4379" s="81" t="s">
        <v>11521</v>
      </c>
    </row>
    <row r="4380" spans="1:3" s="79" customFormat="1" ht="38.85" customHeight="1" x14ac:dyDescent="0.2">
      <c r="A4380" s="81">
        <v>20043027</v>
      </c>
      <c r="B4380" s="80" t="s">
        <v>4762</v>
      </c>
      <c r="C4380" s="82" t="s">
        <v>9833</v>
      </c>
    </row>
    <row r="4381" spans="1:3" s="79" customFormat="1" ht="179.1" customHeight="1" x14ac:dyDescent="0.2">
      <c r="A4381" s="81">
        <v>20043028</v>
      </c>
      <c r="B4381" s="80" t="s">
        <v>4751</v>
      </c>
      <c r="C4381" s="82" t="s">
        <v>9834</v>
      </c>
    </row>
    <row r="4382" spans="1:3" s="79" customFormat="1" ht="189.4" customHeight="1" x14ac:dyDescent="0.2">
      <c r="A4382" s="81">
        <v>20043029</v>
      </c>
      <c r="B4382" s="80" t="s">
        <v>4752</v>
      </c>
      <c r="C4382" s="82" t="s">
        <v>9835</v>
      </c>
    </row>
    <row r="4383" spans="1:3" s="79" customFormat="1" ht="49.15" customHeight="1" x14ac:dyDescent="0.2">
      <c r="A4383" s="81">
        <v>20043030</v>
      </c>
      <c r="B4383" s="80" t="s">
        <v>4754</v>
      </c>
      <c r="C4383" s="80" t="s">
        <v>9836</v>
      </c>
    </row>
    <row r="4384" spans="1:3" s="79" customFormat="1" ht="139.15" customHeight="1" x14ac:dyDescent="0.2">
      <c r="A4384" s="81">
        <v>20043031</v>
      </c>
      <c r="B4384" s="80" t="s">
        <v>4755</v>
      </c>
      <c r="C4384" s="80" t="s">
        <v>9837</v>
      </c>
    </row>
    <row r="4385" spans="1:3" s="79" customFormat="1" ht="89.1" customHeight="1" x14ac:dyDescent="0.2">
      <c r="A4385" s="81">
        <v>20043037</v>
      </c>
      <c r="B4385" s="80" t="s">
        <v>4757</v>
      </c>
      <c r="C4385" s="82" t="s">
        <v>9838</v>
      </c>
    </row>
    <row r="4386" spans="1:3" s="79" customFormat="1" ht="28.7" customHeight="1" x14ac:dyDescent="0.2">
      <c r="A4386" s="81">
        <v>20043039</v>
      </c>
      <c r="B4386" s="80" t="s">
        <v>4753</v>
      </c>
      <c r="C4386" s="81" t="s">
        <v>9839</v>
      </c>
    </row>
    <row r="4387" spans="1:3" s="79" customFormat="1" ht="28.7" customHeight="1" x14ac:dyDescent="0.2">
      <c r="A4387" s="81">
        <v>20043043</v>
      </c>
      <c r="B4387" s="80" t="s">
        <v>4759</v>
      </c>
      <c r="C4387" s="82" t="s">
        <v>9840</v>
      </c>
    </row>
    <row r="4388" spans="1:3" s="79" customFormat="1" ht="19.149999999999999" customHeight="1" x14ac:dyDescent="0.2">
      <c r="A4388" s="81">
        <v>20043047</v>
      </c>
      <c r="B4388" s="80" t="s">
        <v>4764</v>
      </c>
      <c r="C4388" s="81" t="s">
        <v>9841</v>
      </c>
    </row>
    <row r="4389" spans="1:3" s="79" customFormat="1" ht="19.149999999999999" customHeight="1" x14ac:dyDescent="0.2">
      <c r="A4389" s="81">
        <v>20043058</v>
      </c>
      <c r="B4389" s="80" t="s">
        <v>4760</v>
      </c>
      <c r="C4389" s="81" t="s">
        <v>9842</v>
      </c>
    </row>
    <row r="4390" spans="1:3" s="79" customFormat="1" ht="28.7" customHeight="1" x14ac:dyDescent="0.2">
      <c r="A4390" s="81">
        <v>20043063</v>
      </c>
      <c r="B4390" s="80" t="s">
        <v>4781</v>
      </c>
      <c r="C4390" s="82" t="s">
        <v>9843</v>
      </c>
    </row>
    <row r="4391" spans="1:3" s="79" customFormat="1" ht="89.1" customHeight="1" x14ac:dyDescent="0.2">
      <c r="A4391" s="81">
        <v>20043064</v>
      </c>
      <c r="B4391" s="80" t="s">
        <v>4782</v>
      </c>
      <c r="C4391" s="80" t="s">
        <v>9844</v>
      </c>
    </row>
    <row r="4392" spans="1:3" s="79" customFormat="1" ht="38.85" customHeight="1" x14ac:dyDescent="0.2">
      <c r="A4392" s="81">
        <v>20043065</v>
      </c>
      <c r="B4392" s="80" t="s">
        <v>4783</v>
      </c>
      <c r="C4392" s="82" t="s">
        <v>9845</v>
      </c>
    </row>
    <row r="4393" spans="1:3" s="79" customFormat="1" ht="129" customHeight="1" x14ac:dyDescent="0.2">
      <c r="A4393" s="81">
        <v>20043066</v>
      </c>
      <c r="B4393" s="80" t="s">
        <v>4786</v>
      </c>
      <c r="C4393" s="81" t="s">
        <v>9846</v>
      </c>
    </row>
    <row r="4394" spans="1:3" s="79" customFormat="1" ht="139.15" customHeight="1" x14ac:dyDescent="0.2">
      <c r="A4394" s="81">
        <v>20043069</v>
      </c>
      <c r="B4394" s="80" t="s">
        <v>4763</v>
      </c>
      <c r="C4394" s="81" t="s">
        <v>9847</v>
      </c>
    </row>
    <row r="4395" spans="1:3" s="79" customFormat="1" ht="28.7" customHeight="1" x14ac:dyDescent="0.2">
      <c r="A4395" s="81">
        <v>20043070</v>
      </c>
      <c r="B4395" s="80" t="s">
        <v>4765</v>
      </c>
      <c r="C4395" s="81" t="s">
        <v>9848</v>
      </c>
    </row>
    <row r="4396" spans="1:3" s="79" customFormat="1" ht="19.149999999999999" customHeight="1" x14ac:dyDescent="0.2">
      <c r="A4396" s="81">
        <v>20043071</v>
      </c>
      <c r="B4396" s="80" t="s">
        <v>4766</v>
      </c>
      <c r="C4396" s="81" t="s">
        <v>11522</v>
      </c>
    </row>
    <row r="4397" spans="1:3" s="79" customFormat="1" ht="28.7" customHeight="1" x14ac:dyDescent="0.2">
      <c r="A4397" s="81">
        <v>20043072</v>
      </c>
      <c r="B4397" s="80" t="s">
        <v>4767</v>
      </c>
      <c r="C4397" s="81" t="s">
        <v>9849</v>
      </c>
    </row>
    <row r="4398" spans="1:3" s="79" customFormat="1" ht="89.1" customHeight="1" x14ac:dyDescent="0.2">
      <c r="A4398" s="81">
        <v>20043073</v>
      </c>
      <c r="B4398" s="80" t="s">
        <v>4768</v>
      </c>
      <c r="C4398" s="81" t="s">
        <v>9850</v>
      </c>
    </row>
    <row r="4399" spans="1:3" s="79" customFormat="1" ht="109.35" customHeight="1" x14ac:dyDescent="0.2">
      <c r="A4399" s="81">
        <v>20043074</v>
      </c>
      <c r="B4399" s="80" t="s">
        <v>4769</v>
      </c>
      <c r="C4399" s="81" t="s">
        <v>9851</v>
      </c>
    </row>
    <row r="4400" spans="1:3" s="79" customFormat="1" ht="68.849999999999994" customHeight="1" x14ac:dyDescent="0.2">
      <c r="A4400" s="81">
        <v>20043075</v>
      </c>
      <c r="B4400" s="80" t="s">
        <v>4770</v>
      </c>
      <c r="C4400" s="81" t="s">
        <v>9852</v>
      </c>
    </row>
    <row r="4401" spans="1:3" s="79" customFormat="1" ht="89.1" customHeight="1" x14ac:dyDescent="0.2">
      <c r="A4401" s="81">
        <v>20043076</v>
      </c>
      <c r="B4401" s="80" t="s">
        <v>4771</v>
      </c>
      <c r="C4401" s="81" t="s">
        <v>9853</v>
      </c>
    </row>
    <row r="4402" spans="1:3" s="79" customFormat="1" ht="89.1" customHeight="1" x14ac:dyDescent="0.2">
      <c r="A4402" s="81">
        <v>20043077</v>
      </c>
      <c r="B4402" s="80" t="s">
        <v>4772</v>
      </c>
      <c r="C4402" s="81" t="s">
        <v>9854</v>
      </c>
    </row>
    <row r="4403" spans="1:3" s="79" customFormat="1" ht="78.95" customHeight="1" x14ac:dyDescent="0.2">
      <c r="A4403" s="81">
        <v>20043078</v>
      </c>
      <c r="B4403" s="80" t="s">
        <v>4773</v>
      </c>
      <c r="C4403" s="81" t="s">
        <v>9855</v>
      </c>
    </row>
    <row r="4404" spans="1:3" s="79" customFormat="1" ht="78.95" customHeight="1" x14ac:dyDescent="0.2">
      <c r="A4404" s="81">
        <v>20043079</v>
      </c>
      <c r="B4404" s="80" t="s">
        <v>4784</v>
      </c>
      <c r="C4404" s="81" t="s">
        <v>9856</v>
      </c>
    </row>
    <row r="4405" spans="1:3" s="79" customFormat="1" ht="68.849999999999994" customHeight="1" x14ac:dyDescent="0.2">
      <c r="A4405" s="81">
        <v>20043088</v>
      </c>
      <c r="B4405" s="80" t="s">
        <v>4774</v>
      </c>
      <c r="C4405" s="81" t="s">
        <v>9857</v>
      </c>
    </row>
    <row r="4406" spans="1:3" s="79" customFormat="1" ht="78.95" customHeight="1" x14ac:dyDescent="0.2">
      <c r="A4406" s="81">
        <v>20043089</v>
      </c>
      <c r="B4406" s="80" t="s">
        <v>4775</v>
      </c>
      <c r="C4406" s="81" t="s">
        <v>9858</v>
      </c>
    </row>
    <row r="4407" spans="1:3" s="79" customFormat="1" ht="89.1" customHeight="1" x14ac:dyDescent="0.2">
      <c r="A4407" s="81">
        <v>20043090</v>
      </c>
      <c r="B4407" s="80" t="s">
        <v>4776</v>
      </c>
      <c r="C4407" s="81" t="s">
        <v>9859</v>
      </c>
    </row>
    <row r="4408" spans="1:3" s="79" customFormat="1" ht="99.2" customHeight="1" x14ac:dyDescent="0.2">
      <c r="A4408" s="81">
        <v>20043091</v>
      </c>
      <c r="B4408" s="80" t="s">
        <v>4777</v>
      </c>
      <c r="C4408" s="81" t="s">
        <v>9860</v>
      </c>
    </row>
    <row r="4409" spans="1:3" s="79" customFormat="1" ht="99.2" customHeight="1" x14ac:dyDescent="0.2">
      <c r="A4409" s="81">
        <v>20043092</v>
      </c>
      <c r="B4409" s="80" t="s">
        <v>4778</v>
      </c>
      <c r="C4409" s="81" t="s">
        <v>9861</v>
      </c>
    </row>
    <row r="4410" spans="1:3" s="79" customFormat="1" ht="68.849999999999994" customHeight="1" x14ac:dyDescent="0.2">
      <c r="A4410" s="81">
        <v>20043093</v>
      </c>
      <c r="B4410" s="80" t="s">
        <v>4779</v>
      </c>
      <c r="C4410" s="81" t="s">
        <v>9862</v>
      </c>
    </row>
    <row r="4411" spans="1:3" s="79" customFormat="1" ht="89.1" customHeight="1" x14ac:dyDescent="0.2">
      <c r="A4411" s="81">
        <v>20043094</v>
      </c>
      <c r="B4411" s="80" t="s">
        <v>4780</v>
      </c>
      <c r="C4411" s="82" t="s">
        <v>9863</v>
      </c>
    </row>
    <row r="4412" spans="1:3" s="79" customFormat="1" ht="78.95" customHeight="1" x14ac:dyDescent="0.2">
      <c r="A4412" s="81">
        <v>20043098</v>
      </c>
      <c r="B4412" s="80" t="s">
        <v>4787</v>
      </c>
      <c r="C4412" s="82" t="s">
        <v>9864</v>
      </c>
    </row>
    <row r="4413" spans="1:3" s="79" customFormat="1" ht="89.1" customHeight="1" x14ac:dyDescent="0.2">
      <c r="A4413" s="81">
        <v>20043099</v>
      </c>
      <c r="B4413" s="80" t="s">
        <v>4788</v>
      </c>
      <c r="C4413" s="81" t="s">
        <v>9865</v>
      </c>
    </row>
    <row r="4414" spans="1:3" s="79" customFormat="1" ht="89.1" customHeight="1" x14ac:dyDescent="0.2">
      <c r="A4414" s="81">
        <v>20043101</v>
      </c>
      <c r="B4414" s="80" t="s">
        <v>11523</v>
      </c>
      <c r="C4414" s="82" t="s">
        <v>11264</v>
      </c>
    </row>
    <row r="4415" spans="1:3" s="79" customFormat="1" ht="109.35" customHeight="1" x14ac:dyDescent="0.2">
      <c r="A4415" s="81">
        <v>20043109</v>
      </c>
      <c r="B4415" s="80" t="s">
        <v>4792</v>
      </c>
      <c r="C4415" s="82" t="s">
        <v>9866</v>
      </c>
    </row>
    <row r="4416" spans="1:3" s="79" customFormat="1" ht="68.849999999999994" customHeight="1" x14ac:dyDescent="0.2">
      <c r="A4416" s="81">
        <v>20043111</v>
      </c>
      <c r="B4416" s="80" t="s">
        <v>4793</v>
      </c>
      <c r="C4416" s="82" t="s">
        <v>9867</v>
      </c>
    </row>
    <row r="4417" spans="1:3" s="79" customFormat="1" ht="38.85" customHeight="1" x14ac:dyDescent="0.2">
      <c r="A4417" s="81">
        <v>20043128</v>
      </c>
      <c r="B4417" s="80" t="s">
        <v>4789</v>
      </c>
      <c r="C4417" s="82" t="s">
        <v>9868</v>
      </c>
    </row>
    <row r="4418" spans="1:3" s="79" customFormat="1" ht="99.2" customHeight="1" x14ac:dyDescent="0.2">
      <c r="A4418" s="81">
        <v>20043129</v>
      </c>
      <c r="B4418" s="80" t="s">
        <v>4790</v>
      </c>
      <c r="C4418" s="80" t="s">
        <v>9869</v>
      </c>
    </row>
    <row r="4419" spans="1:3" s="79" customFormat="1" ht="49.15" customHeight="1" x14ac:dyDescent="0.2">
      <c r="A4419" s="81">
        <v>20043130</v>
      </c>
      <c r="B4419" s="80" t="s">
        <v>4791</v>
      </c>
      <c r="C4419" s="82" t="s">
        <v>9870</v>
      </c>
    </row>
    <row r="4420" spans="1:3" s="79" customFormat="1" ht="89.1" customHeight="1" x14ac:dyDescent="0.2">
      <c r="A4420" s="107">
        <v>20043131</v>
      </c>
      <c r="B4420" s="106" t="s">
        <v>4794</v>
      </c>
      <c r="C4420" s="107" t="s">
        <v>9871</v>
      </c>
    </row>
    <row r="4421" spans="1:3" s="79" customFormat="1" ht="38.85" customHeight="1" x14ac:dyDescent="0.2">
      <c r="A4421" s="106"/>
      <c r="B4421" s="106"/>
      <c r="C4421" s="107"/>
    </row>
    <row r="4422" spans="1:3" s="79" customFormat="1" ht="78.95" customHeight="1" x14ac:dyDescent="0.2">
      <c r="A4422" s="81">
        <v>20043139</v>
      </c>
      <c r="B4422" s="80" t="s">
        <v>4795</v>
      </c>
      <c r="C4422" s="82" t="s">
        <v>9872</v>
      </c>
    </row>
    <row r="4423" spans="1:3" s="79" customFormat="1" ht="19.149999999999999" customHeight="1" x14ac:dyDescent="0.2">
      <c r="A4423" s="81">
        <v>20043158</v>
      </c>
      <c r="B4423" s="80" t="s">
        <v>4796</v>
      </c>
      <c r="C4423" s="82" t="s">
        <v>9873</v>
      </c>
    </row>
    <row r="4424" spans="1:3" s="79" customFormat="1" ht="68.849999999999994" customHeight="1" x14ac:dyDescent="0.2">
      <c r="A4424" s="81">
        <v>20043178</v>
      </c>
      <c r="B4424" s="80" t="s">
        <v>4797</v>
      </c>
      <c r="C4424" s="81" t="s">
        <v>9874</v>
      </c>
    </row>
    <row r="4425" spans="1:3" s="79" customFormat="1" ht="409.6" customHeight="1" x14ac:dyDescent="0.2">
      <c r="A4425" s="81">
        <v>20043180</v>
      </c>
      <c r="B4425" s="80" t="s">
        <v>4798</v>
      </c>
      <c r="C4425" s="82" t="s">
        <v>9875</v>
      </c>
    </row>
    <row r="4426" spans="1:3" s="79" customFormat="1" ht="29.85" customHeight="1" x14ac:dyDescent="0.2">
      <c r="A4426" s="81">
        <v>20043228</v>
      </c>
      <c r="B4426" s="80" t="s">
        <v>4801</v>
      </c>
      <c r="C4426" s="81" t="s">
        <v>9876</v>
      </c>
    </row>
    <row r="4427" spans="1:3" s="79" customFormat="1" ht="89.1" customHeight="1" x14ac:dyDescent="0.2">
      <c r="A4427" s="81">
        <v>20043229</v>
      </c>
      <c r="B4427" s="80" t="s">
        <v>4802</v>
      </c>
      <c r="C4427" s="82" t="s">
        <v>9877</v>
      </c>
    </row>
    <row r="4428" spans="1:3" s="79" customFormat="1" ht="68.849999999999994" customHeight="1" x14ac:dyDescent="0.2">
      <c r="A4428" s="81">
        <v>20043230</v>
      </c>
      <c r="B4428" s="80" t="s">
        <v>4803</v>
      </c>
      <c r="C4428" s="82" t="s">
        <v>9877</v>
      </c>
    </row>
    <row r="4429" spans="1:3" s="79" customFormat="1" ht="139.15" customHeight="1" x14ac:dyDescent="0.2">
      <c r="A4429" s="81">
        <v>20043232</v>
      </c>
      <c r="B4429" s="80" t="s">
        <v>4805</v>
      </c>
      <c r="C4429" s="82" t="s">
        <v>9878</v>
      </c>
    </row>
    <row r="4430" spans="1:3" s="79" customFormat="1" ht="28.7" customHeight="1" x14ac:dyDescent="0.2">
      <c r="A4430" s="81">
        <v>20043234</v>
      </c>
      <c r="B4430" s="80" t="s">
        <v>4806</v>
      </c>
      <c r="C4430" s="81" t="s">
        <v>9879</v>
      </c>
    </row>
    <row r="4431" spans="1:3" s="79" customFormat="1" ht="169.15" customHeight="1" x14ac:dyDescent="0.2">
      <c r="A4431" s="81">
        <v>20043236</v>
      </c>
      <c r="B4431" s="80" t="s">
        <v>4807</v>
      </c>
      <c r="C4431" s="82" t="s">
        <v>9880</v>
      </c>
    </row>
    <row r="4432" spans="1:3" s="79" customFormat="1" ht="28.7" customHeight="1" x14ac:dyDescent="0.2">
      <c r="A4432" s="81">
        <v>20043237</v>
      </c>
      <c r="B4432" s="80" t="s">
        <v>4808</v>
      </c>
      <c r="C4432" s="81" t="s">
        <v>9881</v>
      </c>
    </row>
    <row r="4433" spans="1:3" s="79" customFormat="1" ht="28.7" customHeight="1" x14ac:dyDescent="0.2">
      <c r="A4433" s="81">
        <v>20043238</v>
      </c>
      <c r="B4433" s="80" t="s">
        <v>4804</v>
      </c>
      <c r="C4433" s="82" t="s">
        <v>9882</v>
      </c>
    </row>
    <row r="4434" spans="1:3" s="79" customFormat="1" ht="28.7" customHeight="1" x14ac:dyDescent="0.2">
      <c r="A4434" s="81">
        <v>20043248</v>
      </c>
      <c r="B4434" s="80" t="s">
        <v>4809</v>
      </c>
      <c r="C4434" s="82" t="s">
        <v>9883</v>
      </c>
    </row>
    <row r="4435" spans="1:3" s="79" customFormat="1" ht="129" customHeight="1" x14ac:dyDescent="0.2">
      <c r="A4435" s="81">
        <v>20043258</v>
      </c>
      <c r="B4435" s="80" t="s">
        <v>4810</v>
      </c>
      <c r="C4435" s="81" t="s">
        <v>9884</v>
      </c>
    </row>
    <row r="4436" spans="1:3" s="79" customFormat="1" ht="38.85" customHeight="1" x14ac:dyDescent="0.2">
      <c r="A4436" s="81">
        <v>20043260</v>
      </c>
      <c r="B4436" s="80" t="s">
        <v>4811</v>
      </c>
      <c r="C4436" s="81" t="s">
        <v>9885</v>
      </c>
    </row>
    <row r="4437" spans="1:3" s="79" customFormat="1" ht="49.15" customHeight="1" x14ac:dyDescent="0.2">
      <c r="A4437" s="81">
        <v>20043261</v>
      </c>
      <c r="B4437" s="80" t="s">
        <v>4812</v>
      </c>
      <c r="C4437" s="80" t="s">
        <v>9886</v>
      </c>
    </row>
    <row r="4438" spans="1:3" s="79" customFormat="1" ht="28.7" customHeight="1" x14ac:dyDescent="0.2">
      <c r="A4438" s="81">
        <v>20043262</v>
      </c>
      <c r="B4438" s="80" t="s">
        <v>4813</v>
      </c>
      <c r="C4438" s="82" t="s">
        <v>9887</v>
      </c>
    </row>
    <row r="4439" spans="1:3" s="79" customFormat="1" ht="78.95" customHeight="1" x14ac:dyDescent="0.2">
      <c r="A4439" s="81">
        <v>20043263</v>
      </c>
      <c r="B4439" s="80" t="s">
        <v>4817</v>
      </c>
      <c r="C4439" s="82" t="s">
        <v>9888</v>
      </c>
    </row>
    <row r="4440" spans="1:3" s="79" customFormat="1" ht="89.1" customHeight="1" x14ac:dyDescent="0.2">
      <c r="A4440" s="81">
        <v>20043264</v>
      </c>
      <c r="B4440" s="80" t="s">
        <v>4818</v>
      </c>
      <c r="C4440" s="80" t="s">
        <v>9889</v>
      </c>
    </row>
    <row r="4441" spans="1:3" s="79" customFormat="1" ht="109.35" customHeight="1" x14ac:dyDescent="0.2">
      <c r="A4441" s="81">
        <v>20043265</v>
      </c>
      <c r="B4441" s="80" t="s">
        <v>4819</v>
      </c>
      <c r="C4441" s="82" t="s">
        <v>9890</v>
      </c>
    </row>
    <row r="4442" spans="1:3" s="79" customFormat="1" ht="19.149999999999999" customHeight="1" x14ac:dyDescent="0.2">
      <c r="A4442" s="81">
        <v>20043267</v>
      </c>
      <c r="B4442" s="80" t="s">
        <v>4820</v>
      </c>
      <c r="C4442" s="82" t="s">
        <v>9891</v>
      </c>
    </row>
    <row r="4443" spans="1:3" s="79" customFormat="1" ht="28.7" customHeight="1" x14ac:dyDescent="0.2">
      <c r="A4443" s="81">
        <v>20043268</v>
      </c>
      <c r="B4443" s="80" t="s">
        <v>4814</v>
      </c>
      <c r="C4443" s="82" t="s">
        <v>9892</v>
      </c>
    </row>
    <row r="4444" spans="1:3" s="79" customFormat="1" ht="38.85" customHeight="1" x14ac:dyDescent="0.2">
      <c r="A4444" s="81">
        <v>20043270</v>
      </c>
      <c r="B4444" s="80" t="s">
        <v>4815</v>
      </c>
      <c r="C4444" s="80" t="s">
        <v>9893</v>
      </c>
    </row>
    <row r="4445" spans="1:3" s="79" customFormat="1" ht="19.149999999999999" customHeight="1" x14ac:dyDescent="0.2">
      <c r="A4445" s="81">
        <v>20043271</v>
      </c>
      <c r="B4445" s="80" t="s">
        <v>4816</v>
      </c>
      <c r="C4445" s="82" t="s">
        <v>9894</v>
      </c>
    </row>
    <row r="4446" spans="1:3" s="79" customFormat="1" ht="49.15" customHeight="1" x14ac:dyDescent="0.2">
      <c r="A4446" s="81">
        <v>20043278</v>
      </c>
      <c r="B4446" s="80" t="s">
        <v>4821</v>
      </c>
      <c r="C4446" s="80" t="s">
        <v>9895</v>
      </c>
    </row>
    <row r="4447" spans="1:3" s="79" customFormat="1" ht="49.15" customHeight="1" x14ac:dyDescent="0.2">
      <c r="A4447" s="81">
        <v>20043280</v>
      </c>
      <c r="B4447" s="80" t="s">
        <v>4822</v>
      </c>
      <c r="C4447" s="82" t="s">
        <v>9896</v>
      </c>
    </row>
    <row r="4448" spans="1:3" s="79" customFormat="1" ht="28.7" customHeight="1" x14ac:dyDescent="0.2">
      <c r="A4448" s="81">
        <v>20043281</v>
      </c>
      <c r="B4448" s="80" t="s">
        <v>4823</v>
      </c>
      <c r="C4448" s="82" t="s">
        <v>9897</v>
      </c>
    </row>
    <row r="4449" spans="1:3" s="79" customFormat="1" ht="19.149999999999999" customHeight="1" x14ac:dyDescent="0.2">
      <c r="A4449" s="81">
        <v>20043282</v>
      </c>
      <c r="B4449" s="80" t="s">
        <v>4824</v>
      </c>
      <c r="C4449" s="82" t="s">
        <v>9898</v>
      </c>
    </row>
    <row r="4450" spans="1:3" s="79" customFormat="1" ht="38.85" customHeight="1" x14ac:dyDescent="0.2">
      <c r="A4450" s="81">
        <v>20043283</v>
      </c>
      <c r="B4450" s="80" t="s">
        <v>4826</v>
      </c>
      <c r="C4450" s="82" t="s">
        <v>9899</v>
      </c>
    </row>
    <row r="4451" spans="1:3" s="79" customFormat="1" ht="19.149999999999999" customHeight="1" x14ac:dyDescent="0.2">
      <c r="A4451" s="81">
        <v>20043284</v>
      </c>
      <c r="B4451" s="80" t="s">
        <v>4833</v>
      </c>
      <c r="C4451" s="82" t="s">
        <v>9900</v>
      </c>
    </row>
    <row r="4452" spans="1:3" s="79" customFormat="1" ht="28.7" customHeight="1" x14ac:dyDescent="0.2">
      <c r="A4452" s="81">
        <v>20043298</v>
      </c>
      <c r="B4452" s="80" t="s">
        <v>4830</v>
      </c>
      <c r="C4452" s="81" t="s">
        <v>9901</v>
      </c>
    </row>
    <row r="4453" spans="1:3" s="79" customFormat="1" ht="28.7" customHeight="1" x14ac:dyDescent="0.2">
      <c r="A4453" s="81">
        <v>20043299</v>
      </c>
      <c r="B4453" s="80" t="s">
        <v>4831</v>
      </c>
      <c r="C4453" s="81" t="s">
        <v>9902</v>
      </c>
    </row>
    <row r="4454" spans="1:3" s="79" customFormat="1" ht="28.7" customHeight="1" x14ac:dyDescent="0.2">
      <c r="A4454" s="81">
        <v>20043300</v>
      </c>
      <c r="B4454" s="80" t="s">
        <v>4834</v>
      </c>
      <c r="C4454" s="82" t="s">
        <v>9903</v>
      </c>
    </row>
    <row r="4455" spans="1:3" s="79" customFormat="1" ht="28.7" customHeight="1" x14ac:dyDescent="0.2">
      <c r="A4455" s="81">
        <v>20043308</v>
      </c>
      <c r="B4455" s="80" t="s">
        <v>4835</v>
      </c>
      <c r="C4455" s="82" t="s">
        <v>9904</v>
      </c>
    </row>
    <row r="4456" spans="1:3" s="79" customFormat="1" ht="59.1" customHeight="1" x14ac:dyDescent="0.2">
      <c r="A4456" s="81">
        <v>20043309</v>
      </c>
      <c r="B4456" s="80" t="s">
        <v>4836</v>
      </c>
      <c r="C4456" s="82" t="s">
        <v>9905</v>
      </c>
    </row>
    <row r="4457" spans="1:3" s="79" customFormat="1" ht="169.15" customHeight="1" x14ac:dyDescent="0.2">
      <c r="A4457" s="81">
        <v>20043310</v>
      </c>
      <c r="B4457" s="80" t="s">
        <v>4838</v>
      </c>
      <c r="C4457" s="82" t="s">
        <v>9906</v>
      </c>
    </row>
    <row r="4458" spans="1:3" s="79" customFormat="1" ht="169.15" customHeight="1" x14ac:dyDescent="0.2">
      <c r="A4458" s="81">
        <v>20043311</v>
      </c>
      <c r="B4458" s="80" t="s">
        <v>4842</v>
      </c>
      <c r="C4458" s="82" t="s">
        <v>9907</v>
      </c>
    </row>
    <row r="4459" spans="1:3" s="79" customFormat="1" ht="99.2" customHeight="1" x14ac:dyDescent="0.2">
      <c r="A4459" s="81">
        <v>20043312</v>
      </c>
      <c r="B4459" s="80" t="s">
        <v>4843</v>
      </c>
      <c r="C4459" s="82" t="s">
        <v>9908</v>
      </c>
    </row>
    <row r="4460" spans="1:3" s="79" customFormat="1" ht="28.7" customHeight="1" x14ac:dyDescent="0.2">
      <c r="A4460" s="81">
        <v>20043313</v>
      </c>
      <c r="B4460" s="80" t="s">
        <v>4844</v>
      </c>
      <c r="C4460" s="80" t="s">
        <v>9909</v>
      </c>
    </row>
    <row r="4461" spans="1:3" s="79" customFormat="1" ht="28.7" customHeight="1" x14ac:dyDescent="0.2">
      <c r="A4461" s="81">
        <v>20043318</v>
      </c>
      <c r="B4461" s="80" t="s">
        <v>4837</v>
      </c>
      <c r="C4461" s="80" t="s">
        <v>9910</v>
      </c>
    </row>
    <row r="4462" spans="1:3" s="79" customFormat="1" ht="28.7" customHeight="1" x14ac:dyDescent="0.2">
      <c r="A4462" s="81">
        <v>20043319</v>
      </c>
      <c r="B4462" s="80" t="s">
        <v>4845</v>
      </c>
      <c r="C4462" s="80" t="s">
        <v>9911</v>
      </c>
    </row>
    <row r="4463" spans="1:3" s="79" customFormat="1" ht="28.7" customHeight="1" x14ac:dyDescent="0.2">
      <c r="A4463" s="81">
        <v>20043320</v>
      </c>
      <c r="B4463" s="80" t="s">
        <v>4846</v>
      </c>
      <c r="C4463" s="80" t="s">
        <v>9912</v>
      </c>
    </row>
    <row r="4464" spans="1:3" s="79" customFormat="1" ht="38.85" customHeight="1" x14ac:dyDescent="0.2">
      <c r="A4464" s="81">
        <v>20043321</v>
      </c>
      <c r="B4464" s="80" t="s">
        <v>4847</v>
      </c>
      <c r="C4464" s="82" t="s">
        <v>9913</v>
      </c>
    </row>
    <row r="4465" spans="1:3" s="79" customFormat="1" ht="19.149999999999999" customHeight="1" x14ac:dyDescent="0.2">
      <c r="A4465" s="81">
        <v>20043322</v>
      </c>
      <c r="B4465" s="80" t="s">
        <v>4848</v>
      </c>
      <c r="C4465" s="82" t="s">
        <v>9914</v>
      </c>
    </row>
    <row r="4466" spans="1:3" s="79" customFormat="1" ht="19.149999999999999" customHeight="1" x14ac:dyDescent="0.2">
      <c r="A4466" s="81">
        <v>20043323</v>
      </c>
      <c r="B4466" s="80" t="s">
        <v>4849</v>
      </c>
      <c r="C4466" s="82" t="s">
        <v>9915</v>
      </c>
    </row>
    <row r="4467" spans="1:3" s="79" customFormat="1" ht="19.149999999999999" customHeight="1" x14ac:dyDescent="0.2">
      <c r="A4467" s="81">
        <v>20043324</v>
      </c>
      <c r="B4467" s="80" t="s">
        <v>4850</v>
      </c>
      <c r="C4467" s="81" t="s">
        <v>9916</v>
      </c>
    </row>
    <row r="4468" spans="1:3" s="79" customFormat="1" ht="19.149999999999999" customHeight="1" x14ac:dyDescent="0.2">
      <c r="A4468" s="81">
        <v>20043325</v>
      </c>
      <c r="B4468" s="80" t="s">
        <v>4851</v>
      </c>
      <c r="C4468" s="82" t="s">
        <v>9917</v>
      </c>
    </row>
    <row r="4469" spans="1:3" s="79" customFormat="1" ht="28.7" customHeight="1" x14ac:dyDescent="0.2">
      <c r="A4469" s="81">
        <v>20043326</v>
      </c>
      <c r="B4469" s="80" t="s">
        <v>4853</v>
      </c>
      <c r="C4469" s="80" t="s">
        <v>9918</v>
      </c>
    </row>
    <row r="4470" spans="1:3" s="79" customFormat="1" ht="19.149999999999999" customHeight="1" x14ac:dyDescent="0.2">
      <c r="A4470" s="81">
        <v>20043328</v>
      </c>
      <c r="B4470" s="80" t="s">
        <v>4839</v>
      </c>
      <c r="C4470" s="81" t="s">
        <v>9919</v>
      </c>
    </row>
    <row r="4471" spans="1:3" s="79" customFormat="1" ht="28.7" customHeight="1" x14ac:dyDescent="0.2">
      <c r="A4471" s="81">
        <v>20043329</v>
      </c>
      <c r="B4471" s="80" t="s">
        <v>4840</v>
      </c>
      <c r="C4471" s="81" t="s">
        <v>9920</v>
      </c>
    </row>
    <row r="4472" spans="1:3" s="79" customFormat="1" ht="139.15" customHeight="1" x14ac:dyDescent="0.2">
      <c r="A4472" s="81">
        <v>20043330</v>
      </c>
      <c r="B4472" s="80" t="s">
        <v>4841</v>
      </c>
      <c r="C4472" s="81" t="s">
        <v>9921</v>
      </c>
    </row>
    <row r="4473" spans="1:3" s="79" customFormat="1" ht="38.85" customHeight="1" x14ac:dyDescent="0.2">
      <c r="A4473" s="81">
        <v>20043332</v>
      </c>
      <c r="B4473" s="80" t="s">
        <v>4852</v>
      </c>
      <c r="C4473" s="82" t="s">
        <v>9922</v>
      </c>
    </row>
    <row r="4474" spans="1:3" s="79" customFormat="1" ht="19.149999999999999" customHeight="1" x14ac:dyDescent="0.2">
      <c r="A4474" s="81">
        <v>20043351</v>
      </c>
      <c r="B4474" s="80" t="s">
        <v>4863</v>
      </c>
      <c r="C4474" s="81" t="s">
        <v>9923</v>
      </c>
    </row>
    <row r="4475" spans="1:3" s="79" customFormat="1" ht="158.85" customHeight="1" x14ac:dyDescent="0.2">
      <c r="A4475" s="81">
        <v>20043353</v>
      </c>
      <c r="B4475" s="80" t="s">
        <v>4872</v>
      </c>
      <c r="C4475" s="81" t="s">
        <v>9924</v>
      </c>
    </row>
    <row r="4476" spans="1:3" s="79" customFormat="1" ht="169.15" customHeight="1" x14ac:dyDescent="0.2">
      <c r="A4476" s="81">
        <v>20043361</v>
      </c>
      <c r="B4476" s="80" t="s">
        <v>4854</v>
      </c>
      <c r="C4476" s="82" t="s">
        <v>9925</v>
      </c>
    </row>
    <row r="4477" spans="1:3" s="79" customFormat="1" ht="158.85" customHeight="1" x14ac:dyDescent="0.2">
      <c r="A4477" s="81">
        <v>20043362</v>
      </c>
      <c r="B4477" s="80" t="s">
        <v>4856</v>
      </c>
      <c r="C4477" s="82" t="s">
        <v>9926</v>
      </c>
    </row>
    <row r="4478" spans="1:3" s="79" customFormat="1" ht="49.15" customHeight="1" x14ac:dyDescent="0.2">
      <c r="A4478" s="81">
        <v>20043363</v>
      </c>
      <c r="B4478" s="80" t="s">
        <v>4857</v>
      </c>
      <c r="C4478" s="82" t="s">
        <v>9927</v>
      </c>
    </row>
    <row r="4479" spans="1:3" s="79" customFormat="1" ht="169.15" customHeight="1" x14ac:dyDescent="0.2">
      <c r="A4479" s="81">
        <v>20043365</v>
      </c>
      <c r="B4479" s="80" t="s">
        <v>4858</v>
      </c>
      <c r="C4479" s="82" t="s">
        <v>9928</v>
      </c>
    </row>
    <row r="4480" spans="1:3" s="79" customFormat="1" ht="139.15" customHeight="1" x14ac:dyDescent="0.2">
      <c r="A4480" s="81">
        <v>20043366</v>
      </c>
      <c r="B4480" s="80" t="s">
        <v>4859</v>
      </c>
      <c r="C4480" s="81" t="s">
        <v>9929</v>
      </c>
    </row>
    <row r="4481" spans="1:3" s="79" customFormat="1" ht="38.85" customHeight="1" x14ac:dyDescent="0.2">
      <c r="A4481" s="81">
        <v>20043367</v>
      </c>
      <c r="B4481" s="80" t="s">
        <v>4861</v>
      </c>
      <c r="C4481" s="82" t="s">
        <v>9930</v>
      </c>
    </row>
    <row r="4482" spans="1:3" s="79" customFormat="1" ht="38.85" customHeight="1" x14ac:dyDescent="0.2">
      <c r="A4482" s="81">
        <v>20043378</v>
      </c>
      <c r="B4482" s="80" t="s">
        <v>4862</v>
      </c>
      <c r="C4482" s="81" t="s">
        <v>9931</v>
      </c>
    </row>
    <row r="4483" spans="1:3" s="79" customFormat="1" ht="38.85" customHeight="1" x14ac:dyDescent="0.2">
      <c r="A4483" s="81">
        <v>20043380</v>
      </c>
      <c r="B4483" s="80" t="s">
        <v>4871</v>
      </c>
      <c r="C4483" s="80" t="s">
        <v>9932</v>
      </c>
    </row>
    <row r="4484" spans="1:3" s="79" customFormat="1" ht="68.849999999999994" customHeight="1" x14ac:dyDescent="0.2">
      <c r="A4484" s="81">
        <v>20043381</v>
      </c>
      <c r="B4484" s="80" t="s">
        <v>4873</v>
      </c>
      <c r="C4484" s="82" t="s">
        <v>9933</v>
      </c>
    </row>
    <row r="4485" spans="1:3" s="79" customFormat="1" ht="78.95" customHeight="1" x14ac:dyDescent="0.2">
      <c r="A4485" s="81">
        <v>20043382</v>
      </c>
      <c r="B4485" s="80" t="s">
        <v>4874</v>
      </c>
      <c r="C4485" s="82" t="s">
        <v>9934</v>
      </c>
    </row>
    <row r="4486" spans="1:3" s="79" customFormat="1" ht="38.85" customHeight="1" x14ac:dyDescent="0.2">
      <c r="A4486" s="81">
        <v>20043383</v>
      </c>
      <c r="B4486" s="80" t="s">
        <v>4875</v>
      </c>
      <c r="C4486" s="80" t="s">
        <v>9935</v>
      </c>
    </row>
    <row r="4487" spans="1:3" s="79" customFormat="1" ht="118.9" customHeight="1" x14ac:dyDescent="0.2">
      <c r="A4487" s="81">
        <v>20043384</v>
      </c>
      <c r="B4487" s="80" t="s">
        <v>4876</v>
      </c>
      <c r="C4487" s="82" t="s">
        <v>9936</v>
      </c>
    </row>
    <row r="4488" spans="1:3" s="79" customFormat="1" ht="19.149999999999999" customHeight="1" x14ac:dyDescent="0.2">
      <c r="A4488" s="81">
        <v>20043400</v>
      </c>
      <c r="B4488" s="80" t="s">
        <v>4877</v>
      </c>
      <c r="C4488" s="81" t="s">
        <v>9937</v>
      </c>
    </row>
    <row r="4489" spans="1:3" s="79" customFormat="1" ht="78.95" customHeight="1" x14ac:dyDescent="0.2">
      <c r="A4489" s="81">
        <v>20043401</v>
      </c>
      <c r="B4489" s="80" t="s">
        <v>4878</v>
      </c>
      <c r="C4489" s="81" t="s">
        <v>9938</v>
      </c>
    </row>
    <row r="4490" spans="1:3" s="79" customFormat="1" ht="28.7" customHeight="1" x14ac:dyDescent="0.2">
      <c r="A4490" s="81">
        <v>20043402</v>
      </c>
      <c r="B4490" s="80" t="s">
        <v>4888</v>
      </c>
      <c r="C4490" s="82" t="s">
        <v>9939</v>
      </c>
    </row>
    <row r="4491" spans="1:3" s="79" customFormat="1" ht="19.149999999999999" customHeight="1" x14ac:dyDescent="0.2">
      <c r="A4491" s="81">
        <v>20043403</v>
      </c>
      <c r="B4491" s="80" t="s">
        <v>4889</v>
      </c>
      <c r="C4491" s="82" t="s">
        <v>9940</v>
      </c>
    </row>
    <row r="4492" spans="1:3" s="79" customFormat="1" ht="28.7" customHeight="1" x14ac:dyDescent="0.2">
      <c r="A4492" s="81">
        <v>20043404</v>
      </c>
      <c r="B4492" s="80" t="s">
        <v>4905</v>
      </c>
      <c r="C4492" s="80" t="s">
        <v>9941</v>
      </c>
    </row>
    <row r="4493" spans="1:3" s="79" customFormat="1" ht="78.95" customHeight="1" x14ac:dyDescent="0.2">
      <c r="A4493" s="81">
        <v>20043405</v>
      </c>
      <c r="B4493" s="80" t="s">
        <v>4906</v>
      </c>
      <c r="C4493" s="82" t="s">
        <v>9942</v>
      </c>
    </row>
    <row r="4494" spans="1:3" s="79" customFormat="1" ht="68.849999999999994" customHeight="1" x14ac:dyDescent="0.2">
      <c r="A4494" s="81">
        <v>20043407</v>
      </c>
      <c r="B4494" s="80" t="s">
        <v>4477</v>
      </c>
      <c r="C4494" s="81" t="s">
        <v>9943</v>
      </c>
    </row>
    <row r="4495" spans="1:3" s="79" customFormat="1" ht="38.85" customHeight="1" x14ac:dyDescent="0.2">
      <c r="A4495" s="81">
        <v>20043408</v>
      </c>
      <c r="B4495" s="80" t="s">
        <v>11038</v>
      </c>
      <c r="C4495" s="80" t="s">
        <v>11039</v>
      </c>
    </row>
    <row r="4496" spans="1:3" s="79" customFormat="1" ht="49.15" customHeight="1" x14ac:dyDescent="0.2">
      <c r="A4496" s="81">
        <v>20043409</v>
      </c>
      <c r="B4496" s="80" t="s">
        <v>4879</v>
      </c>
      <c r="C4496" s="80" t="s">
        <v>10963</v>
      </c>
    </row>
    <row r="4497" spans="1:3" s="79" customFormat="1" ht="19.149999999999999" customHeight="1" x14ac:dyDescent="0.2">
      <c r="A4497" s="81">
        <v>20043410</v>
      </c>
      <c r="B4497" s="80" t="s">
        <v>4880</v>
      </c>
      <c r="C4497" s="82" t="s">
        <v>11524</v>
      </c>
    </row>
    <row r="4498" spans="1:3" s="79" customFormat="1" ht="38.85" customHeight="1" x14ac:dyDescent="0.2">
      <c r="A4498" s="81">
        <v>20043411</v>
      </c>
      <c r="B4498" s="80" t="s">
        <v>4881</v>
      </c>
      <c r="C4498" s="82" t="s">
        <v>9944</v>
      </c>
    </row>
    <row r="4499" spans="1:3" s="79" customFormat="1" ht="169.15" customHeight="1" x14ac:dyDescent="0.2">
      <c r="A4499" s="81">
        <v>20043412</v>
      </c>
      <c r="B4499" s="80" t="s">
        <v>4882</v>
      </c>
      <c r="C4499" s="81" t="s">
        <v>9945</v>
      </c>
    </row>
    <row r="4500" spans="1:3" s="79" customFormat="1" ht="19.149999999999999" customHeight="1" x14ac:dyDescent="0.2">
      <c r="A4500" s="81">
        <v>20043413</v>
      </c>
      <c r="B4500" s="80" t="s">
        <v>4883</v>
      </c>
      <c r="C4500" s="81" t="s">
        <v>9946</v>
      </c>
    </row>
    <row r="4501" spans="1:3" s="79" customFormat="1" ht="19.149999999999999" customHeight="1" x14ac:dyDescent="0.2">
      <c r="A4501" s="81">
        <v>20043414</v>
      </c>
      <c r="B4501" s="80" t="s">
        <v>4884</v>
      </c>
      <c r="C4501" s="82" t="s">
        <v>11616</v>
      </c>
    </row>
    <row r="4502" spans="1:3" s="79" customFormat="1" ht="49.15" customHeight="1" x14ac:dyDescent="0.2">
      <c r="A4502" s="81">
        <v>20043415</v>
      </c>
      <c r="B4502" s="80" t="s">
        <v>4887</v>
      </c>
      <c r="C4502" s="82" t="s">
        <v>9947</v>
      </c>
    </row>
    <row r="4503" spans="1:3" s="79" customFormat="1" ht="38.85" customHeight="1" x14ac:dyDescent="0.2">
      <c r="A4503" s="81">
        <v>20043416</v>
      </c>
      <c r="B4503" s="80" t="s">
        <v>11440</v>
      </c>
      <c r="C4503" s="81" t="s">
        <v>11441</v>
      </c>
    </row>
    <row r="4504" spans="1:3" s="79" customFormat="1" ht="169.15" customHeight="1" x14ac:dyDescent="0.2">
      <c r="A4504" s="81">
        <v>20043417</v>
      </c>
      <c r="B4504" s="80" t="s">
        <v>4890</v>
      </c>
      <c r="C4504" s="82" t="s">
        <v>9948</v>
      </c>
    </row>
    <row r="4505" spans="1:3" s="79" customFormat="1" ht="179.1" customHeight="1" x14ac:dyDescent="0.2">
      <c r="A4505" s="81">
        <v>20043430</v>
      </c>
      <c r="B4505" s="80" t="s">
        <v>11684</v>
      </c>
      <c r="C4505" s="81" t="s">
        <v>9949</v>
      </c>
    </row>
    <row r="4506" spans="1:3" s="79" customFormat="1" ht="28.7" customHeight="1" x14ac:dyDescent="0.2">
      <c r="A4506" s="81">
        <v>20043431</v>
      </c>
      <c r="B4506" s="80" t="s">
        <v>11685</v>
      </c>
      <c r="C4506" s="81" t="s">
        <v>9950</v>
      </c>
    </row>
    <row r="4507" spans="1:3" s="79" customFormat="1" ht="49.15" customHeight="1" x14ac:dyDescent="0.2">
      <c r="A4507" s="81">
        <v>20043432</v>
      </c>
      <c r="B4507" s="80" t="s">
        <v>4885</v>
      </c>
      <c r="C4507" s="81" t="s">
        <v>9951</v>
      </c>
    </row>
    <row r="4508" spans="1:3" s="79" customFormat="1" ht="118.9" customHeight="1" x14ac:dyDescent="0.2">
      <c r="A4508" s="81">
        <v>20043433</v>
      </c>
      <c r="B4508" s="80" t="s">
        <v>4886</v>
      </c>
      <c r="C4508" s="81" t="s">
        <v>9952</v>
      </c>
    </row>
    <row r="4509" spans="1:3" s="79" customFormat="1" ht="28.7" customHeight="1" x14ac:dyDescent="0.2">
      <c r="A4509" s="81">
        <v>20043438</v>
      </c>
      <c r="B4509" s="80" t="s">
        <v>4891</v>
      </c>
      <c r="C4509" s="82" t="s">
        <v>9953</v>
      </c>
    </row>
    <row r="4510" spans="1:3" s="79" customFormat="1" ht="149.25" customHeight="1" x14ac:dyDescent="0.2">
      <c r="A4510" s="81">
        <v>20043439</v>
      </c>
      <c r="B4510" s="80" t="s">
        <v>4892</v>
      </c>
      <c r="C4510" s="82" t="s">
        <v>9954</v>
      </c>
    </row>
    <row r="4511" spans="1:3" s="79" customFormat="1" ht="139.15" customHeight="1" x14ac:dyDescent="0.2">
      <c r="A4511" s="81">
        <v>20043441</v>
      </c>
      <c r="B4511" s="80" t="s">
        <v>4893</v>
      </c>
      <c r="C4511" s="82" t="s">
        <v>9955</v>
      </c>
    </row>
    <row r="4512" spans="1:3" s="79" customFormat="1" ht="158.85" customHeight="1" x14ac:dyDescent="0.2">
      <c r="A4512" s="81">
        <v>20043442</v>
      </c>
      <c r="B4512" s="80" t="s">
        <v>4894</v>
      </c>
      <c r="C4512" s="82" t="s">
        <v>9956</v>
      </c>
    </row>
    <row r="4513" spans="1:3" s="79" customFormat="1" ht="169.15" customHeight="1" x14ac:dyDescent="0.2">
      <c r="A4513" s="81">
        <v>20043443</v>
      </c>
      <c r="B4513" s="80" t="s">
        <v>4895</v>
      </c>
      <c r="C4513" s="82" t="s">
        <v>9957</v>
      </c>
    </row>
    <row r="4514" spans="1:3" s="79" customFormat="1" ht="28.7" customHeight="1" x14ac:dyDescent="0.2">
      <c r="A4514" s="81">
        <v>20043444</v>
      </c>
      <c r="B4514" s="80" t="s">
        <v>4896</v>
      </c>
      <c r="C4514" s="81" t="s">
        <v>9958</v>
      </c>
    </row>
    <row r="4515" spans="1:3" s="79" customFormat="1" ht="28.7" customHeight="1" x14ac:dyDescent="0.2">
      <c r="A4515" s="81">
        <v>20043447</v>
      </c>
      <c r="B4515" s="80" t="s">
        <v>4897</v>
      </c>
      <c r="C4515" s="82" t="s">
        <v>9959</v>
      </c>
    </row>
    <row r="4516" spans="1:3" s="79" customFormat="1" ht="38.85" customHeight="1" x14ac:dyDescent="0.2">
      <c r="A4516" s="81">
        <v>20043448</v>
      </c>
      <c r="B4516" s="80" t="s">
        <v>4898</v>
      </c>
      <c r="C4516" s="82" t="s">
        <v>9960</v>
      </c>
    </row>
    <row r="4517" spans="1:3" s="79" customFormat="1" ht="38.85" customHeight="1" x14ac:dyDescent="0.2">
      <c r="A4517" s="81">
        <v>20043449</v>
      </c>
      <c r="B4517" s="80" t="s">
        <v>4899</v>
      </c>
      <c r="C4517" s="82" t="s">
        <v>9961</v>
      </c>
    </row>
    <row r="4518" spans="1:3" s="79" customFormat="1" ht="49.15" customHeight="1" x14ac:dyDescent="0.2">
      <c r="A4518" s="81">
        <v>20043450</v>
      </c>
      <c r="B4518" s="80" t="s">
        <v>4900</v>
      </c>
      <c r="C4518" s="82" t="s">
        <v>9962</v>
      </c>
    </row>
    <row r="4519" spans="1:3" s="79" customFormat="1" ht="59.1" customHeight="1" x14ac:dyDescent="0.2">
      <c r="A4519" s="81">
        <v>20043451</v>
      </c>
      <c r="B4519" s="80" t="s">
        <v>4901</v>
      </c>
      <c r="C4519" s="82" t="s">
        <v>9963</v>
      </c>
    </row>
    <row r="4520" spans="1:3" s="79" customFormat="1" ht="38.85" customHeight="1" x14ac:dyDescent="0.2">
      <c r="A4520" s="81">
        <v>20043452</v>
      </c>
      <c r="B4520" s="80" t="s">
        <v>4902</v>
      </c>
      <c r="C4520" s="82" t="s">
        <v>9964</v>
      </c>
    </row>
    <row r="4521" spans="1:3" s="79" customFormat="1" ht="38.85" customHeight="1" x14ac:dyDescent="0.2">
      <c r="A4521" s="81">
        <v>20043453</v>
      </c>
      <c r="B4521" s="80" t="s">
        <v>11442</v>
      </c>
      <c r="C4521" s="82" t="s">
        <v>9965</v>
      </c>
    </row>
    <row r="4522" spans="1:3" s="79" customFormat="1" ht="28.7" customHeight="1" x14ac:dyDescent="0.2">
      <c r="A4522" s="81">
        <v>20043454</v>
      </c>
      <c r="B4522" s="80" t="s">
        <v>11443</v>
      </c>
      <c r="C4522" s="82" t="s">
        <v>9966</v>
      </c>
    </row>
    <row r="4523" spans="1:3" s="79" customFormat="1" ht="49.15" customHeight="1" x14ac:dyDescent="0.2">
      <c r="A4523" s="81">
        <v>20043455</v>
      </c>
      <c r="B4523" s="80" t="s">
        <v>11444</v>
      </c>
      <c r="C4523" s="82" t="s">
        <v>9967</v>
      </c>
    </row>
    <row r="4524" spans="1:3" s="79" customFormat="1" ht="49.15" customHeight="1" x14ac:dyDescent="0.2">
      <c r="A4524" s="81">
        <v>20043456</v>
      </c>
      <c r="B4524" s="80" t="s">
        <v>11445</v>
      </c>
      <c r="C4524" s="82" t="s">
        <v>9968</v>
      </c>
    </row>
    <row r="4525" spans="1:3" s="79" customFormat="1" ht="38.85" customHeight="1" x14ac:dyDescent="0.2">
      <c r="A4525" s="81">
        <v>20043457</v>
      </c>
      <c r="B4525" s="80" t="s">
        <v>11446</v>
      </c>
      <c r="C4525" s="82" t="s">
        <v>9969</v>
      </c>
    </row>
    <row r="4526" spans="1:3" s="79" customFormat="1" ht="38.85" customHeight="1" x14ac:dyDescent="0.2">
      <c r="A4526" s="81">
        <v>20043459</v>
      </c>
      <c r="B4526" s="80" t="s">
        <v>11447</v>
      </c>
      <c r="C4526" s="82" t="s">
        <v>9970</v>
      </c>
    </row>
    <row r="4527" spans="1:3" s="79" customFormat="1" ht="38.85" customHeight="1" x14ac:dyDescent="0.2">
      <c r="A4527" s="81">
        <v>20043460</v>
      </c>
      <c r="B4527" s="80" t="s">
        <v>11448</v>
      </c>
      <c r="C4527" s="82" t="s">
        <v>9971</v>
      </c>
    </row>
    <row r="4528" spans="1:3" s="79" customFormat="1" ht="38.85" customHeight="1" x14ac:dyDescent="0.2">
      <c r="A4528" s="81">
        <v>20043461</v>
      </c>
      <c r="B4528" s="80" t="s">
        <v>11449</v>
      </c>
      <c r="C4528" s="82" t="s">
        <v>9972</v>
      </c>
    </row>
    <row r="4529" spans="1:3" s="79" customFormat="1" ht="38.85" customHeight="1" x14ac:dyDescent="0.2">
      <c r="A4529" s="81">
        <v>20043462</v>
      </c>
      <c r="B4529" s="80" t="s">
        <v>11450</v>
      </c>
      <c r="C4529" s="82" t="s">
        <v>9973</v>
      </c>
    </row>
    <row r="4530" spans="1:3" s="79" customFormat="1" ht="38.85" customHeight="1" x14ac:dyDescent="0.2">
      <c r="A4530" s="81">
        <v>20043463</v>
      </c>
      <c r="B4530" s="80" t="s">
        <v>11451</v>
      </c>
      <c r="C4530" s="82" t="s">
        <v>9974</v>
      </c>
    </row>
    <row r="4531" spans="1:3" s="79" customFormat="1" ht="38.85" customHeight="1" x14ac:dyDescent="0.2">
      <c r="A4531" s="81">
        <v>20043464</v>
      </c>
      <c r="B4531" s="80" t="s">
        <v>11452</v>
      </c>
      <c r="C4531" s="82" t="s">
        <v>9975</v>
      </c>
    </row>
    <row r="4532" spans="1:3" s="79" customFormat="1" ht="38.85" customHeight="1" x14ac:dyDescent="0.2">
      <c r="A4532" s="81">
        <v>20043465</v>
      </c>
      <c r="B4532" s="80" t="s">
        <v>11453</v>
      </c>
      <c r="C4532" s="82" t="s">
        <v>9976</v>
      </c>
    </row>
    <row r="4533" spans="1:3" s="79" customFormat="1" ht="38.85" customHeight="1" x14ac:dyDescent="0.2">
      <c r="A4533" s="81">
        <v>20043466</v>
      </c>
      <c r="B4533" s="80" t="s">
        <v>11454</v>
      </c>
      <c r="C4533" s="82" t="s">
        <v>9977</v>
      </c>
    </row>
    <row r="4534" spans="1:3" s="79" customFormat="1" ht="38.85" customHeight="1" x14ac:dyDescent="0.2">
      <c r="A4534" s="81">
        <v>20043467</v>
      </c>
      <c r="B4534" s="80" t="s">
        <v>11455</v>
      </c>
      <c r="C4534" s="82" t="s">
        <v>9978</v>
      </c>
    </row>
    <row r="4535" spans="1:3" s="79" customFormat="1" ht="28.7" customHeight="1" x14ac:dyDescent="0.2">
      <c r="A4535" s="81">
        <v>20043469</v>
      </c>
      <c r="B4535" s="80" t="s">
        <v>4903</v>
      </c>
      <c r="C4535" s="82" t="s">
        <v>9979</v>
      </c>
    </row>
    <row r="4536" spans="1:3" s="79" customFormat="1" ht="28.7" customHeight="1" x14ac:dyDescent="0.2">
      <c r="A4536" s="81">
        <v>20043470</v>
      </c>
      <c r="B4536" s="80" t="s">
        <v>4904</v>
      </c>
      <c r="C4536" s="82" t="s">
        <v>9980</v>
      </c>
    </row>
    <row r="4537" spans="1:3" s="79" customFormat="1" ht="28.7" customHeight="1" x14ac:dyDescent="0.2">
      <c r="A4537" s="81">
        <v>20043474</v>
      </c>
      <c r="B4537" s="80" t="s">
        <v>4907</v>
      </c>
      <c r="C4537" s="81" t="s">
        <v>9981</v>
      </c>
    </row>
    <row r="4538" spans="1:3" s="79" customFormat="1" ht="28.7" customHeight="1" x14ac:dyDescent="0.2">
      <c r="A4538" s="81">
        <v>20043477</v>
      </c>
      <c r="B4538" s="80" t="s">
        <v>4908</v>
      </c>
      <c r="C4538" s="82" t="s">
        <v>9982</v>
      </c>
    </row>
    <row r="4539" spans="1:3" s="79" customFormat="1" ht="28.7" customHeight="1" x14ac:dyDescent="0.2">
      <c r="A4539" s="81">
        <v>20043478</v>
      </c>
      <c r="B4539" s="80" t="s">
        <v>4909</v>
      </c>
      <c r="C4539" s="82" t="s">
        <v>9983</v>
      </c>
    </row>
    <row r="4540" spans="1:3" s="79" customFormat="1" ht="28.7" customHeight="1" x14ac:dyDescent="0.2">
      <c r="A4540" s="81">
        <v>20043479</v>
      </c>
      <c r="B4540" s="80" t="s">
        <v>4910</v>
      </c>
      <c r="C4540" s="82" t="s">
        <v>9984</v>
      </c>
    </row>
    <row r="4541" spans="1:3" s="79" customFormat="1" ht="28.7" customHeight="1" x14ac:dyDescent="0.2">
      <c r="A4541" s="81">
        <v>20043480</v>
      </c>
      <c r="B4541" s="80" t="s">
        <v>4911</v>
      </c>
      <c r="C4541" s="82" t="s">
        <v>9985</v>
      </c>
    </row>
    <row r="4542" spans="1:3" s="79" customFormat="1" ht="129" customHeight="1" x14ac:dyDescent="0.2">
      <c r="A4542" s="81">
        <v>20043481</v>
      </c>
      <c r="B4542" s="80" t="s">
        <v>4912</v>
      </c>
      <c r="C4542" s="80" t="s">
        <v>9986</v>
      </c>
    </row>
    <row r="4543" spans="1:3" s="79" customFormat="1" ht="28.7" customHeight="1" x14ac:dyDescent="0.2">
      <c r="A4543" s="81">
        <v>20043482</v>
      </c>
      <c r="B4543" s="80" t="s">
        <v>4919</v>
      </c>
      <c r="C4543" s="80" t="s">
        <v>9987</v>
      </c>
    </row>
    <row r="4544" spans="1:3" s="79" customFormat="1" ht="28.7" customHeight="1" x14ac:dyDescent="0.2">
      <c r="A4544" s="81">
        <v>20043486</v>
      </c>
      <c r="B4544" s="80" t="s">
        <v>4921</v>
      </c>
      <c r="C4544" s="82" t="s">
        <v>9988</v>
      </c>
    </row>
    <row r="4545" spans="1:3" s="79" customFormat="1" ht="28.7" customHeight="1" x14ac:dyDescent="0.2">
      <c r="A4545" s="81">
        <v>20043487</v>
      </c>
      <c r="B4545" s="80" t="s">
        <v>4922</v>
      </c>
      <c r="C4545" s="82" t="s">
        <v>9989</v>
      </c>
    </row>
    <row r="4546" spans="1:3" s="79" customFormat="1" ht="28.7" customHeight="1" x14ac:dyDescent="0.2">
      <c r="A4546" s="81">
        <v>20043488</v>
      </c>
      <c r="B4546" s="80" t="s">
        <v>4913</v>
      </c>
      <c r="C4546" s="82" t="s">
        <v>9990</v>
      </c>
    </row>
    <row r="4547" spans="1:3" s="79" customFormat="1" ht="19.149999999999999" customHeight="1" x14ac:dyDescent="0.2">
      <c r="A4547" s="81">
        <v>20043489</v>
      </c>
      <c r="B4547" s="80" t="s">
        <v>4914</v>
      </c>
      <c r="C4547" s="82" t="s">
        <v>9991</v>
      </c>
    </row>
    <row r="4548" spans="1:3" s="79" customFormat="1" ht="19.149999999999999" customHeight="1" x14ac:dyDescent="0.2">
      <c r="A4548" s="81">
        <v>20043490</v>
      </c>
      <c r="B4548" s="80" t="s">
        <v>4915</v>
      </c>
      <c r="C4548" s="82" t="s">
        <v>9992</v>
      </c>
    </row>
    <row r="4549" spans="1:3" s="79" customFormat="1" ht="28.7" customHeight="1" x14ac:dyDescent="0.2">
      <c r="A4549" s="81">
        <v>20043491</v>
      </c>
      <c r="B4549" s="80" t="s">
        <v>4916</v>
      </c>
      <c r="C4549" s="80" t="s">
        <v>9993</v>
      </c>
    </row>
    <row r="4550" spans="1:3" s="79" customFormat="1" ht="28.7" customHeight="1" x14ac:dyDescent="0.2">
      <c r="A4550" s="81">
        <v>20043492</v>
      </c>
      <c r="B4550" s="80" t="s">
        <v>4917</v>
      </c>
      <c r="C4550" s="80" t="s">
        <v>9994</v>
      </c>
    </row>
    <row r="4551" spans="1:3" s="79" customFormat="1" ht="28.7" customHeight="1" x14ac:dyDescent="0.2">
      <c r="A4551" s="81">
        <v>20043493</v>
      </c>
      <c r="B4551" s="80" t="s">
        <v>4918</v>
      </c>
      <c r="C4551" s="80" t="s">
        <v>9995</v>
      </c>
    </row>
    <row r="4552" spans="1:3" s="79" customFormat="1" ht="28.7" customHeight="1" x14ac:dyDescent="0.2">
      <c r="A4552" s="81">
        <v>20043498</v>
      </c>
      <c r="B4552" s="80" t="s">
        <v>4920</v>
      </c>
      <c r="C4552" s="82" t="s">
        <v>9996</v>
      </c>
    </row>
    <row r="4553" spans="1:3" s="79" customFormat="1" ht="28.7" customHeight="1" x14ac:dyDescent="0.2">
      <c r="A4553" s="81">
        <v>20043503</v>
      </c>
      <c r="B4553" s="80" t="s">
        <v>11338</v>
      </c>
      <c r="C4553" s="81" t="s">
        <v>11339</v>
      </c>
    </row>
    <row r="4554" spans="1:3" s="79" customFormat="1" ht="19.149999999999999" customHeight="1" x14ac:dyDescent="0.2">
      <c r="A4554" s="81">
        <v>20043504</v>
      </c>
      <c r="B4554" s="80" t="s">
        <v>4925</v>
      </c>
      <c r="C4554" s="81" t="s">
        <v>9997</v>
      </c>
    </row>
    <row r="4555" spans="1:3" s="79" customFormat="1" ht="19.149999999999999" customHeight="1" x14ac:dyDescent="0.2">
      <c r="A4555" s="81">
        <v>20043533</v>
      </c>
      <c r="B4555" s="80" t="s">
        <v>4928</v>
      </c>
      <c r="C4555" s="82" t="s">
        <v>9998</v>
      </c>
    </row>
    <row r="4556" spans="1:3" s="79" customFormat="1" ht="19.149999999999999" customHeight="1" x14ac:dyDescent="0.2">
      <c r="A4556" s="81">
        <v>20043534</v>
      </c>
      <c r="B4556" s="80" t="s">
        <v>4930</v>
      </c>
      <c r="C4556" s="82" t="s">
        <v>9999</v>
      </c>
    </row>
    <row r="4557" spans="1:3" s="79" customFormat="1" ht="38.85" customHeight="1" x14ac:dyDescent="0.2">
      <c r="A4557" s="81">
        <v>20043535</v>
      </c>
      <c r="B4557" s="80" t="s">
        <v>4932</v>
      </c>
      <c r="C4557" s="82" t="s">
        <v>10000</v>
      </c>
    </row>
    <row r="4558" spans="1:3" s="79" customFormat="1" ht="38.85" customHeight="1" x14ac:dyDescent="0.2">
      <c r="A4558" s="81">
        <v>20043536</v>
      </c>
      <c r="B4558" s="80" t="s">
        <v>11040</v>
      </c>
      <c r="C4558" s="81" t="s">
        <v>10001</v>
      </c>
    </row>
    <row r="4559" spans="1:3" s="79" customFormat="1" ht="99.2" customHeight="1" x14ac:dyDescent="0.2">
      <c r="A4559" s="81">
        <v>20043537</v>
      </c>
      <c r="B4559" s="80" t="s">
        <v>4933</v>
      </c>
      <c r="C4559" s="82" t="s">
        <v>10002</v>
      </c>
    </row>
    <row r="4560" spans="1:3" s="79" customFormat="1" ht="49.15" customHeight="1" x14ac:dyDescent="0.2">
      <c r="A4560" s="81">
        <v>20043551</v>
      </c>
      <c r="B4560" s="80" t="s">
        <v>4929</v>
      </c>
      <c r="C4560" s="82" t="s">
        <v>10003</v>
      </c>
    </row>
    <row r="4561" spans="1:3" s="79" customFormat="1" ht="99.2" customHeight="1" x14ac:dyDescent="0.2">
      <c r="A4561" s="81">
        <v>20043554</v>
      </c>
      <c r="B4561" s="80" t="s">
        <v>11679</v>
      </c>
      <c r="C4561" s="81" t="s">
        <v>10004</v>
      </c>
    </row>
    <row r="4562" spans="1:3" s="79" customFormat="1" ht="38.85" customHeight="1" x14ac:dyDescent="0.2">
      <c r="A4562" s="81">
        <v>20043555</v>
      </c>
      <c r="B4562" s="80" t="s">
        <v>11678</v>
      </c>
      <c r="C4562" s="81" t="s">
        <v>10005</v>
      </c>
    </row>
    <row r="4563" spans="1:3" s="79" customFormat="1" ht="68.849999999999994" customHeight="1" x14ac:dyDescent="0.2">
      <c r="A4563" s="81">
        <v>20043556</v>
      </c>
      <c r="B4563" s="80" t="s">
        <v>4009</v>
      </c>
      <c r="C4563" s="81" t="s">
        <v>10006</v>
      </c>
    </row>
    <row r="4564" spans="1:3" s="79" customFormat="1" ht="59.1" customHeight="1" x14ac:dyDescent="0.2">
      <c r="A4564" s="81">
        <v>20043557</v>
      </c>
      <c r="B4564" s="80" t="s">
        <v>4931</v>
      </c>
      <c r="C4564" s="82" t="s">
        <v>10007</v>
      </c>
    </row>
    <row r="4565" spans="1:3" s="79" customFormat="1" ht="149.25" customHeight="1" x14ac:dyDescent="0.2">
      <c r="A4565" s="81">
        <v>20043559</v>
      </c>
      <c r="B4565" s="80" t="s">
        <v>11686</v>
      </c>
      <c r="C4565" s="81" t="s">
        <v>11392</v>
      </c>
    </row>
    <row r="4566" spans="1:3" s="79" customFormat="1" ht="28.7" customHeight="1" x14ac:dyDescent="0.2">
      <c r="A4566" s="81">
        <v>20043560</v>
      </c>
      <c r="B4566" s="80" t="s">
        <v>4934</v>
      </c>
      <c r="C4566" s="82" t="s">
        <v>10008</v>
      </c>
    </row>
    <row r="4567" spans="1:3" s="79" customFormat="1" ht="38.85" customHeight="1" x14ac:dyDescent="0.2">
      <c r="A4567" s="81">
        <v>20043562</v>
      </c>
      <c r="B4567" s="80" t="s">
        <v>4935</v>
      </c>
      <c r="C4567" s="82" t="s">
        <v>10009</v>
      </c>
    </row>
    <row r="4568" spans="1:3" s="79" customFormat="1" ht="179.1" customHeight="1" x14ac:dyDescent="0.2">
      <c r="A4568" s="81">
        <v>20043563</v>
      </c>
      <c r="B4568" s="80" t="s">
        <v>4936</v>
      </c>
      <c r="C4568" s="82" t="s">
        <v>10010</v>
      </c>
    </row>
    <row r="4569" spans="1:3" s="79" customFormat="1" ht="179.1" customHeight="1" x14ac:dyDescent="0.2">
      <c r="A4569" s="81">
        <v>20043564</v>
      </c>
      <c r="B4569" s="80" t="s">
        <v>4937</v>
      </c>
      <c r="C4569" s="82" t="s">
        <v>10011</v>
      </c>
    </row>
    <row r="4570" spans="1:3" s="79" customFormat="1" ht="179.1" customHeight="1" x14ac:dyDescent="0.2">
      <c r="A4570" s="81">
        <v>20043568</v>
      </c>
      <c r="B4570" s="80" t="s">
        <v>4938</v>
      </c>
      <c r="C4570" s="82" t="s">
        <v>10012</v>
      </c>
    </row>
    <row r="4571" spans="1:3" s="79" customFormat="1" ht="59.1" customHeight="1" x14ac:dyDescent="0.2">
      <c r="A4571" s="81">
        <v>20043578</v>
      </c>
      <c r="B4571" s="80" t="s">
        <v>4939</v>
      </c>
      <c r="C4571" s="82" t="s">
        <v>10013</v>
      </c>
    </row>
    <row r="4572" spans="1:3" s="79" customFormat="1" ht="129" customHeight="1" x14ac:dyDescent="0.2">
      <c r="A4572" s="81">
        <v>20043579</v>
      </c>
      <c r="B4572" s="80" t="s">
        <v>4950</v>
      </c>
      <c r="C4572" s="82" t="s">
        <v>10014</v>
      </c>
    </row>
    <row r="4573" spans="1:3" s="79" customFormat="1" ht="28.7" customHeight="1" x14ac:dyDescent="0.2">
      <c r="A4573" s="81">
        <v>20043581</v>
      </c>
      <c r="B4573" s="80" t="s">
        <v>4952</v>
      </c>
      <c r="C4573" s="82" t="s">
        <v>10015</v>
      </c>
    </row>
    <row r="4574" spans="1:3" s="79" customFormat="1" ht="59.1" customHeight="1" x14ac:dyDescent="0.2">
      <c r="A4574" s="81">
        <v>20043582</v>
      </c>
      <c r="B4574" s="80" t="s">
        <v>4953</v>
      </c>
      <c r="C4574" s="82" t="s">
        <v>10016</v>
      </c>
    </row>
    <row r="4575" spans="1:3" s="79" customFormat="1" ht="59.1" customHeight="1" x14ac:dyDescent="0.2">
      <c r="A4575" s="81">
        <v>20043583</v>
      </c>
      <c r="B4575" s="80" t="s">
        <v>4954</v>
      </c>
      <c r="C4575" s="82" t="s">
        <v>10017</v>
      </c>
    </row>
    <row r="4576" spans="1:3" s="79" customFormat="1" ht="59.1" customHeight="1" x14ac:dyDescent="0.2">
      <c r="A4576" s="81">
        <v>20043586</v>
      </c>
      <c r="B4576" s="80" t="s">
        <v>4958</v>
      </c>
      <c r="C4576" s="81" t="s">
        <v>10018</v>
      </c>
    </row>
    <row r="4577" spans="1:3" s="79" customFormat="1" ht="28.7" customHeight="1" x14ac:dyDescent="0.2">
      <c r="A4577" s="81">
        <v>20043587</v>
      </c>
      <c r="B4577" s="80" t="s">
        <v>4960</v>
      </c>
      <c r="C4577" s="82" t="s">
        <v>10019</v>
      </c>
    </row>
    <row r="4578" spans="1:3" s="79" customFormat="1" ht="49.15" customHeight="1" x14ac:dyDescent="0.2">
      <c r="A4578" s="81">
        <v>20043588</v>
      </c>
      <c r="B4578" s="80" t="s">
        <v>4940</v>
      </c>
      <c r="C4578" s="82" t="s">
        <v>10020</v>
      </c>
    </row>
    <row r="4579" spans="1:3" s="79" customFormat="1" ht="49.15" customHeight="1" x14ac:dyDescent="0.2">
      <c r="A4579" s="81">
        <v>20043589</v>
      </c>
      <c r="B4579" s="80" t="s">
        <v>4941</v>
      </c>
      <c r="C4579" s="82" t="s">
        <v>10021</v>
      </c>
    </row>
    <row r="4580" spans="1:3" s="79" customFormat="1" ht="59.1" customHeight="1" x14ac:dyDescent="0.2">
      <c r="A4580" s="81">
        <v>20043590</v>
      </c>
      <c r="B4580" s="80" t="s">
        <v>4942</v>
      </c>
      <c r="C4580" s="82" t="s">
        <v>10022</v>
      </c>
    </row>
    <row r="4581" spans="1:3" s="79" customFormat="1" ht="38.85" customHeight="1" x14ac:dyDescent="0.2">
      <c r="A4581" s="81">
        <v>20043591</v>
      </c>
      <c r="B4581" s="80" t="s">
        <v>4943</v>
      </c>
      <c r="C4581" s="82" t="s">
        <v>10023</v>
      </c>
    </row>
    <row r="4582" spans="1:3" s="79" customFormat="1" ht="38.85" customHeight="1" x14ac:dyDescent="0.2">
      <c r="A4582" s="81">
        <v>20043592</v>
      </c>
      <c r="B4582" s="80" t="s">
        <v>4944</v>
      </c>
      <c r="C4582" s="82" t="s">
        <v>10024</v>
      </c>
    </row>
    <row r="4583" spans="1:3" s="79" customFormat="1" ht="78.95" customHeight="1" x14ac:dyDescent="0.2">
      <c r="A4583" s="81">
        <v>20043593</v>
      </c>
      <c r="B4583" s="80" t="s">
        <v>4949</v>
      </c>
      <c r="C4583" s="82" t="s">
        <v>10025</v>
      </c>
    </row>
    <row r="4584" spans="1:3" s="79" customFormat="1" ht="78.95" customHeight="1" x14ac:dyDescent="0.2">
      <c r="A4584" s="81">
        <v>20043595</v>
      </c>
      <c r="B4584" s="80" t="s">
        <v>4951</v>
      </c>
      <c r="C4584" s="80" t="s">
        <v>10026</v>
      </c>
    </row>
    <row r="4585" spans="1:3" s="79" customFormat="1" ht="68.849999999999994" customHeight="1" x14ac:dyDescent="0.2">
      <c r="A4585" s="81">
        <v>20043598</v>
      </c>
      <c r="B4585" s="80" t="s">
        <v>4955</v>
      </c>
      <c r="C4585" s="80" t="s">
        <v>10027</v>
      </c>
    </row>
    <row r="4586" spans="1:3" s="79" customFormat="1" ht="68.849999999999994" customHeight="1" x14ac:dyDescent="0.2">
      <c r="A4586" s="81">
        <v>20043599</v>
      </c>
      <c r="B4586" s="80" t="s">
        <v>4956</v>
      </c>
      <c r="C4586" s="82" t="s">
        <v>10028</v>
      </c>
    </row>
    <row r="4587" spans="1:3" s="79" customFormat="1" ht="38.85" customHeight="1" x14ac:dyDescent="0.2">
      <c r="A4587" s="81">
        <v>20043604</v>
      </c>
      <c r="B4587" s="80" t="s">
        <v>4972</v>
      </c>
      <c r="C4587" s="81" t="s">
        <v>10029</v>
      </c>
    </row>
    <row r="4588" spans="1:3" s="79" customFormat="1" ht="59.1" customHeight="1" x14ac:dyDescent="0.2">
      <c r="A4588" s="81">
        <v>20043606</v>
      </c>
      <c r="B4588" s="80" t="s">
        <v>4992</v>
      </c>
      <c r="C4588" s="81" t="s">
        <v>10030</v>
      </c>
    </row>
    <row r="4589" spans="1:3" s="79" customFormat="1" ht="78.95" customHeight="1" x14ac:dyDescent="0.2">
      <c r="A4589" s="81">
        <v>20043607</v>
      </c>
      <c r="B4589" s="80" t="s">
        <v>4995</v>
      </c>
      <c r="C4589" s="80" t="s">
        <v>10031</v>
      </c>
    </row>
    <row r="4590" spans="1:3" s="79" customFormat="1" ht="28.7" customHeight="1" x14ac:dyDescent="0.2">
      <c r="A4590" s="81">
        <v>20043608</v>
      </c>
      <c r="B4590" s="80" t="s">
        <v>4957</v>
      </c>
      <c r="C4590" s="80" t="s">
        <v>10032</v>
      </c>
    </row>
    <row r="4591" spans="1:3" s="79" customFormat="1" ht="19.149999999999999" customHeight="1" x14ac:dyDescent="0.2">
      <c r="A4591" s="81">
        <v>20043609</v>
      </c>
      <c r="B4591" s="80" t="s">
        <v>4959</v>
      </c>
      <c r="C4591" s="82" t="s">
        <v>10033</v>
      </c>
    </row>
    <row r="4592" spans="1:3" s="79" customFormat="1" ht="19.149999999999999" customHeight="1" x14ac:dyDescent="0.2">
      <c r="A4592" s="81">
        <v>20043610</v>
      </c>
      <c r="B4592" s="80" t="s">
        <v>4961</v>
      </c>
      <c r="C4592" s="82" t="s">
        <v>10034</v>
      </c>
    </row>
    <row r="4593" spans="1:3" s="79" customFormat="1" ht="28.7" customHeight="1" x14ac:dyDescent="0.2">
      <c r="A4593" s="81">
        <v>20043611</v>
      </c>
      <c r="B4593" s="80" t="s">
        <v>11041</v>
      </c>
      <c r="C4593" s="80" t="s">
        <v>11042</v>
      </c>
    </row>
    <row r="4594" spans="1:3" s="79" customFormat="1" ht="99.2" customHeight="1" x14ac:dyDescent="0.2">
      <c r="A4594" s="81">
        <v>20043612</v>
      </c>
      <c r="B4594" s="80" t="s">
        <v>4962</v>
      </c>
      <c r="C4594" s="80" t="s">
        <v>10035</v>
      </c>
    </row>
    <row r="4595" spans="1:3" s="79" customFormat="1" ht="109.35" customHeight="1" x14ac:dyDescent="0.2">
      <c r="A4595" s="81">
        <v>20043613</v>
      </c>
      <c r="B4595" s="80" t="s">
        <v>4963</v>
      </c>
      <c r="C4595" s="82" t="s">
        <v>10036</v>
      </c>
    </row>
    <row r="4596" spans="1:3" s="79" customFormat="1" ht="19.149999999999999" customHeight="1" x14ac:dyDescent="0.2">
      <c r="A4596" s="81">
        <v>20043614</v>
      </c>
      <c r="B4596" s="80" t="s">
        <v>4964</v>
      </c>
      <c r="C4596" s="81" t="s">
        <v>10037</v>
      </c>
    </row>
    <row r="4597" spans="1:3" s="79" customFormat="1" ht="19.149999999999999" customHeight="1" x14ac:dyDescent="0.2">
      <c r="A4597" s="81">
        <v>20043615</v>
      </c>
      <c r="B4597" s="80" t="s">
        <v>4965</v>
      </c>
      <c r="C4597" s="82" t="s">
        <v>10038</v>
      </c>
    </row>
    <row r="4598" spans="1:3" s="79" customFormat="1" ht="68.849999999999994" customHeight="1" x14ac:dyDescent="0.2">
      <c r="A4598" s="81">
        <v>20043617</v>
      </c>
      <c r="B4598" s="80" t="s">
        <v>4973</v>
      </c>
      <c r="C4598" s="82" t="s">
        <v>10039</v>
      </c>
    </row>
    <row r="4599" spans="1:3" s="79" customFormat="1" ht="78.95" customHeight="1" x14ac:dyDescent="0.2">
      <c r="A4599" s="81">
        <v>20043619</v>
      </c>
      <c r="B4599" s="80" t="s">
        <v>4966</v>
      </c>
      <c r="C4599" s="82" t="s">
        <v>10040</v>
      </c>
    </row>
    <row r="4600" spans="1:3" s="79" customFormat="1" ht="19.149999999999999" customHeight="1" x14ac:dyDescent="0.2">
      <c r="A4600" s="81">
        <v>20043620</v>
      </c>
      <c r="B4600" s="80" t="s">
        <v>4967</v>
      </c>
      <c r="C4600" s="82" t="s">
        <v>10041</v>
      </c>
    </row>
    <row r="4601" spans="1:3" s="79" customFormat="1" ht="19.149999999999999" customHeight="1" x14ac:dyDescent="0.2">
      <c r="A4601" s="81">
        <v>20043621</v>
      </c>
      <c r="B4601" s="80" t="s">
        <v>4969</v>
      </c>
      <c r="C4601" s="80" t="s">
        <v>10042</v>
      </c>
    </row>
    <row r="4602" spans="1:3" s="79" customFormat="1" ht="68.849999999999994" customHeight="1" x14ac:dyDescent="0.2">
      <c r="A4602" s="81">
        <v>20043622</v>
      </c>
      <c r="B4602" s="80" t="s">
        <v>4979</v>
      </c>
      <c r="C4602" s="82" t="s">
        <v>10043</v>
      </c>
    </row>
    <row r="4603" spans="1:3" s="79" customFormat="1" ht="99.2" customHeight="1" x14ac:dyDescent="0.2">
      <c r="A4603" s="81">
        <v>20043628</v>
      </c>
      <c r="B4603" s="80" t="s">
        <v>11265</v>
      </c>
      <c r="C4603" s="82" t="s">
        <v>10044</v>
      </c>
    </row>
    <row r="4604" spans="1:3" s="79" customFormat="1" ht="49.15" customHeight="1" x14ac:dyDescent="0.2">
      <c r="A4604" s="81">
        <v>20043629</v>
      </c>
      <c r="B4604" s="80" t="s">
        <v>4968</v>
      </c>
      <c r="C4604" s="82" t="s">
        <v>10045</v>
      </c>
    </row>
    <row r="4605" spans="1:3" s="79" customFormat="1" ht="28.7" customHeight="1" x14ac:dyDescent="0.2">
      <c r="A4605" s="81">
        <v>20043630</v>
      </c>
      <c r="B4605" s="80" t="s">
        <v>4971</v>
      </c>
      <c r="C4605" s="82" t="s">
        <v>10046</v>
      </c>
    </row>
    <row r="4606" spans="1:3" s="79" customFormat="1" ht="38.85" customHeight="1" x14ac:dyDescent="0.2">
      <c r="A4606" s="81">
        <v>20043631</v>
      </c>
      <c r="B4606" s="80" t="s">
        <v>4974</v>
      </c>
      <c r="C4606" s="82" t="s">
        <v>10047</v>
      </c>
    </row>
    <row r="4607" spans="1:3" s="79" customFormat="1" ht="38.85" customHeight="1" x14ac:dyDescent="0.2">
      <c r="A4607" s="81">
        <v>20043632</v>
      </c>
      <c r="B4607" s="80" t="s">
        <v>4975</v>
      </c>
      <c r="C4607" s="82" t="s">
        <v>10048</v>
      </c>
    </row>
    <row r="4608" spans="1:3" s="79" customFormat="1" ht="19.149999999999999" customHeight="1" x14ac:dyDescent="0.2">
      <c r="A4608" s="81">
        <v>20043633</v>
      </c>
      <c r="B4608" s="80" t="s">
        <v>4976</v>
      </c>
      <c r="C4608" s="82" t="s">
        <v>10049</v>
      </c>
    </row>
    <row r="4609" spans="1:3" s="79" customFormat="1" ht="38.85" customHeight="1" x14ac:dyDescent="0.2">
      <c r="A4609" s="81">
        <v>20043634</v>
      </c>
      <c r="B4609" s="80" t="s">
        <v>4977</v>
      </c>
      <c r="C4609" s="82" t="s">
        <v>10050</v>
      </c>
    </row>
    <row r="4610" spans="1:3" s="79" customFormat="1" ht="28.7" customHeight="1" x14ac:dyDescent="0.2">
      <c r="A4610" s="81">
        <v>20043635</v>
      </c>
      <c r="B4610" s="80" t="s">
        <v>4981</v>
      </c>
      <c r="C4610" s="80" t="s">
        <v>10051</v>
      </c>
    </row>
    <row r="4611" spans="1:3" s="79" customFormat="1" ht="28.7" customHeight="1" x14ac:dyDescent="0.2">
      <c r="A4611" s="81">
        <v>20043637</v>
      </c>
      <c r="B4611" s="80" t="s">
        <v>4982</v>
      </c>
      <c r="C4611" s="80" t="s">
        <v>10052</v>
      </c>
    </row>
    <row r="4612" spans="1:3" s="79" customFormat="1" ht="59.1" customHeight="1" x14ac:dyDescent="0.2">
      <c r="A4612" s="81">
        <v>20043638</v>
      </c>
      <c r="B4612" s="80" t="s">
        <v>4978</v>
      </c>
      <c r="C4612" s="82" t="s">
        <v>10053</v>
      </c>
    </row>
    <row r="4613" spans="1:3" s="79" customFormat="1" ht="28.7" customHeight="1" x14ac:dyDescent="0.2">
      <c r="A4613" s="81">
        <v>20043639</v>
      </c>
      <c r="B4613" s="80" t="s">
        <v>4980</v>
      </c>
      <c r="C4613" s="82" t="s">
        <v>10054</v>
      </c>
    </row>
    <row r="4614" spans="1:3" s="79" customFormat="1" ht="28.7" customHeight="1" x14ac:dyDescent="0.2">
      <c r="A4614" s="81">
        <v>20043648</v>
      </c>
      <c r="B4614" s="80" t="s">
        <v>4983</v>
      </c>
      <c r="C4614" s="80" t="s">
        <v>10055</v>
      </c>
    </row>
    <row r="4615" spans="1:3" s="79" customFormat="1" ht="28.7" customHeight="1" x14ac:dyDescent="0.2">
      <c r="A4615" s="81">
        <v>20043649</v>
      </c>
      <c r="B4615" s="80" t="s">
        <v>4984</v>
      </c>
      <c r="C4615" s="80" t="s">
        <v>10056</v>
      </c>
    </row>
    <row r="4616" spans="1:3" s="79" customFormat="1" ht="28.7" customHeight="1" x14ac:dyDescent="0.2">
      <c r="A4616" s="81">
        <v>20043650</v>
      </c>
      <c r="B4616" s="80" t="s">
        <v>4985</v>
      </c>
      <c r="C4616" s="80" t="s">
        <v>10057</v>
      </c>
    </row>
    <row r="4617" spans="1:3" s="79" customFormat="1" ht="19.149999999999999" customHeight="1" x14ac:dyDescent="0.2">
      <c r="A4617" s="81">
        <v>20043651</v>
      </c>
      <c r="B4617" s="80" t="s">
        <v>4986</v>
      </c>
      <c r="C4617" s="82" t="s">
        <v>10058</v>
      </c>
    </row>
    <row r="4618" spans="1:3" s="79" customFormat="1" ht="19.149999999999999" customHeight="1" x14ac:dyDescent="0.2">
      <c r="A4618" s="81">
        <v>20043652</v>
      </c>
      <c r="B4618" s="80" t="s">
        <v>4987</v>
      </c>
      <c r="C4618" s="82" t="s">
        <v>10059</v>
      </c>
    </row>
    <row r="4619" spans="1:3" s="79" customFormat="1" ht="28.7" customHeight="1" x14ac:dyDescent="0.2">
      <c r="A4619" s="81">
        <v>20043653</v>
      </c>
      <c r="B4619" s="80" t="s">
        <v>4988</v>
      </c>
      <c r="C4619" s="82" t="s">
        <v>10060</v>
      </c>
    </row>
    <row r="4620" spans="1:3" s="79" customFormat="1" ht="38.85" customHeight="1" x14ac:dyDescent="0.2">
      <c r="A4620" s="81">
        <v>20043654</v>
      </c>
      <c r="B4620" s="80" t="s">
        <v>4989</v>
      </c>
      <c r="C4620" s="82" t="s">
        <v>10061</v>
      </c>
    </row>
    <row r="4621" spans="1:3" s="79" customFormat="1" ht="19.149999999999999" customHeight="1" x14ac:dyDescent="0.2">
      <c r="A4621" s="81">
        <v>20043655</v>
      </c>
      <c r="B4621" s="80" t="s">
        <v>4990</v>
      </c>
      <c r="C4621" s="82" t="s">
        <v>10062</v>
      </c>
    </row>
    <row r="4622" spans="1:3" s="79" customFormat="1" ht="19.149999999999999" customHeight="1" x14ac:dyDescent="0.2">
      <c r="A4622" s="81">
        <v>20043656</v>
      </c>
      <c r="B4622" s="80" t="s">
        <v>11043</v>
      </c>
      <c r="C4622" s="82" t="s">
        <v>10063</v>
      </c>
    </row>
    <row r="4623" spans="1:3" s="79" customFormat="1" ht="19.149999999999999" customHeight="1" x14ac:dyDescent="0.2">
      <c r="A4623" s="81">
        <v>20043657</v>
      </c>
      <c r="B4623" s="80" t="s">
        <v>11044</v>
      </c>
      <c r="C4623" s="80" t="s">
        <v>10064</v>
      </c>
    </row>
    <row r="4624" spans="1:3" s="79" customFormat="1" ht="19.149999999999999" customHeight="1" x14ac:dyDescent="0.2">
      <c r="A4624" s="81">
        <v>20043658</v>
      </c>
      <c r="B4624" s="80" t="s">
        <v>11045</v>
      </c>
      <c r="C4624" s="82" t="s">
        <v>10065</v>
      </c>
    </row>
    <row r="4625" spans="1:3" s="79" customFormat="1" ht="19.149999999999999" customHeight="1" x14ac:dyDescent="0.2">
      <c r="A4625" s="81">
        <v>20043659</v>
      </c>
      <c r="B4625" s="80" t="s">
        <v>11046</v>
      </c>
      <c r="C4625" s="82" t="s">
        <v>10066</v>
      </c>
    </row>
    <row r="4626" spans="1:3" s="79" customFormat="1" ht="19.149999999999999" customHeight="1" x14ac:dyDescent="0.2">
      <c r="A4626" s="81">
        <v>20043660</v>
      </c>
      <c r="B4626" s="80" t="s">
        <v>4991</v>
      </c>
      <c r="C4626" s="82" t="s">
        <v>10067</v>
      </c>
    </row>
    <row r="4627" spans="1:3" s="79" customFormat="1" ht="19.149999999999999" customHeight="1" x14ac:dyDescent="0.2">
      <c r="A4627" s="81">
        <v>20043663</v>
      </c>
      <c r="B4627" s="80" t="s">
        <v>4993</v>
      </c>
      <c r="C4627" s="82" t="s">
        <v>10068</v>
      </c>
    </row>
    <row r="4628" spans="1:3" s="79" customFormat="1" ht="19.149999999999999" customHeight="1" x14ac:dyDescent="0.2">
      <c r="A4628" s="81">
        <v>20043665</v>
      </c>
      <c r="B4628" s="80" t="s">
        <v>4994</v>
      </c>
      <c r="C4628" s="80"/>
    </row>
    <row r="4629" spans="1:3" s="79" customFormat="1" ht="28.7" customHeight="1" x14ac:dyDescent="0.2">
      <c r="A4629" s="81">
        <v>20043668</v>
      </c>
      <c r="B4629" s="80" t="s">
        <v>4996</v>
      </c>
      <c r="C4629" s="82" t="s">
        <v>10069</v>
      </c>
    </row>
    <row r="4630" spans="1:3" s="79" customFormat="1" ht="19.149999999999999" customHeight="1" x14ac:dyDescent="0.2">
      <c r="A4630" s="81">
        <v>20043672</v>
      </c>
      <c r="B4630" s="80" t="s">
        <v>4997</v>
      </c>
      <c r="C4630" s="82" t="s">
        <v>10070</v>
      </c>
    </row>
    <row r="4631" spans="1:3" s="79" customFormat="1" ht="28.7" customHeight="1" x14ac:dyDescent="0.2">
      <c r="A4631" s="81">
        <v>20043673</v>
      </c>
      <c r="B4631" s="80" t="s">
        <v>4998</v>
      </c>
      <c r="C4631" s="82" t="s">
        <v>10071</v>
      </c>
    </row>
    <row r="4632" spans="1:3" s="79" customFormat="1" ht="28.7" customHeight="1" x14ac:dyDescent="0.2">
      <c r="A4632" s="81">
        <v>20043674</v>
      </c>
      <c r="B4632" s="80" t="s">
        <v>4999</v>
      </c>
      <c r="C4632" s="82" t="s">
        <v>10072</v>
      </c>
    </row>
    <row r="4633" spans="1:3" s="79" customFormat="1" ht="28.7" customHeight="1" x14ac:dyDescent="0.2">
      <c r="A4633" s="81">
        <v>20043675</v>
      </c>
      <c r="B4633" s="80" t="s">
        <v>5000</v>
      </c>
      <c r="C4633" s="82" t="s">
        <v>10073</v>
      </c>
    </row>
    <row r="4634" spans="1:3" s="79" customFormat="1" ht="59.1" customHeight="1" x14ac:dyDescent="0.2">
      <c r="A4634" s="81">
        <v>20043676</v>
      </c>
      <c r="B4634" s="80" t="s">
        <v>5006</v>
      </c>
      <c r="C4634" s="80" t="s">
        <v>10074</v>
      </c>
    </row>
    <row r="4635" spans="1:3" s="79" customFormat="1" ht="19.149999999999999" customHeight="1" x14ac:dyDescent="0.2">
      <c r="A4635" s="81">
        <v>20043677</v>
      </c>
      <c r="B4635" s="80" t="s">
        <v>5007</v>
      </c>
      <c r="C4635" s="82" t="s">
        <v>10075</v>
      </c>
    </row>
    <row r="4636" spans="1:3" s="79" customFormat="1" ht="49.15" customHeight="1" x14ac:dyDescent="0.2">
      <c r="A4636" s="81">
        <v>20043678</v>
      </c>
      <c r="B4636" s="80" t="s">
        <v>5001</v>
      </c>
      <c r="C4636" s="80" t="s">
        <v>10076</v>
      </c>
    </row>
    <row r="4637" spans="1:3" s="79" customFormat="1" ht="49.15" customHeight="1" x14ac:dyDescent="0.2">
      <c r="A4637" s="81">
        <v>20043679</v>
      </c>
      <c r="B4637" s="80" t="s">
        <v>5002</v>
      </c>
      <c r="C4637" s="80" t="s">
        <v>10077</v>
      </c>
    </row>
    <row r="4638" spans="1:3" s="79" customFormat="1" ht="49.15" customHeight="1" x14ac:dyDescent="0.2">
      <c r="A4638" s="81">
        <v>20043680</v>
      </c>
      <c r="B4638" s="80" t="s">
        <v>5004</v>
      </c>
      <c r="C4638" s="80" t="s">
        <v>10078</v>
      </c>
    </row>
    <row r="4639" spans="1:3" s="79" customFormat="1" ht="49.15" customHeight="1" x14ac:dyDescent="0.2">
      <c r="A4639" s="81">
        <v>20043681</v>
      </c>
      <c r="B4639" s="80" t="s">
        <v>5005</v>
      </c>
      <c r="C4639" s="80" t="s">
        <v>10079</v>
      </c>
    </row>
    <row r="4640" spans="1:3" s="79" customFormat="1" ht="49.15" customHeight="1" x14ac:dyDescent="0.2">
      <c r="A4640" s="81">
        <v>20043683</v>
      </c>
      <c r="B4640" s="80" t="s">
        <v>5008</v>
      </c>
      <c r="C4640" s="80" t="s">
        <v>10080</v>
      </c>
    </row>
    <row r="4641" spans="1:3" s="79" customFormat="1" ht="19.149999999999999" customHeight="1" x14ac:dyDescent="0.2">
      <c r="A4641" s="81">
        <v>20043684</v>
      </c>
      <c r="B4641" s="80" t="s">
        <v>5009</v>
      </c>
      <c r="C4641" s="80" t="s">
        <v>10081</v>
      </c>
    </row>
    <row r="4642" spans="1:3" s="79" customFormat="1" ht="49.15" customHeight="1" x14ac:dyDescent="0.2">
      <c r="A4642" s="81">
        <v>20043685</v>
      </c>
      <c r="B4642" s="80" t="s">
        <v>5010</v>
      </c>
      <c r="C4642" s="80" t="s">
        <v>10082</v>
      </c>
    </row>
    <row r="4643" spans="1:3" s="79" customFormat="1" ht="19.149999999999999" customHeight="1" x14ac:dyDescent="0.2">
      <c r="A4643" s="81">
        <v>20043686</v>
      </c>
      <c r="B4643" s="80" t="s">
        <v>5011</v>
      </c>
      <c r="C4643" s="80" t="s">
        <v>10083</v>
      </c>
    </row>
    <row r="4644" spans="1:3" s="79" customFormat="1" ht="19.149999999999999" customHeight="1" x14ac:dyDescent="0.2">
      <c r="A4644" s="81">
        <v>20043687</v>
      </c>
      <c r="B4644" s="80" t="s">
        <v>5012</v>
      </c>
      <c r="C4644" s="81" t="s">
        <v>10084</v>
      </c>
    </row>
    <row r="4645" spans="1:3" s="79" customFormat="1" ht="19.149999999999999" customHeight="1" x14ac:dyDescent="0.2">
      <c r="A4645" s="81">
        <v>20043698</v>
      </c>
      <c r="B4645" s="80" t="s">
        <v>5013</v>
      </c>
      <c r="C4645" s="80" t="s">
        <v>10085</v>
      </c>
    </row>
    <row r="4646" spans="1:3" s="79" customFormat="1" ht="19.149999999999999" customHeight="1" x14ac:dyDescent="0.2">
      <c r="A4646" s="81">
        <v>20043699</v>
      </c>
      <c r="B4646" s="80" t="s">
        <v>5014</v>
      </c>
      <c r="C4646" s="80" t="s">
        <v>10086</v>
      </c>
    </row>
    <row r="4647" spans="1:3" s="79" customFormat="1" ht="19.149999999999999" customHeight="1" x14ac:dyDescent="0.2">
      <c r="A4647" s="81">
        <v>20043700</v>
      </c>
      <c r="B4647" s="80" t="s">
        <v>5015</v>
      </c>
      <c r="C4647" s="82" t="s">
        <v>10087</v>
      </c>
    </row>
    <row r="4648" spans="1:3" s="79" customFormat="1" ht="19.149999999999999" customHeight="1" x14ac:dyDescent="0.2">
      <c r="A4648" s="81">
        <v>20043701</v>
      </c>
      <c r="B4648" s="80" t="s">
        <v>5016</v>
      </c>
      <c r="C4648" s="81" t="s">
        <v>10088</v>
      </c>
    </row>
    <row r="4649" spans="1:3" s="79" customFormat="1" ht="19.149999999999999" customHeight="1" x14ac:dyDescent="0.2">
      <c r="A4649" s="81">
        <v>20043702</v>
      </c>
      <c r="B4649" s="80" t="s">
        <v>5017</v>
      </c>
      <c r="C4649" s="82" t="s">
        <v>10089</v>
      </c>
    </row>
    <row r="4650" spans="1:3" s="79" customFormat="1" ht="19.149999999999999" customHeight="1" x14ac:dyDescent="0.2">
      <c r="A4650" s="81">
        <v>20043703</v>
      </c>
      <c r="B4650" s="80" t="s">
        <v>5022</v>
      </c>
      <c r="C4650" s="82" t="s">
        <v>10090</v>
      </c>
    </row>
    <row r="4651" spans="1:3" s="79" customFormat="1" ht="158.85" customHeight="1" x14ac:dyDescent="0.2">
      <c r="A4651" s="81">
        <v>20043704</v>
      </c>
      <c r="B4651" s="80" t="s">
        <v>5023</v>
      </c>
      <c r="C4651" s="82" t="s">
        <v>10091</v>
      </c>
    </row>
    <row r="4652" spans="1:3" s="79" customFormat="1" ht="19.149999999999999" customHeight="1" x14ac:dyDescent="0.2">
      <c r="A4652" s="81">
        <v>20043705</v>
      </c>
      <c r="B4652" s="80" t="s">
        <v>5024</v>
      </c>
      <c r="C4652" s="82" t="s">
        <v>10092</v>
      </c>
    </row>
    <row r="4653" spans="1:3" s="79" customFormat="1" ht="19.149999999999999" customHeight="1" x14ac:dyDescent="0.2">
      <c r="A4653" s="81">
        <v>20043706</v>
      </c>
      <c r="B4653" s="80" t="s">
        <v>5025</v>
      </c>
      <c r="C4653" s="82" t="s">
        <v>10093</v>
      </c>
    </row>
    <row r="4654" spans="1:3" s="79" customFormat="1" ht="38.85" customHeight="1" x14ac:dyDescent="0.2">
      <c r="A4654" s="81">
        <v>20043708</v>
      </c>
      <c r="B4654" s="80" t="s">
        <v>5018</v>
      </c>
      <c r="C4654" s="82" t="s">
        <v>10094</v>
      </c>
    </row>
    <row r="4655" spans="1:3" s="79" customFormat="1" ht="179.1" customHeight="1" x14ac:dyDescent="0.2">
      <c r="A4655" s="81">
        <v>20043709</v>
      </c>
      <c r="B4655" s="80" t="s">
        <v>5019</v>
      </c>
      <c r="C4655" s="80" t="s">
        <v>10095</v>
      </c>
    </row>
    <row r="4656" spans="1:3" s="79" customFormat="1" ht="28.7" customHeight="1" x14ac:dyDescent="0.2">
      <c r="A4656" s="81">
        <v>20043710</v>
      </c>
      <c r="B4656" s="80" t="s">
        <v>5020</v>
      </c>
      <c r="C4656" s="82" t="s">
        <v>10096</v>
      </c>
    </row>
    <row r="4657" spans="1:3" s="79" customFormat="1" ht="38.85" customHeight="1" x14ac:dyDescent="0.2">
      <c r="A4657" s="81">
        <v>20043711</v>
      </c>
      <c r="B4657" s="80" t="s">
        <v>5021</v>
      </c>
      <c r="C4657" s="80"/>
    </row>
    <row r="4658" spans="1:3" s="79" customFormat="1" ht="49.15" customHeight="1" x14ac:dyDescent="0.2">
      <c r="A4658" s="81">
        <v>20043713</v>
      </c>
      <c r="B4658" s="80" t="s">
        <v>5026</v>
      </c>
      <c r="C4658" s="82" t="s">
        <v>10097</v>
      </c>
    </row>
    <row r="4659" spans="1:3" s="79" customFormat="1" ht="49.15" customHeight="1" x14ac:dyDescent="0.2">
      <c r="A4659" s="81">
        <v>20043714</v>
      </c>
      <c r="B4659" s="80" t="s">
        <v>5033</v>
      </c>
      <c r="C4659" s="80" t="s">
        <v>10098</v>
      </c>
    </row>
    <row r="4660" spans="1:3" s="79" customFormat="1" ht="49.15" customHeight="1" x14ac:dyDescent="0.2">
      <c r="A4660" s="81">
        <v>20043715</v>
      </c>
      <c r="B4660" s="80" t="s">
        <v>5040</v>
      </c>
      <c r="C4660" s="82" t="s">
        <v>10099</v>
      </c>
    </row>
    <row r="4661" spans="1:3" s="79" customFormat="1" ht="28.7" customHeight="1" x14ac:dyDescent="0.2">
      <c r="A4661" s="81">
        <v>20043716</v>
      </c>
      <c r="B4661" s="80" t="s">
        <v>5041</v>
      </c>
      <c r="C4661" s="82" t="s">
        <v>10100</v>
      </c>
    </row>
    <row r="4662" spans="1:3" s="79" customFormat="1" ht="19.149999999999999" customHeight="1" x14ac:dyDescent="0.2">
      <c r="A4662" s="81">
        <v>20043717</v>
      </c>
      <c r="B4662" s="80" t="s">
        <v>5042</v>
      </c>
      <c r="C4662" s="82" t="s">
        <v>10101</v>
      </c>
    </row>
    <row r="4663" spans="1:3" s="79" customFormat="1" ht="28.7" customHeight="1" x14ac:dyDescent="0.2">
      <c r="A4663" s="81">
        <v>20043721</v>
      </c>
      <c r="B4663" s="80" t="s">
        <v>5036</v>
      </c>
      <c r="C4663" s="82" t="s">
        <v>10102</v>
      </c>
    </row>
    <row r="4664" spans="1:3" s="79" customFormat="1" ht="19.149999999999999" customHeight="1" x14ac:dyDescent="0.2">
      <c r="A4664" s="81">
        <v>20043722</v>
      </c>
      <c r="B4664" s="80" t="s">
        <v>5037</v>
      </c>
      <c r="C4664" s="82" t="s">
        <v>10103</v>
      </c>
    </row>
    <row r="4665" spans="1:3" s="79" customFormat="1" ht="49.15" customHeight="1" x14ac:dyDescent="0.2">
      <c r="A4665" s="81">
        <v>20043723</v>
      </c>
      <c r="B4665" s="80" t="s">
        <v>5038</v>
      </c>
      <c r="C4665" s="82" t="s">
        <v>10104</v>
      </c>
    </row>
    <row r="4666" spans="1:3" s="79" customFormat="1" ht="19.149999999999999" customHeight="1" x14ac:dyDescent="0.2">
      <c r="A4666" s="81">
        <v>20043724</v>
      </c>
      <c r="B4666" s="80" t="s">
        <v>5039</v>
      </c>
      <c r="C4666" s="82" t="s">
        <v>10105</v>
      </c>
    </row>
    <row r="4667" spans="1:3" s="79" customFormat="1" ht="68.849999999999994" customHeight="1" x14ac:dyDescent="0.2">
      <c r="A4667" s="81">
        <v>20043729</v>
      </c>
      <c r="B4667" s="80" t="s">
        <v>5027</v>
      </c>
      <c r="C4667" s="82" t="s">
        <v>10106</v>
      </c>
    </row>
    <row r="4668" spans="1:3" s="79" customFormat="1" ht="68.849999999999994" customHeight="1" x14ac:dyDescent="0.2">
      <c r="A4668" s="81">
        <v>20043730</v>
      </c>
      <c r="B4668" s="80" t="s">
        <v>5028</v>
      </c>
      <c r="C4668" s="82" t="s">
        <v>10107</v>
      </c>
    </row>
    <row r="4669" spans="1:3" s="79" customFormat="1" ht="68.849999999999994" customHeight="1" x14ac:dyDescent="0.2">
      <c r="A4669" s="81">
        <v>20043731</v>
      </c>
      <c r="B4669" s="80" t="s">
        <v>5029</v>
      </c>
      <c r="C4669" s="82" t="s">
        <v>10108</v>
      </c>
    </row>
    <row r="4670" spans="1:3" s="79" customFormat="1" ht="28.7" customHeight="1" x14ac:dyDescent="0.2">
      <c r="A4670" s="81">
        <v>20043732</v>
      </c>
      <c r="B4670" s="80" t="s">
        <v>5030</v>
      </c>
      <c r="C4670" s="82" t="s">
        <v>10109</v>
      </c>
    </row>
    <row r="4671" spans="1:3" s="79" customFormat="1" ht="28.7" customHeight="1" x14ac:dyDescent="0.2">
      <c r="A4671" s="81">
        <v>20043733</v>
      </c>
      <c r="B4671" s="80" t="s">
        <v>5031</v>
      </c>
      <c r="C4671" s="82" t="s">
        <v>10110</v>
      </c>
    </row>
    <row r="4672" spans="1:3" s="79" customFormat="1" ht="28.7" customHeight="1" x14ac:dyDescent="0.2">
      <c r="A4672" s="81">
        <v>20043734</v>
      </c>
      <c r="B4672" s="80" t="s">
        <v>5032</v>
      </c>
      <c r="C4672" s="82" t="s">
        <v>10111</v>
      </c>
    </row>
    <row r="4673" spans="1:3" s="79" customFormat="1" ht="28.7" customHeight="1" x14ac:dyDescent="0.2">
      <c r="A4673" s="81">
        <v>20043736</v>
      </c>
      <c r="B4673" s="80" t="s">
        <v>5034</v>
      </c>
      <c r="C4673" s="80" t="s">
        <v>10112</v>
      </c>
    </row>
    <row r="4674" spans="1:3" s="79" customFormat="1" ht="38.85" customHeight="1" x14ac:dyDescent="0.2">
      <c r="A4674" s="81">
        <v>20043737</v>
      </c>
      <c r="B4674" s="80" t="s">
        <v>5035</v>
      </c>
      <c r="C4674" s="82" t="s">
        <v>10113</v>
      </c>
    </row>
    <row r="4675" spans="1:3" s="79" customFormat="1" ht="49.15" customHeight="1" x14ac:dyDescent="0.2">
      <c r="A4675" s="81">
        <v>20043738</v>
      </c>
      <c r="B4675" s="80" t="s">
        <v>5043</v>
      </c>
      <c r="C4675" s="82" t="s">
        <v>10114</v>
      </c>
    </row>
    <row r="4676" spans="1:3" s="79" customFormat="1" ht="38.85" customHeight="1" x14ac:dyDescent="0.2">
      <c r="A4676" s="81">
        <v>20043739</v>
      </c>
      <c r="B4676" s="80" t="s">
        <v>5044</v>
      </c>
      <c r="C4676" s="82" t="s">
        <v>10115</v>
      </c>
    </row>
    <row r="4677" spans="1:3" s="79" customFormat="1" ht="38.85" customHeight="1" x14ac:dyDescent="0.2">
      <c r="A4677" s="81">
        <v>20043740</v>
      </c>
      <c r="B4677" s="80" t="s">
        <v>5045</v>
      </c>
      <c r="C4677" s="82" t="s">
        <v>10116</v>
      </c>
    </row>
    <row r="4678" spans="1:3" s="79" customFormat="1" ht="38.85" customHeight="1" x14ac:dyDescent="0.2">
      <c r="A4678" s="81">
        <v>20043742</v>
      </c>
      <c r="B4678" s="80" t="s">
        <v>5046</v>
      </c>
      <c r="C4678" s="82" t="s">
        <v>10117</v>
      </c>
    </row>
    <row r="4679" spans="1:3" s="79" customFormat="1" ht="38.85" customHeight="1" x14ac:dyDescent="0.2">
      <c r="A4679" s="81">
        <v>20043743</v>
      </c>
      <c r="B4679" s="80" t="s">
        <v>5047</v>
      </c>
      <c r="C4679" s="82" t="s">
        <v>10118</v>
      </c>
    </row>
    <row r="4680" spans="1:3" s="79" customFormat="1" ht="19.149999999999999" customHeight="1" x14ac:dyDescent="0.2">
      <c r="A4680" s="81">
        <v>20043744</v>
      </c>
      <c r="B4680" s="80" t="s">
        <v>5048</v>
      </c>
      <c r="C4680" s="82" t="s">
        <v>10119</v>
      </c>
    </row>
    <row r="4681" spans="1:3" s="79" customFormat="1" ht="19.149999999999999" customHeight="1" x14ac:dyDescent="0.2">
      <c r="A4681" s="81">
        <v>20043745</v>
      </c>
      <c r="B4681" s="80" t="s">
        <v>5049</v>
      </c>
      <c r="C4681" s="82" t="s">
        <v>10120</v>
      </c>
    </row>
    <row r="4682" spans="1:3" s="79" customFormat="1" ht="68.849999999999994" customHeight="1" x14ac:dyDescent="0.2">
      <c r="A4682" s="81">
        <v>20043746</v>
      </c>
      <c r="B4682" s="80" t="s">
        <v>5050</v>
      </c>
      <c r="C4682" s="82" t="s">
        <v>10121</v>
      </c>
    </row>
    <row r="4683" spans="1:3" s="79" customFormat="1" ht="68.849999999999994" customHeight="1" x14ac:dyDescent="0.2">
      <c r="A4683" s="81">
        <v>20043750</v>
      </c>
      <c r="B4683" s="80" t="s">
        <v>5051</v>
      </c>
      <c r="C4683" s="82" t="s">
        <v>10122</v>
      </c>
    </row>
    <row r="4684" spans="1:3" s="79" customFormat="1" ht="68.849999999999994" customHeight="1" x14ac:dyDescent="0.2">
      <c r="A4684" s="81">
        <v>20043754</v>
      </c>
      <c r="B4684" s="80" t="s">
        <v>5052</v>
      </c>
      <c r="C4684" s="81" t="s">
        <v>10123</v>
      </c>
    </row>
    <row r="4685" spans="1:3" s="79" customFormat="1" ht="68.849999999999994" customHeight="1" x14ac:dyDescent="0.2">
      <c r="A4685" s="81">
        <v>20043756</v>
      </c>
      <c r="B4685" s="80" t="s">
        <v>5060</v>
      </c>
      <c r="C4685" s="82" t="s">
        <v>10124</v>
      </c>
    </row>
    <row r="4686" spans="1:3" s="79" customFormat="1" ht="68.849999999999994" customHeight="1" x14ac:dyDescent="0.2">
      <c r="A4686" s="81">
        <v>20043757</v>
      </c>
      <c r="B4686" s="80" t="s">
        <v>5061</v>
      </c>
      <c r="C4686" s="82" t="s">
        <v>10125</v>
      </c>
    </row>
    <row r="4687" spans="1:3" s="79" customFormat="1" ht="28.7" customHeight="1" x14ac:dyDescent="0.2">
      <c r="A4687" s="81">
        <v>20043761</v>
      </c>
      <c r="B4687" s="80" t="s">
        <v>5053</v>
      </c>
      <c r="C4687" s="80" t="s">
        <v>10126</v>
      </c>
    </row>
    <row r="4688" spans="1:3" s="79" customFormat="1" ht="109.35" customHeight="1" x14ac:dyDescent="0.2">
      <c r="A4688" s="81">
        <v>20043763</v>
      </c>
      <c r="B4688" s="80" t="s">
        <v>5054</v>
      </c>
      <c r="C4688" s="80" t="s">
        <v>10127</v>
      </c>
    </row>
    <row r="4689" spans="1:3" s="79" customFormat="1" ht="49.15" customHeight="1" x14ac:dyDescent="0.2">
      <c r="A4689" s="81">
        <v>20043765</v>
      </c>
      <c r="B4689" s="80" t="s">
        <v>5055</v>
      </c>
      <c r="C4689" s="80" t="s">
        <v>10128</v>
      </c>
    </row>
    <row r="4690" spans="1:3" s="79" customFormat="1" ht="38.85" customHeight="1" x14ac:dyDescent="0.2">
      <c r="A4690" s="81">
        <v>20043767</v>
      </c>
      <c r="B4690" s="80" t="s">
        <v>5056</v>
      </c>
      <c r="C4690" s="80" t="s">
        <v>10129</v>
      </c>
    </row>
    <row r="4691" spans="1:3" s="79" customFormat="1" ht="309.39999999999998" customHeight="1" x14ac:dyDescent="0.2">
      <c r="A4691" s="81">
        <v>20043768</v>
      </c>
      <c r="B4691" s="80" t="s">
        <v>5057</v>
      </c>
      <c r="C4691" s="80" t="s">
        <v>10130</v>
      </c>
    </row>
    <row r="4692" spans="1:3" s="79" customFormat="1" ht="38.85" customHeight="1" x14ac:dyDescent="0.2">
      <c r="A4692" s="81">
        <v>20043769</v>
      </c>
      <c r="B4692" s="80" t="s">
        <v>5058</v>
      </c>
      <c r="C4692" s="82" t="s">
        <v>10131</v>
      </c>
    </row>
    <row r="4693" spans="1:3" s="79" customFormat="1" ht="28.7" customHeight="1" x14ac:dyDescent="0.2">
      <c r="A4693" s="81">
        <v>20043770</v>
      </c>
      <c r="B4693" s="80" t="s">
        <v>5059</v>
      </c>
      <c r="C4693" s="82" t="s">
        <v>10132</v>
      </c>
    </row>
    <row r="4694" spans="1:3" s="79" customFormat="1" ht="19.149999999999999" customHeight="1" x14ac:dyDescent="0.2">
      <c r="A4694" s="81">
        <v>20043771</v>
      </c>
      <c r="B4694" s="80" t="s">
        <v>5062</v>
      </c>
      <c r="C4694" s="82" t="s">
        <v>10133</v>
      </c>
    </row>
    <row r="4695" spans="1:3" s="79" customFormat="1" ht="19.149999999999999" customHeight="1" x14ac:dyDescent="0.2">
      <c r="A4695" s="81">
        <v>20043778</v>
      </c>
      <c r="B4695" s="80" t="s">
        <v>5063</v>
      </c>
      <c r="C4695" s="82" t="s">
        <v>10134</v>
      </c>
    </row>
    <row r="4696" spans="1:3" s="79" customFormat="1" ht="19.149999999999999" customHeight="1" x14ac:dyDescent="0.2">
      <c r="A4696" s="81">
        <v>20043779</v>
      </c>
      <c r="B4696" s="80" t="s">
        <v>5064</v>
      </c>
      <c r="C4696" s="82" t="s">
        <v>10135</v>
      </c>
    </row>
    <row r="4697" spans="1:3" s="79" customFormat="1" ht="19.149999999999999" customHeight="1" x14ac:dyDescent="0.2">
      <c r="A4697" s="81">
        <v>20043780</v>
      </c>
      <c r="B4697" s="80" t="s">
        <v>5065</v>
      </c>
      <c r="C4697" s="80"/>
    </row>
    <row r="4698" spans="1:3" s="79" customFormat="1" ht="19.149999999999999" customHeight="1" x14ac:dyDescent="0.2">
      <c r="A4698" s="81">
        <v>20043781</v>
      </c>
      <c r="B4698" s="80" t="s">
        <v>5066</v>
      </c>
      <c r="C4698" s="82" t="s">
        <v>10136</v>
      </c>
    </row>
    <row r="4699" spans="1:3" s="79" customFormat="1" ht="49.15" customHeight="1" x14ac:dyDescent="0.2">
      <c r="A4699" s="81">
        <v>20043783</v>
      </c>
      <c r="B4699" s="80" t="s">
        <v>5067</v>
      </c>
      <c r="C4699" s="82" t="s">
        <v>10137</v>
      </c>
    </row>
    <row r="4700" spans="1:3" s="79" customFormat="1" ht="38.85" customHeight="1" x14ac:dyDescent="0.2">
      <c r="A4700" s="81">
        <v>20043784</v>
      </c>
      <c r="B4700" s="80" t="s">
        <v>5068</v>
      </c>
      <c r="C4700" s="82" t="s">
        <v>10138</v>
      </c>
    </row>
    <row r="4701" spans="1:3" s="79" customFormat="1" ht="28.7" customHeight="1" x14ac:dyDescent="0.2">
      <c r="A4701" s="81">
        <v>20043785</v>
      </c>
      <c r="B4701" s="80" t="s">
        <v>5069</v>
      </c>
      <c r="C4701" s="82" t="s">
        <v>10139</v>
      </c>
    </row>
    <row r="4702" spans="1:3" s="79" customFormat="1" ht="28.7" customHeight="1" x14ac:dyDescent="0.2">
      <c r="A4702" s="81">
        <v>20043786</v>
      </c>
      <c r="B4702" s="80" t="s">
        <v>5070</v>
      </c>
      <c r="C4702" s="80" t="s">
        <v>10140</v>
      </c>
    </row>
    <row r="4703" spans="1:3" s="79" customFormat="1" ht="28.7" customHeight="1" x14ac:dyDescent="0.2">
      <c r="A4703" s="81">
        <v>20043788</v>
      </c>
      <c r="B4703" s="80" t="s">
        <v>5071</v>
      </c>
      <c r="C4703" s="80" t="s">
        <v>10141</v>
      </c>
    </row>
    <row r="4704" spans="1:3" s="79" customFormat="1" ht="19.149999999999999" customHeight="1" x14ac:dyDescent="0.2">
      <c r="A4704" s="81">
        <v>20043789</v>
      </c>
      <c r="B4704" s="80" t="s">
        <v>5072</v>
      </c>
      <c r="C4704" s="80" t="s">
        <v>10142</v>
      </c>
    </row>
    <row r="4705" spans="1:3" s="79" customFormat="1" ht="38.85" customHeight="1" x14ac:dyDescent="0.2">
      <c r="A4705" s="81">
        <v>20043790</v>
      </c>
      <c r="B4705" s="80" t="s">
        <v>5073</v>
      </c>
      <c r="C4705" s="80" t="s">
        <v>10143</v>
      </c>
    </row>
    <row r="4706" spans="1:3" s="79" customFormat="1" ht="19.149999999999999" customHeight="1" x14ac:dyDescent="0.2">
      <c r="A4706" s="81">
        <v>20043791</v>
      </c>
      <c r="B4706" s="80" t="s">
        <v>5074</v>
      </c>
      <c r="C4706" s="80" t="s">
        <v>10144</v>
      </c>
    </row>
    <row r="4707" spans="1:3" s="79" customFormat="1" ht="19.149999999999999" customHeight="1" x14ac:dyDescent="0.2">
      <c r="A4707" s="81">
        <v>20043794</v>
      </c>
      <c r="B4707" s="80" t="s">
        <v>5075</v>
      </c>
      <c r="C4707" s="82" t="s">
        <v>10145</v>
      </c>
    </row>
    <row r="4708" spans="1:3" s="79" customFormat="1" ht="19.149999999999999" customHeight="1" x14ac:dyDescent="0.2">
      <c r="A4708" s="81">
        <v>20043795</v>
      </c>
      <c r="B4708" s="80" t="s">
        <v>5077</v>
      </c>
      <c r="C4708" s="82" t="s">
        <v>10146</v>
      </c>
    </row>
    <row r="4709" spans="1:3" s="79" customFormat="1" ht="19.149999999999999" customHeight="1" x14ac:dyDescent="0.2">
      <c r="A4709" s="81">
        <v>20043796</v>
      </c>
      <c r="B4709" s="80" t="s">
        <v>5078</v>
      </c>
      <c r="C4709" s="82" t="s">
        <v>10147</v>
      </c>
    </row>
    <row r="4710" spans="1:3" s="79" customFormat="1" ht="19.149999999999999" customHeight="1" x14ac:dyDescent="0.2">
      <c r="A4710" s="81">
        <v>20043797</v>
      </c>
      <c r="B4710" s="80" t="s">
        <v>5079</v>
      </c>
      <c r="C4710" s="82" t="s">
        <v>10148</v>
      </c>
    </row>
    <row r="4711" spans="1:3" s="79" customFormat="1" ht="19.149999999999999" customHeight="1" x14ac:dyDescent="0.2">
      <c r="A4711" s="81">
        <v>20043808</v>
      </c>
      <c r="B4711" s="80" t="s">
        <v>5080</v>
      </c>
      <c r="C4711" s="82" t="s">
        <v>10149</v>
      </c>
    </row>
    <row r="4712" spans="1:3" s="79" customFormat="1" ht="19.149999999999999" customHeight="1" x14ac:dyDescent="0.2">
      <c r="A4712" s="81">
        <v>20043809</v>
      </c>
      <c r="B4712" s="80" t="s">
        <v>5081</v>
      </c>
      <c r="C4712" s="82" t="s">
        <v>10150</v>
      </c>
    </row>
    <row r="4713" spans="1:3" s="79" customFormat="1" ht="19.149999999999999" customHeight="1" x14ac:dyDescent="0.2">
      <c r="A4713" s="81">
        <v>20043810</v>
      </c>
      <c r="B4713" s="80" t="s">
        <v>5082</v>
      </c>
      <c r="C4713" s="82" t="s">
        <v>10151</v>
      </c>
    </row>
    <row r="4714" spans="1:3" s="79" customFormat="1" ht="19.149999999999999" customHeight="1" x14ac:dyDescent="0.2">
      <c r="A4714" s="81">
        <v>20043812</v>
      </c>
      <c r="B4714" s="80" t="s">
        <v>11456</v>
      </c>
      <c r="C4714" s="80" t="s">
        <v>10152</v>
      </c>
    </row>
    <row r="4715" spans="1:3" s="79" customFormat="1" ht="28.7" customHeight="1" x14ac:dyDescent="0.2">
      <c r="A4715" s="81">
        <v>20043813</v>
      </c>
      <c r="B4715" s="80" t="s">
        <v>5094</v>
      </c>
      <c r="C4715" s="82" t="s">
        <v>10153</v>
      </c>
    </row>
    <row r="4716" spans="1:3" s="79" customFormat="1" ht="38.85" customHeight="1" x14ac:dyDescent="0.2">
      <c r="A4716" s="81">
        <v>20043814</v>
      </c>
      <c r="B4716" s="80" t="s">
        <v>5095</v>
      </c>
      <c r="C4716" s="82" t="s">
        <v>10154</v>
      </c>
    </row>
    <row r="4717" spans="1:3" s="79" customFormat="1" ht="49.15" customHeight="1" x14ac:dyDescent="0.2">
      <c r="A4717" s="81">
        <v>20043815</v>
      </c>
      <c r="B4717" s="80" t="s">
        <v>5096</v>
      </c>
      <c r="C4717" s="82" t="s">
        <v>10155</v>
      </c>
    </row>
    <row r="4718" spans="1:3" s="79" customFormat="1" ht="59.1" customHeight="1" x14ac:dyDescent="0.2">
      <c r="A4718" s="81">
        <v>20043816</v>
      </c>
      <c r="B4718" s="80" t="s">
        <v>5097</v>
      </c>
      <c r="C4718" s="82" t="s">
        <v>10156</v>
      </c>
    </row>
    <row r="4719" spans="1:3" s="79" customFormat="1" ht="68.849999999999994" customHeight="1" x14ac:dyDescent="0.2">
      <c r="A4719" s="81">
        <v>20043817</v>
      </c>
      <c r="B4719" s="80" t="s">
        <v>5098</v>
      </c>
      <c r="C4719" s="82" t="s">
        <v>10157</v>
      </c>
    </row>
    <row r="4720" spans="1:3" s="79" customFormat="1" ht="68.849999999999994" customHeight="1" x14ac:dyDescent="0.2">
      <c r="A4720" s="81">
        <v>20043818</v>
      </c>
      <c r="B4720" s="80" t="s">
        <v>5083</v>
      </c>
      <c r="C4720" s="81" t="s">
        <v>10158</v>
      </c>
    </row>
    <row r="4721" spans="1:3" s="79" customFormat="1" ht="19.149999999999999" customHeight="1" x14ac:dyDescent="0.2">
      <c r="A4721" s="81">
        <v>20043819</v>
      </c>
      <c r="B4721" s="80" t="s">
        <v>5084</v>
      </c>
      <c r="C4721" s="81" t="s">
        <v>10159</v>
      </c>
    </row>
    <row r="4722" spans="1:3" s="79" customFormat="1" ht="68.849999999999994" customHeight="1" x14ac:dyDescent="0.2">
      <c r="A4722" s="81">
        <v>20043820</v>
      </c>
      <c r="B4722" s="80" t="s">
        <v>5085</v>
      </c>
      <c r="C4722" s="82" t="s">
        <v>10160</v>
      </c>
    </row>
    <row r="4723" spans="1:3" s="79" customFormat="1" ht="68.849999999999994" customHeight="1" x14ac:dyDescent="0.2">
      <c r="A4723" s="81">
        <v>20043821</v>
      </c>
      <c r="B4723" s="80" t="s">
        <v>5086</v>
      </c>
      <c r="C4723" s="82" t="s">
        <v>10161</v>
      </c>
    </row>
    <row r="4724" spans="1:3" s="79" customFormat="1" ht="68.849999999999994" customHeight="1" x14ac:dyDescent="0.2">
      <c r="A4724" s="81">
        <v>20043822</v>
      </c>
      <c r="B4724" s="80" t="s">
        <v>5088</v>
      </c>
      <c r="C4724" s="82" t="s">
        <v>10162</v>
      </c>
    </row>
    <row r="4725" spans="1:3" s="79" customFormat="1" ht="68.849999999999994" customHeight="1" x14ac:dyDescent="0.2">
      <c r="A4725" s="81">
        <v>20043823</v>
      </c>
      <c r="B4725" s="80" t="s">
        <v>5089</v>
      </c>
      <c r="C4725" s="80" t="s">
        <v>10163</v>
      </c>
    </row>
    <row r="4726" spans="1:3" s="79" customFormat="1" ht="68.849999999999994" customHeight="1" x14ac:dyDescent="0.2">
      <c r="A4726" s="81">
        <v>20043824</v>
      </c>
      <c r="B4726" s="80" t="s">
        <v>5090</v>
      </c>
      <c r="C4726" s="80" t="s">
        <v>10164</v>
      </c>
    </row>
    <row r="4727" spans="1:3" s="79" customFormat="1" ht="99.2" customHeight="1" x14ac:dyDescent="0.2">
      <c r="A4727" s="81">
        <v>20043825</v>
      </c>
      <c r="B4727" s="80" t="s">
        <v>5091</v>
      </c>
      <c r="C4727" s="80" t="s">
        <v>10165</v>
      </c>
    </row>
    <row r="4728" spans="1:3" s="79" customFormat="1" ht="68.849999999999994" customHeight="1" x14ac:dyDescent="0.2">
      <c r="A4728" s="81">
        <v>20043826</v>
      </c>
      <c r="B4728" s="80" t="s">
        <v>5092</v>
      </c>
      <c r="C4728" s="80" t="s">
        <v>10166</v>
      </c>
    </row>
    <row r="4729" spans="1:3" s="79" customFormat="1" ht="38.85" customHeight="1" x14ac:dyDescent="0.2">
      <c r="A4729" s="81">
        <v>20043827</v>
      </c>
      <c r="B4729" s="80" t="s">
        <v>5093</v>
      </c>
      <c r="C4729" s="81" t="s">
        <v>10167</v>
      </c>
    </row>
    <row r="4730" spans="1:3" s="79" customFormat="1" ht="28.7" customHeight="1" x14ac:dyDescent="0.2">
      <c r="A4730" s="81">
        <v>20043828</v>
      </c>
      <c r="B4730" s="80" t="s">
        <v>5099</v>
      </c>
      <c r="C4730" s="82" t="s">
        <v>10168</v>
      </c>
    </row>
    <row r="4731" spans="1:3" s="79" customFormat="1" ht="28.7" customHeight="1" x14ac:dyDescent="0.2">
      <c r="A4731" s="81">
        <v>20043838</v>
      </c>
      <c r="B4731" s="80" t="s">
        <v>5100</v>
      </c>
      <c r="C4731" s="82" t="s">
        <v>10169</v>
      </c>
    </row>
    <row r="4732" spans="1:3" s="79" customFormat="1" ht="19.149999999999999" customHeight="1" x14ac:dyDescent="0.2">
      <c r="A4732" s="81">
        <v>20043839</v>
      </c>
      <c r="B4732" s="80" t="s">
        <v>5101</v>
      </c>
      <c r="C4732" s="82" t="s">
        <v>10170</v>
      </c>
    </row>
    <row r="4733" spans="1:3" s="79" customFormat="1" ht="19.149999999999999" customHeight="1" x14ac:dyDescent="0.2">
      <c r="A4733" s="81">
        <v>20043840</v>
      </c>
      <c r="B4733" s="80" t="s">
        <v>5102</v>
      </c>
      <c r="C4733" s="82" t="s">
        <v>10171</v>
      </c>
    </row>
    <row r="4734" spans="1:3" s="79" customFormat="1" ht="19.149999999999999" customHeight="1" x14ac:dyDescent="0.2">
      <c r="A4734" s="81">
        <v>20043841</v>
      </c>
      <c r="B4734" s="80" t="s">
        <v>5103</v>
      </c>
      <c r="C4734" s="82" t="s">
        <v>10172</v>
      </c>
    </row>
    <row r="4735" spans="1:3" s="79" customFormat="1" ht="19.149999999999999" customHeight="1" x14ac:dyDescent="0.2">
      <c r="A4735" s="81">
        <v>20043842</v>
      </c>
      <c r="B4735" s="80" t="s">
        <v>5104</v>
      </c>
      <c r="C4735" s="82" t="s">
        <v>10173</v>
      </c>
    </row>
    <row r="4736" spans="1:3" s="79" customFormat="1" ht="59.1" customHeight="1" x14ac:dyDescent="0.2">
      <c r="A4736" s="81">
        <v>20043843</v>
      </c>
      <c r="B4736" s="80" t="s">
        <v>5105</v>
      </c>
      <c r="C4736" s="82" t="s">
        <v>10174</v>
      </c>
    </row>
    <row r="4737" spans="1:3" s="79" customFormat="1" ht="68.849999999999994" customHeight="1" x14ac:dyDescent="0.2">
      <c r="A4737" s="81">
        <v>20043848</v>
      </c>
      <c r="B4737" s="80" t="s">
        <v>5106</v>
      </c>
      <c r="C4737" s="82" t="s">
        <v>10175</v>
      </c>
    </row>
    <row r="4738" spans="1:3" s="79" customFormat="1" ht="68.849999999999994" customHeight="1" x14ac:dyDescent="0.2">
      <c r="A4738" s="81">
        <v>20043849</v>
      </c>
      <c r="B4738" s="80" t="s">
        <v>5107</v>
      </c>
      <c r="C4738" s="82" t="s">
        <v>10176</v>
      </c>
    </row>
    <row r="4739" spans="1:3" s="79" customFormat="1" ht="68.849999999999994" customHeight="1" x14ac:dyDescent="0.2">
      <c r="A4739" s="81">
        <v>20043850</v>
      </c>
      <c r="B4739" s="80" t="s">
        <v>5108</v>
      </c>
      <c r="C4739" s="82" t="s">
        <v>10177</v>
      </c>
    </row>
    <row r="4740" spans="1:3" s="79" customFormat="1" ht="68.849999999999994" customHeight="1" x14ac:dyDescent="0.2">
      <c r="A4740" s="81">
        <v>20043851</v>
      </c>
      <c r="B4740" s="80" t="s">
        <v>5109</v>
      </c>
      <c r="C4740" s="82" t="s">
        <v>10178</v>
      </c>
    </row>
    <row r="4741" spans="1:3" s="79" customFormat="1" ht="68.849999999999994" customHeight="1" x14ac:dyDescent="0.2">
      <c r="A4741" s="81">
        <v>20043852</v>
      </c>
      <c r="B4741" s="80" t="s">
        <v>5110</v>
      </c>
      <c r="C4741" s="82" t="s">
        <v>10179</v>
      </c>
    </row>
    <row r="4742" spans="1:3" s="79" customFormat="1" ht="68.849999999999994" customHeight="1" x14ac:dyDescent="0.2">
      <c r="A4742" s="81">
        <v>20043853</v>
      </c>
      <c r="B4742" s="80" t="s">
        <v>5111</v>
      </c>
      <c r="C4742" s="82" t="s">
        <v>10180</v>
      </c>
    </row>
    <row r="4743" spans="1:3" s="79" customFormat="1" ht="68.849999999999994" customHeight="1" x14ac:dyDescent="0.2">
      <c r="A4743" s="81">
        <v>20043854</v>
      </c>
      <c r="B4743" s="80" t="s">
        <v>5112</v>
      </c>
      <c r="C4743" s="82" t="s">
        <v>10181</v>
      </c>
    </row>
    <row r="4744" spans="1:3" s="79" customFormat="1" ht="68.849999999999994" customHeight="1" x14ac:dyDescent="0.2">
      <c r="A4744" s="81">
        <v>20043855</v>
      </c>
      <c r="B4744" s="80" t="s">
        <v>11687</v>
      </c>
      <c r="C4744" s="82" t="s">
        <v>10182</v>
      </c>
    </row>
    <row r="4745" spans="1:3" s="79" customFormat="1" ht="68.849999999999994" customHeight="1" x14ac:dyDescent="0.2">
      <c r="A4745" s="81">
        <v>20043856</v>
      </c>
      <c r="B4745" s="80" t="s">
        <v>11266</v>
      </c>
      <c r="C4745" s="82" t="s">
        <v>10183</v>
      </c>
    </row>
    <row r="4746" spans="1:3" s="79" customFormat="1" ht="68.849999999999994" customHeight="1" x14ac:dyDescent="0.2">
      <c r="A4746" s="81">
        <v>20043857</v>
      </c>
      <c r="B4746" s="80" t="s">
        <v>5113</v>
      </c>
      <c r="C4746" s="82" t="s">
        <v>10184</v>
      </c>
    </row>
    <row r="4747" spans="1:3" s="79" customFormat="1" ht="68.849999999999994" customHeight="1" x14ac:dyDescent="0.2">
      <c r="A4747" s="81">
        <v>20043858</v>
      </c>
      <c r="B4747" s="80" t="s">
        <v>5114</v>
      </c>
      <c r="C4747" s="82" t="s">
        <v>10185</v>
      </c>
    </row>
    <row r="4748" spans="1:3" s="79" customFormat="1" ht="68.849999999999994" customHeight="1" x14ac:dyDescent="0.2">
      <c r="A4748" s="81">
        <v>20043868</v>
      </c>
      <c r="B4748" s="80" t="s">
        <v>5115</v>
      </c>
      <c r="C4748" s="80" t="s">
        <v>10186</v>
      </c>
    </row>
    <row r="4749" spans="1:3" s="79" customFormat="1" ht="68.849999999999994" customHeight="1" x14ac:dyDescent="0.2">
      <c r="A4749" s="81">
        <v>20043870</v>
      </c>
      <c r="B4749" s="80" t="s">
        <v>5116</v>
      </c>
      <c r="C4749" s="82" t="s">
        <v>10187</v>
      </c>
    </row>
    <row r="4750" spans="1:3" s="79" customFormat="1" ht="68.849999999999994" customHeight="1" x14ac:dyDescent="0.2">
      <c r="A4750" s="81">
        <v>20043874</v>
      </c>
      <c r="B4750" s="80" t="s">
        <v>5117</v>
      </c>
      <c r="C4750" s="82" t="s">
        <v>10188</v>
      </c>
    </row>
    <row r="4751" spans="1:3" s="79" customFormat="1" ht="68.849999999999994" customHeight="1" x14ac:dyDescent="0.2">
      <c r="A4751" s="81">
        <v>20043876</v>
      </c>
      <c r="B4751" s="80" t="s">
        <v>5123</v>
      </c>
      <c r="C4751" s="82" t="s">
        <v>10189</v>
      </c>
    </row>
    <row r="4752" spans="1:3" s="79" customFormat="1" ht="68.849999999999994" customHeight="1" x14ac:dyDescent="0.2">
      <c r="A4752" s="81">
        <v>20043877</v>
      </c>
      <c r="B4752" s="80" t="s">
        <v>5124</v>
      </c>
      <c r="C4752" s="82" t="s">
        <v>10190</v>
      </c>
    </row>
    <row r="4753" spans="1:3" s="79" customFormat="1" ht="68.849999999999994" customHeight="1" x14ac:dyDescent="0.2">
      <c r="A4753" s="81">
        <v>20043891</v>
      </c>
      <c r="B4753" s="80" t="s">
        <v>5143</v>
      </c>
      <c r="C4753" s="81" t="s">
        <v>10191</v>
      </c>
    </row>
    <row r="4754" spans="1:3" s="79" customFormat="1" ht="68.849999999999994" customHeight="1" x14ac:dyDescent="0.2">
      <c r="A4754" s="81">
        <v>20043898</v>
      </c>
      <c r="B4754" s="80" t="s">
        <v>5119</v>
      </c>
      <c r="C4754" s="82" t="s">
        <v>10192</v>
      </c>
    </row>
    <row r="4755" spans="1:3" s="79" customFormat="1" ht="19.149999999999999" customHeight="1" x14ac:dyDescent="0.2">
      <c r="A4755" s="81">
        <v>20043899</v>
      </c>
      <c r="B4755" s="80" t="s">
        <v>5120</v>
      </c>
      <c r="C4755" s="82" t="s">
        <v>10193</v>
      </c>
    </row>
    <row r="4756" spans="1:3" s="79" customFormat="1" ht="59.1" customHeight="1" x14ac:dyDescent="0.2">
      <c r="A4756" s="81">
        <v>20043900</v>
      </c>
      <c r="B4756" s="80" t="s">
        <v>5121</v>
      </c>
      <c r="C4756" s="82" t="s">
        <v>10194</v>
      </c>
    </row>
    <row r="4757" spans="1:3" s="79" customFormat="1" ht="59.1" customHeight="1" x14ac:dyDescent="0.2">
      <c r="A4757" s="81">
        <v>20043901</v>
      </c>
      <c r="B4757" s="80" t="s">
        <v>5122</v>
      </c>
      <c r="C4757" s="82" t="s">
        <v>10195</v>
      </c>
    </row>
    <row r="4758" spans="1:3" s="79" customFormat="1" ht="59.1" customHeight="1" x14ac:dyDescent="0.2">
      <c r="A4758" s="81">
        <v>20043903</v>
      </c>
      <c r="B4758" s="80" t="s">
        <v>5125</v>
      </c>
      <c r="C4758" s="82" t="s">
        <v>10196</v>
      </c>
    </row>
    <row r="4759" spans="1:3" s="79" customFormat="1" ht="28.7" customHeight="1" x14ac:dyDescent="0.2">
      <c r="A4759" s="81">
        <v>20043904</v>
      </c>
      <c r="B4759" s="80" t="s">
        <v>5126</v>
      </c>
      <c r="C4759" s="82" t="s">
        <v>10197</v>
      </c>
    </row>
    <row r="4760" spans="1:3" s="79" customFormat="1" ht="78.95" customHeight="1" x14ac:dyDescent="0.2">
      <c r="A4760" s="81">
        <v>20043905</v>
      </c>
      <c r="B4760" s="80" t="s">
        <v>5132</v>
      </c>
      <c r="C4760" s="81" t="s">
        <v>10198</v>
      </c>
    </row>
    <row r="4761" spans="1:3" s="79" customFormat="1" ht="49.15" customHeight="1" x14ac:dyDescent="0.2">
      <c r="A4761" s="81">
        <v>20043906</v>
      </c>
      <c r="B4761" s="80" t="s">
        <v>5133</v>
      </c>
      <c r="C4761" s="82" t="s">
        <v>10199</v>
      </c>
    </row>
    <row r="4762" spans="1:3" s="79" customFormat="1" ht="59.1" customHeight="1" x14ac:dyDescent="0.2">
      <c r="A4762" s="81">
        <v>20043908</v>
      </c>
      <c r="B4762" s="80" t="s">
        <v>5127</v>
      </c>
      <c r="C4762" s="82" t="s">
        <v>10200</v>
      </c>
    </row>
    <row r="4763" spans="1:3" s="79" customFormat="1" ht="59.1" customHeight="1" x14ac:dyDescent="0.2">
      <c r="A4763" s="81">
        <v>20043909</v>
      </c>
      <c r="B4763" s="80" t="s">
        <v>5128</v>
      </c>
      <c r="C4763" s="82" t="s">
        <v>10201</v>
      </c>
    </row>
    <row r="4764" spans="1:3" s="79" customFormat="1" ht="28.7" customHeight="1" x14ac:dyDescent="0.2">
      <c r="A4764" s="81">
        <v>20043910</v>
      </c>
      <c r="B4764" s="80" t="s">
        <v>5129</v>
      </c>
      <c r="C4764" s="82" t="s">
        <v>10202</v>
      </c>
    </row>
    <row r="4765" spans="1:3" s="79" customFormat="1" ht="49.15" customHeight="1" x14ac:dyDescent="0.2">
      <c r="A4765" s="81">
        <v>20043911</v>
      </c>
      <c r="B4765" s="80" t="s">
        <v>5130</v>
      </c>
      <c r="C4765" s="82" t="s">
        <v>10203</v>
      </c>
    </row>
    <row r="4766" spans="1:3" s="79" customFormat="1" ht="38.85" customHeight="1" x14ac:dyDescent="0.2">
      <c r="A4766" s="81">
        <v>20043912</v>
      </c>
      <c r="B4766" s="80" t="s">
        <v>5131</v>
      </c>
      <c r="C4766" s="82" t="s">
        <v>10204</v>
      </c>
    </row>
    <row r="4767" spans="1:3" s="79" customFormat="1" ht="99.2" customHeight="1" x14ac:dyDescent="0.2">
      <c r="A4767" s="81">
        <v>20043913</v>
      </c>
      <c r="B4767" s="80" t="s">
        <v>5134</v>
      </c>
      <c r="C4767" s="82" t="s">
        <v>10205</v>
      </c>
    </row>
    <row r="4768" spans="1:3" s="79" customFormat="1" ht="49.15" customHeight="1" x14ac:dyDescent="0.2">
      <c r="A4768" s="81">
        <v>20043914</v>
      </c>
      <c r="B4768" s="80" t="s">
        <v>5135</v>
      </c>
      <c r="C4768" s="82" t="s">
        <v>10206</v>
      </c>
    </row>
    <row r="4769" spans="1:3" s="79" customFormat="1" ht="28.7" customHeight="1" x14ac:dyDescent="0.2">
      <c r="A4769" s="81">
        <v>20043915</v>
      </c>
      <c r="B4769" s="80" t="s">
        <v>5136</v>
      </c>
      <c r="C4769" s="82" t="s">
        <v>10207</v>
      </c>
    </row>
    <row r="4770" spans="1:3" s="79" customFormat="1" ht="38.85" customHeight="1" x14ac:dyDescent="0.2">
      <c r="A4770" s="81">
        <v>20043916</v>
      </c>
      <c r="B4770" s="80" t="s">
        <v>5137</v>
      </c>
      <c r="C4770" s="82" t="s">
        <v>10208</v>
      </c>
    </row>
    <row r="4771" spans="1:3" s="79" customFormat="1" ht="38.85" customHeight="1" x14ac:dyDescent="0.2">
      <c r="A4771" s="81">
        <v>20043917</v>
      </c>
      <c r="B4771" s="80" t="s">
        <v>5138</v>
      </c>
      <c r="C4771" s="82" t="s">
        <v>10209</v>
      </c>
    </row>
    <row r="4772" spans="1:3" s="79" customFormat="1" ht="59.1" customHeight="1" x14ac:dyDescent="0.2">
      <c r="A4772" s="81">
        <v>20043918</v>
      </c>
      <c r="B4772" s="80" t="s">
        <v>5139</v>
      </c>
      <c r="C4772" s="82" t="s">
        <v>10210</v>
      </c>
    </row>
    <row r="4773" spans="1:3" s="79" customFormat="1" ht="68.849999999999994" customHeight="1" x14ac:dyDescent="0.2">
      <c r="A4773" s="81">
        <v>20043920</v>
      </c>
      <c r="B4773" s="80" t="s">
        <v>5140</v>
      </c>
      <c r="C4773" s="82" t="s">
        <v>10211</v>
      </c>
    </row>
    <row r="4774" spans="1:3" s="79" customFormat="1" ht="28.7" customHeight="1" x14ac:dyDescent="0.2">
      <c r="A4774" s="81">
        <v>20043922</v>
      </c>
      <c r="B4774" s="80" t="s">
        <v>5141</v>
      </c>
      <c r="C4774" s="82" t="s">
        <v>10212</v>
      </c>
    </row>
    <row r="4775" spans="1:3" s="79" customFormat="1" ht="28.7" customHeight="1" x14ac:dyDescent="0.2">
      <c r="A4775" s="81">
        <v>20043923</v>
      </c>
      <c r="B4775" s="80" t="s">
        <v>5142</v>
      </c>
      <c r="C4775" s="82" t="s">
        <v>10213</v>
      </c>
    </row>
    <row r="4776" spans="1:3" s="79" customFormat="1" ht="28.7" customHeight="1" x14ac:dyDescent="0.2">
      <c r="A4776" s="81">
        <v>20043928</v>
      </c>
      <c r="B4776" s="80" t="s">
        <v>5144</v>
      </c>
      <c r="C4776" s="81" t="s">
        <v>10214</v>
      </c>
    </row>
    <row r="4777" spans="1:3" s="79" customFormat="1" ht="28.7" customHeight="1" x14ac:dyDescent="0.2">
      <c r="A4777" s="81">
        <v>20043938</v>
      </c>
      <c r="B4777" s="80" t="s">
        <v>5145</v>
      </c>
      <c r="C4777" s="80" t="s">
        <v>10215</v>
      </c>
    </row>
    <row r="4778" spans="1:3" s="79" customFormat="1" ht="19.149999999999999" customHeight="1" x14ac:dyDescent="0.2">
      <c r="A4778" s="81">
        <v>20043939</v>
      </c>
      <c r="B4778" s="80" t="s">
        <v>5148</v>
      </c>
      <c r="C4778" s="82" t="s">
        <v>10216</v>
      </c>
    </row>
    <row r="4779" spans="1:3" s="79" customFormat="1" ht="19.149999999999999" customHeight="1" x14ac:dyDescent="0.2">
      <c r="A4779" s="81">
        <v>20043940</v>
      </c>
      <c r="B4779" s="80" t="s">
        <v>5153</v>
      </c>
      <c r="C4779" s="81" t="s">
        <v>9472</v>
      </c>
    </row>
    <row r="4780" spans="1:3" s="79" customFormat="1" ht="28.7" customHeight="1" x14ac:dyDescent="0.2">
      <c r="A4780" s="81">
        <v>20043941</v>
      </c>
      <c r="B4780" s="80" t="s">
        <v>5154</v>
      </c>
      <c r="C4780" s="82" t="s">
        <v>10217</v>
      </c>
    </row>
    <row r="4781" spans="1:3" s="79" customFormat="1" ht="49.15" customHeight="1" x14ac:dyDescent="0.2">
      <c r="A4781" s="81">
        <v>20043942</v>
      </c>
      <c r="B4781" s="80" t="s">
        <v>5156</v>
      </c>
      <c r="C4781" s="80" t="s">
        <v>10218</v>
      </c>
    </row>
    <row r="4782" spans="1:3" s="79" customFormat="1" ht="49.15" customHeight="1" x14ac:dyDescent="0.2">
      <c r="A4782" s="81">
        <v>20043944</v>
      </c>
      <c r="B4782" s="80" t="s">
        <v>5157</v>
      </c>
      <c r="C4782" s="81" t="s">
        <v>8235</v>
      </c>
    </row>
    <row r="4783" spans="1:3" s="79" customFormat="1" ht="198.95" customHeight="1" x14ac:dyDescent="0.2">
      <c r="A4783" s="81">
        <v>20043946</v>
      </c>
      <c r="B4783" s="80" t="s">
        <v>5158</v>
      </c>
      <c r="C4783" s="82" t="s">
        <v>10219</v>
      </c>
    </row>
    <row r="4784" spans="1:3" s="79" customFormat="1" ht="19.149999999999999" customHeight="1" x14ac:dyDescent="0.2">
      <c r="A4784" s="81">
        <v>20043947</v>
      </c>
      <c r="B4784" s="80" t="s">
        <v>5159</v>
      </c>
      <c r="C4784" s="82" t="s">
        <v>10220</v>
      </c>
    </row>
    <row r="4785" spans="1:3" s="79" customFormat="1" ht="28.7" customHeight="1" x14ac:dyDescent="0.2">
      <c r="A4785" s="81">
        <v>20043968</v>
      </c>
      <c r="B4785" s="80" t="s">
        <v>5149</v>
      </c>
      <c r="C4785" s="81" t="s">
        <v>10221</v>
      </c>
    </row>
    <row r="4786" spans="1:3" s="79" customFormat="1" ht="118.9" customHeight="1" x14ac:dyDescent="0.2">
      <c r="A4786" s="81">
        <v>20043969</v>
      </c>
      <c r="B4786" s="80" t="s">
        <v>5150</v>
      </c>
      <c r="C4786" s="82" t="s">
        <v>10222</v>
      </c>
    </row>
    <row r="4787" spans="1:3" s="79" customFormat="1" ht="28.7" customHeight="1" x14ac:dyDescent="0.2">
      <c r="A4787" s="81">
        <v>20043970</v>
      </c>
      <c r="B4787" s="80" t="s">
        <v>5151</v>
      </c>
      <c r="C4787" s="80" t="s">
        <v>10223</v>
      </c>
    </row>
    <row r="4788" spans="1:3" s="79" customFormat="1" ht="19.149999999999999" customHeight="1" x14ac:dyDescent="0.2">
      <c r="A4788" s="81">
        <v>20043971</v>
      </c>
      <c r="B4788" s="80" t="s">
        <v>5152</v>
      </c>
      <c r="C4788" s="82" t="s">
        <v>10224</v>
      </c>
    </row>
    <row r="4789" spans="1:3" s="79" customFormat="1" ht="78.95" customHeight="1" x14ac:dyDescent="0.2">
      <c r="A4789" s="81">
        <v>20043973</v>
      </c>
      <c r="B4789" s="80" t="s">
        <v>5155</v>
      </c>
      <c r="C4789" s="81" t="s">
        <v>10225</v>
      </c>
    </row>
    <row r="4790" spans="1:3" s="79" customFormat="1" ht="68.849999999999994" customHeight="1" x14ac:dyDescent="0.2">
      <c r="A4790" s="81">
        <v>20043977</v>
      </c>
      <c r="B4790" s="80" t="s">
        <v>5160</v>
      </c>
      <c r="C4790" s="82" t="s">
        <v>10226</v>
      </c>
    </row>
    <row r="4791" spans="1:3" s="79" customFormat="1" ht="68.849999999999994" customHeight="1" x14ac:dyDescent="0.2">
      <c r="A4791" s="81">
        <v>20043978</v>
      </c>
      <c r="B4791" s="80" t="s">
        <v>5161</v>
      </c>
      <c r="C4791" s="82" t="s">
        <v>10227</v>
      </c>
    </row>
    <row r="4792" spans="1:3" s="79" customFormat="1" ht="89.1" customHeight="1" x14ac:dyDescent="0.2">
      <c r="A4792" s="81">
        <v>20043979</v>
      </c>
      <c r="B4792" s="80" t="s">
        <v>5162</v>
      </c>
      <c r="C4792" s="82" t="s">
        <v>10228</v>
      </c>
    </row>
    <row r="4793" spans="1:3" s="79" customFormat="1" ht="68.849999999999994" customHeight="1" x14ac:dyDescent="0.2">
      <c r="A4793" s="81">
        <v>20043980</v>
      </c>
      <c r="B4793" s="80" t="s">
        <v>5163</v>
      </c>
      <c r="C4793" s="80" t="s">
        <v>10229</v>
      </c>
    </row>
    <row r="4794" spans="1:3" s="79" customFormat="1" ht="19.149999999999999" customHeight="1" x14ac:dyDescent="0.2">
      <c r="A4794" s="81">
        <v>20043981</v>
      </c>
      <c r="B4794" s="80" t="s">
        <v>5164</v>
      </c>
      <c r="C4794" s="82" t="s">
        <v>10230</v>
      </c>
    </row>
    <row r="4795" spans="1:3" s="79" customFormat="1" ht="28.7" customHeight="1" x14ac:dyDescent="0.2">
      <c r="A4795" s="81">
        <v>20043988</v>
      </c>
      <c r="B4795" s="80" t="s">
        <v>5165</v>
      </c>
      <c r="C4795" s="80" t="s">
        <v>10231</v>
      </c>
    </row>
    <row r="4796" spans="1:3" s="79" customFormat="1" ht="78.95" customHeight="1" x14ac:dyDescent="0.2">
      <c r="A4796" s="81">
        <v>20043989</v>
      </c>
      <c r="B4796" s="80" t="s">
        <v>5166</v>
      </c>
      <c r="C4796" s="80"/>
    </row>
    <row r="4797" spans="1:3" s="79" customFormat="1" ht="59.1" customHeight="1" x14ac:dyDescent="0.2">
      <c r="A4797" s="81">
        <v>20044001</v>
      </c>
      <c r="B4797" s="80" t="s">
        <v>5167</v>
      </c>
      <c r="C4797" s="82" t="s">
        <v>10232</v>
      </c>
    </row>
    <row r="4798" spans="1:3" s="79" customFormat="1" ht="38.85" customHeight="1" x14ac:dyDescent="0.2">
      <c r="A4798" s="81">
        <v>20044003</v>
      </c>
      <c r="B4798" s="80" t="s">
        <v>5169</v>
      </c>
      <c r="C4798" s="80" t="s">
        <v>10233</v>
      </c>
    </row>
    <row r="4799" spans="1:3" s="79" customFormat="1" ht="19.149999999999999" customHeight="1" x14ac:dyDescent="0.2">
      <c r="A4799" s="81">
        <v>20044004</v>
      </c>
      <c r="B4799" s="80" t="s">
        <v>5176</v>
      </c>
      <c r="C4799" s="82" t="s">
        <v>10234</v>
      </c>
    </row>
    <row r="4800" spans="1:3" s="79" customFormat="1" ht="19.149999999999999" customHeight="1" x14ac:dyDescent="0.2">
      <c r="A4800" s="81">
        <v>20044005</v>
      </c>
      <c r="B4800" s="80" t="s">
        <v>5177</v>
      </c>
      <c r="C4800" s="82" t="s">
        <v>10235</v>
      </c>
    </row>
    <row r="4801" spans="1:3" s="79" customFormat="1" ht="19.149999999999999" customHeight="1" x14ac:dyDescent="0.2">
      <c r="A4801" s="81">
        <v>20044006</v>
      </c>
      <c r="B4801" s="80" t="s">
        <v>5178</v>
      </c>
      <c r="C4801" s="80" t="s">
        <v>10236</v>
      </c>
    </row>
    <row r="4802" spans="1:3" s="79" customFormat="1" ht="19.149999999999999" customHeight="1" x14ac:dyDescent="0.2">
      <c r="A4802" s="81">
        <v>20044007</v>
      </c>
      <c r="B4802" s="80" t="s">
        <v>5179</v>
      </c>
      <c r="C4802" s="82" t="s">
        <v>10237</v>
      </c>
    </row>
    <row r="4803" spans="1:3" s="79" customFormat="1" ht="19.149999999999999" customHeight="1" x14ac:dyDescent="0.2">
      <c r="A4803" s="81">
        <v>20044008</v>
      </c>
      <c r="B4803" s="80" t="s">
        <v>5168</v>
      </c>
      <c r="C4803" s="82" t="s">
        <v>10238</v>
      </c>
    </row>
    <row r="4804" spans="1:3" s="79" customFormat="1" ht="28.7" customHeight="1" x14ac:dyDescent="0.2">
      <c r="A4804" s="81">
        <v>20044018</v>
      </c>
      <c r="B4804" s="80" t="s">
        <v>5170</v>
      </c>
      <c r="C4804" s="82" t="s">
        <v>10239</v>
      </c>
    </row>
    <row r="4805" spans="1:3" s="79" customFormat="1" ht="19.149999999999999" customHeight="1" x14ac:dyDescent="0.2">
      <c r="A4805" s="81">
        <v>20044019</v>
      </c>
      <c r="B4805" s="80" t="s">
        <v>5171</v>
      </c>
      <c r="C4805" s="82" t="s">
        <v>10240</v>
      </c>
    </row>
    <row r="4806" spans="1:3" s="79" customFormat="1" ht="38.85" customHeight="1" x14ac:dyDescent="0.2">
      <c r="A4806" s="81">
        <v>20044020</v>
      </c>
      <c r="B4806" s="80" t="s">
        <v>5172</v>
      </c>
      <c r="C4806" s="82" t="s">
        <v>10241</v>
      </c>
    </row>
    <row r="4807" spans="1:3" s="79" customFormat="1" ht="38.85" customHeight="1" x14ac:dyDescent="0.2">
      <c r="A4807" s="81">
        <v>20044021</v>
      </c>
      <c r="B4807" s="80" t="s">
        <v>5173</v>
      </c>
      <c r="C4807" s="82" t="s">
        <v>10242</v>
      </c>
    </row>
    <row r="4808" spans="1:3" s="79" customFormat="1" ht="19.149999999999999" customHeight="1" x14ac:dyDescent="0.2">
      <c r="A4808" s="81">
        <v>20044022</v>
      </c>
      <c r="B4808" s="80" t="s">
        <v>5174</v>
      </c>
      <c r="C4808" s="82" t="s">
        <v>10243</v>
      </c>
    </row>
    <row r="4809" spans="1:3" s="79" customFormat="1" ht="38.85" customHeight="1" x14ac:dyDescent="0.2">
      <c r="A4809" s="81">
        <v>20044023</v>
      </c>
      <c r="B4809" s="80" t="s">
        <v>5175</v>
      </c>
      <c r="C4809" s="82" t="s">
        <v>10244</v>
      </c>
    </row>
    <row r="4810" spans="1:3" s="79" customFormat="1" ht="78.95" customHeight="1" x14ac:dyDescent="0.2">
      <c r="A4810" s="81">
        <v>20044024</v>
      </c>
      <c r="B4810" s="80" t="s">
        <v>5193</v>
      </c>
      <c r="C4810" s="82" t="s">
        <v>10245</v>
      </c>
    </row>
    <row r="4811" spans="1:3" s="79" customFormat="1" ht="28.7" customHeight="1" x14ac:dyDescent="0.2">
      <c r="A4811" s="81">
        <v>20044025</v>
      </c>
      <c r="B4811" s="80" t="s">
        <v>5206</v>
      </c>
      <c r="C4811" s="82" t="s">
        <v>10246</v>
      </c>
    </row>
    <row r="4812" spans="1:3" s="79" customFormat="1" ht="28.7" customHeight="1" x14ac:dyDescent="0.2">
      <c r="A4812" s="81">
        <v>20044026</v>
      </c>
      <c r="B4812" s="80" t="s">
        <v>5207</v>
      </c>
      <c r="C4812" s="82" t="s">
        <v>10247</v>
      </c>
    </row>
    <row r="4813" spans="1:3" s="79" customFormat="1" ht="28.7" customHeight="1" x14ac:dyDescent="0.2">
      <c r="A4813" s="81">
        <v>20044027</v>
      </c>
      <c r="B4813" s="80" t="s">
        <v>5208</v>
      </c>
      <c r="C4813" s="82" t="s">
        <v>10248</v>
      </c>
    </row>
    <row r="4814" spans="1:3" s="79" customFormat="1" ht="28.7" customHeight="1" x14ac:dyDescent="0.2">
      <c r="A4814" s="81">
        <v>20044028</v>
      </c>
      <c r="B4814" s="80" t="s">
        <v>5180</v>
      </c>
      <c r="C4814" s="82" t="s">
        <v>10249</v>
      </c>
    </row>
    <row r="4815" spans="1:3" s="79" customFormat="1" ht="28.7" customHeight="1" x14ac:dyDescent="0.2">
      <c r="A4815" s="81">
        <v>20044029</v>
      </c>
      <c r="B4815" s="80" t="s">
        <v>5181</v>
      </c>
      <c r="C4815" s="82" t="s">
        <v>10250</v>
      </c>
    </row>
    <row r="4816" spans="1:3" s="79" customFormat="1" ht="28.7" customHeight="1" x14ac:dyDescent="0.2">
      <c r="A4816" s="81">
        <v>20044030</v>
      </c>
      <c r="B4816" s="80" t="s">
        <v>5182</v>
      </c>
      <c r="C4816" s="82" t="s">
        <v>10251</v>
      </c>
    </row>
    <row r="4817" spans="1:3" s="79" customFormat="1" ht="38.85" customHeight="1" x14ac:dyDescent="0.2">
      <c r="A4817" s="81">
        <v>20044031</v>
      </c>
      <c r="B4817" s="80" t="s">
        <v>5183</v>
      </c>
      <c r="C4817" s="82" t="s">
        <v>10252</v>
      </c>
    </row>
    <row r="4818" spans="1:3" s="79" customFormat="1" ht="38.85" customHeight="1" x14ac:dyDescent="0.2">
      <c r="A4818" s="81">
        <v>20044032</v>
      </c>
      <c r="B4818" s="80" t="s">
        <v>5184</v>
      </c>
      <c r="C4818" s="82" t="s">
        <v>10253</v>
      </c>
    </row>
    <row r="4819" spans="1:3" s="79" customFormat="1" ht="38.85" customHeight="1" x14ac:dyDescent="0.2">
      <c r="A4819" s="81">
        <v>20044033</v>
      </c>
      <c r="B4819" s="80" t="s">
        <v>5185</v>
      </c>
      <c r="C4819" s="82" t="s">
        <v>10254</v>
      </c>
    </row>
    <row r="4820" spans="1:3" s="79" customFormat="1" ht="19.149999999999999" customHeight="1" x14ac:dyDescent="0.2">
      <c r="A4820" s="81">
        <v>20044034</v>
      </c>
      <c r="B4820" s="80" t="s">
        <v>5186</v>
      </c>
      <c r="C4820" s="82" t="s">
        <v>10255</v>
      </c>
    </row>
    <row r="4821" spans="1:3" s="79" customFormat="1" ht="38.85" customHeight="1" x14ac:dyDescent="0.2">
      <c r="A4821" s="81">
        <v>20044035</v>
      </c>
      <c r="B4821" s="80" t="s">
        <v>5187</v>
      </c>
      <c r="C4821" s="82" t="s">
        <v>10256</v>
      </c>
    </row>
    <row r="4822" spans="1:3" s="79" customFormat="1" ht="28.7" customHeight="1" x14ac:dyDescent="0.2">
      <c r="A4822" s="81">
        <v>20044036</v>
      </c>
      <c r="B4822" s="80" t="s">
        <v>5188</v>
      </c>
      <c r="C4822" s="82" t="s">
        <v>10257</v>
      </c>
    </row>
    <row r="4823" spans="1:3" s="79" customFormat="1" ht="28.7" customHeight="1" x14ac:dyDescent="0.2">
      <c r="A4823" s="81">
        <v>20044037</v>
      </c>
      <c r="B4823" s="80" t="s">
        <v>5189</v>
      </c>
      <c r="C4823" s="82" t="s">
        <v>10258</v>
      </c>
    </row>
    <row r="4824" spans="1:3" s="79" customFormat="1" ht="28.7" customHeight="1" x14ac:dyDescent="0.2">
      <c r="A4824" s="81">
        <v>20044038</v>
      </c>
      <c r="B4824" s="80" t="s">
        <v>5190</v>
      </c>
      <c r="C4824" s="82" t="s">
        <v>10259</v>
      </c>
    </row>
    <row r="4825" spans="1:3" s="79" customFormat="1" ht="28.7" customHeight="1" x14ac:dyDescent="0.2">
      <c r="A4825" s="81">
        <v>20044039</v>
      </c>
      <c r="B4825" s="80" t="s">
        <v>5191</v>
      </c>
      <c r="C4825" s="82" t="s">
        <v>10260</v>
      </c>
    </row>
    <row r="4826" spans="1:3" s="79" customFormat="1" ht="28.7" customHeight="1" x14ac:dyDescent="0.2">
      <c r="A4826" s="81">
        <v>20044040</v>
      </c>
      <c r="B4826" s="80" t="s">
        <v>5192</v>
      </c>
      <c r="C4826" s="82" t="s">
        <v>10261</v>
      </c>
    </row>
    <row r="4827" spans="1:3" s="79" customFormat="1" ht="28.7" customHeight="1" x14ac:dyDescent="0.2">
      <c r="A4827" s="81">
        <v>20044041</v>
      </c>
      <c r="B4827" s="80" t="s">
        <v>5194</v>
      </c>
      <c r="C4827" s="82" t="s">
        <v>10262</v>
      </c>
    </row>
    <row r="4828" spans="1:3" s="79" customFormat="1" ht="28.7" customHeight="1" x14ac:dyDescent="0.2">
      <c r="A4828" s="81">
        <v>20044042</v>
      </c>
      <c r="B4828" s="80" t="s">
        <v>5195</v>
      </c>
      <c r="C4828" s="82" t="s">
        <v>10263</v>
      </c>
    </row>
    <row r="4829" spans="1:3" s="79" customFormat="1" ht="28.7" customHeight="1" x14ac:dyDescent="0.2">
      <c r="A4829" s="81">
        <v>20044043</v>
      </c>
      <c r="B4829" s="80" t="s">
        <v>5196</v>
      </c>
      <c r="C4829" s="82" t="s">
        <v>10264</v>
      </c>
    </row>
    <row r="4830" spans="1:3" s="79" customFormat="1" ht="28.7" customHeight="1" x14ac:dyDescent="0.2">
      <c r="A4830" s="81">
        <v>20044044</v>
      </c>
      <c r="B4830" s="80" t="s">
        <v>5197</v>
      </c>
      <c r="C4830" s="82" t="s">
        <v>10265</v>
      </c>
    </row>
    <row r="4831" spans="1:3" s="79" customFormat="1" ht="28.7" customHeight="1" x14ac:dyDescent="0.2">
      <c r="A4831" s="81">
        <v>20044045</v>
      </c>
      <c r="B4831" s="80" t="s">
        <v>5198</v>
      </c>
      <c r="C4831" s="82" t="s">
        <v>10266</v>
      </c>
    </row>
    <row r="4832" spans="1:3" s="79" customFormat="1" ht="28.7" customHeight="1" x14ac:dyDescent="0.2">
      <c r="A4832" s="81">
        <v>20044046</v>
      </c>
      <c r="B4832" s="80" t="s">
        <v>5199</v>
      </c>
      <c r="C4832" s="82" t="s">
        <v>10267</v>
      </c>
    </row>
    <row r="4833" spans="1:3" s="79" customFormat="1" ht="28.7" customHeight="1" x14ac:dyDescent="0.2">
      <c r="A4833" s="81">
        <v>20044047</v>
      </c>
      <c r="B4833" s="80" t="s">
        <v>5200</v>
      </c>
      <c r="C4833" s="82" t="s">
        <v>10268</v>
      </c>
    </row>
    <row r="4834" spans="1:3" s="79" customFormat="1" ht="28.7" customHeight="1" x14ac:dyDescent="0.2">
      <c r="A4834" s="81">
        <v>20044048</v>
      </c>
      <c r="B4834" s="80" t="s">
        <v>5201</v>
      </c>
      <c r="C4834" s="82" t="s">
        <v>10269</v>
      </c>
    </row>
    <row r="4835" spans="1:3" s="79" customFormat="1" ht="28.7" customHeight="1" x14ac:dyDescent="0.2">
      <c r="A4835" s="81">
        <v>20044049</v>
      </c>
      <c r="B4835" s="80" t="s">
        <v>5202</v>
      </c>
      <c r="C4835" s="82" t="s">
        <v>10270</v>
      </c>
    </row>
    <row r="4836" spans="1:3" s="79" customFormat="1" ht="28.7" customHeight="1" x14ac:dyDescent="0.2">
      <c r="A4836" s="81">
        <v>20044050</v>
      </c>
      <c r="B4836" s="80" t="s">
        <v>5203</v>
      </c>
      <c r="C4836" s="82" t="s">
        <v>10271</v>
      </c>
    </row>
    <row r="4837" spans="1:3" s="79" customFormat="1" ht="28.7" customHeight="1" x14ac:dyDescent="0.2">
      <c r="A4837" s="81">
        <v>20044051</v>
      </c>
      <c r="B4837" s="80" t="s">
        <v>5204</v>
      </c>
      <c r="C4837" s="82" t="s">
        <v>10272</v>
      </c>
    </row>
    <row r="4838" spans="1:3" s="79" customFormat="1" ht="28.7" customHeight="1" x14ac:dyDescent="0.2">
      <c r="A4838" s="81">
        <v>20044052</v>
      </c>
      <c r="B4838" s="80" t="s">
        <v>5205</v>
      </c>
      <c r="C4838" s="82" t="s">
        <v>10273</v>
      </c>
    </row>
    <row r="4839" spans="1:3" s="79" customFormat="1" ht="28.7" customHeight="1" x14ac:dyDescent="0.2">
      <c r="A4839" s="81">
        <v>20044054</v>
      </c>
      <c r="B4839" s="80" t="s">
        <v>5210</v>
      </c>
      <c r="C4839" s="82" t="s">
        <v>10274</v>
      </c>
    </row>
    <row r="4840" spans="1:3" s="79" customFormat="1" ht="28.7" customHeight="1" x14ac:dyDescent="0.2">
      <c r="A4840" s="81">
        <v>20044055</v>
      </c>
      <c r="B4840" s="80" t="s">
        <v>5211</v>
      </c>
      <c r="C4840" s="82" t="s">
        <v>10275</v>
      </c>
    </row>
    <row r="4841" spans="1:3" s="79" customFormat="1" ht="28.7" customHeight="1" x14ac:dyDescent="0.2">
      <c r="A4841" s="81">
        <v>20044056</v>
      </c>
      <c r="B4841" s="80" t="s">
        <v>5212</v>
      </c>
      <c r="C4841" s="82" t="s">
        <v>10276</v>
      </c>
    </row>
    <row r="4842" spans="1:3" s="79" customFormat="1" ht="28.7" customHeight="1" x14ac:dyDescent="0.2">
      <c r="A4842" s="81">
        <v>20044057</v>
      </c>
      <c r="B4842" s="80" t="s">
        <v>5213</v>
      </c>
      <c r="C4842" s="82" t="s">
        <v>10277</v>
      </c>
    </row>
    <row r="4843" spans="1:3" s="79" customFormat="1" ht="28.7" customHeight="1" x14ac:dyDescent="0.2">
      <c r="A4843" s="81">
        <v>20044058</v>
      </c>
      <c r="B4843" s="80" t="s">
        <v>5209</v>
      </c>
      <c r="C4843" s="82" t="s">
        <v>10278</v>
      </c>
    </row>
    <row r="4844" spans="1:3" s="79" customFormat="1" ht="28.7" customHeight="1" x14ac:dyDescent="0.2">
      <c r="A4844" s="81">
        <v>20044059</v>
      </c>
      <c r="B4844" s="80" t="s">
        <v>5224</v>
      </c>
      <c r="C4844" s="82" t="s">
        <v>10279</v>
      </c>
    </row>
    <row r="4845" spans="1:3" s="79" customFormat="1" ht="28.7" customHeight="1" x14ac:dyDescent="0.2">
      <c r="A4845" s="81">
        <v>20044068</v>
      </c>
      <c r="B4845" s="80" t="s">
        <v>5214</v>
      </c>
      <c r="C4845" s="82" t="s">
        <v>10280</v>
      </c>
    </row>
    <row r="4846" spans="1:3" s="79" customFormat="1" ht="28.7" customHeight="1" x14ac:dyDescent="0.2">
      <c r="A4846" s="81">
        <v>20044069</v>
      </c>
      <c r="B4846" s="80" t="s">
        <v>5215</v>
      </c>
      <c r="C4846" s="82" t="s">
        <v>10281</v>
      </c>
    </row>
    <row r="4847" spans="1:3" s="79" customFormat="1" ht="28.7" customHeight="1" x14ac:dyDescent="0.2">
      <c r="A4847" s="81">
        <v>20044070</v>
      </c>
      <c r="B4847" s="80" t="s">
        <v>5216</v>
      </c>
      <c r="C4847" s="82" t="s">
        <v>10282</v>
      </c>
    </row>
    <row r="4848" spans="1:3" s="79" customFormat="1" ht="28.7" customHeight="1" x14ac:dyDescent="0.2">
      <c r="A4848" s="81">
        <v>20044071</v>
      </c>
      <c r="B4848" s="80" t="s">
        <v>5217</v>
      </c>
      <c r="C4848" s="82" t="s">
        <v>10283</v>
      </c>
    </row>
    <row r="4849" spans="1:3" s="79" customFormat="1" ht="28.7" customHeight="1" x14ac:dyDescent="0.2">
      <c r="A4849" s="81">
        <v>20044072</v>
      </c>
      <c r="B4849" s="80" t="s">
        <v>5218</v>
      </c>
      <c r="C4849" s="82" t="s">
        <v>10284</v>
      </c>
    </row>
    <row r="4850" spans="1:3" s="79" customFormat="1" ht="28.7" customHeight="1" x14ac:dyDescent="0.2">
      <c r="A4850" s="81">
        <v>20044073</v>
      </c>
      <c r="B4850" s="80" t="s">
        <v>5219</v>
      </c>
      <c r="C4850" s="82" t="s">
        <v>10285</v>
      </c>
    </row>
    <row r="4851" spans="1:3" s="79" customFormat="1" ht="19.149999999999999" customHeight="1" x14ac:dyDescent="0.2">
      <c r="A4851" s="81">
        <v>20044074</v>
      </c>
      <c r="B4851" s="80" t="s">
        <v>5220</v>
      </c>
      <c r="C4851" s="82" t="s">
        <v>10286</v>
      </c>
    </row>
    <row r="4852" spans="1:3" s="79" customFormat="1" ht="28.7" customHeight="1" x14ac:dyDescent="0.2">
      <c r="A4852" s="81">
        <v>20044075</v>
      </c>
      <c r="B4852" s="80" t="s">
        <v>5221</v>
      </c>
      <c r="C4852" s="82" t="s">
        <v>10287</v>
      </c>
    </row>
    <row r="4853" spans="1:3" s="79" customFormat="1" ht="28.7" customHeight="1" x14ac:dyDescent="0.2">
      <c r="A4853" s="81">
        <v>20044077</v>
      </c>
      <c r="B4853" s="80" t="s">
        <v>5222</v>
      </c>
      <c r="C4853" s="82" t="s">
        <v>10288</v>
      </c>
    </row>
    <row r="4854" spans="1:3" s="79" customFormat="1" ht="28.7" customHeight="1" x14ac:dyDescent="0.2">
      <c r="A4854" s="81">
        <v>20044078</v>
      </c>
      <c r="B4854" s="80" t="s">
        <v>5223</v>
      </c>
      <c r="C4854" s="82" t="s">
        <v>10289</v>
      </c>
    </row>
    <row r="4855" spans="1:3" s="79" customFormat="1" ht="28.7" customHeight="1" x14ac:dyDescent="0.2">
      <c r="A4855" s="81">
        <v>20044079</v>
      </c>
      <c r="B4855" s="80" t="s">
        <v>5226</v>
      </c>
      <c r="C4855" s="81" t="s">
        <v>10290</v>
      </c>
    </row>
    <row r="4856" spans="1:3" s="79" customFormat="1" ht="28.7" customHeight="1" x14ac:dyDescent="0.2">
      <c r="A4856" s="81">
        <v>20044080</v>
      </c>
      <c r="B4856" s="80" t="s">
        <v>5227</v>
      </c>
      <c r="C4856" s="81" t="s">
        <v>10291</v>
      </c>
    </row>
    <row r="4857" spans="1:3" s="79" customFormat="1" ht="28.7" customHeight="1" x14ac:dyDescent="0.2">
      <c r="A4857" s="81">
        <v>20044088</v>
      </c>
      <c r="B4857" s="80" t="s">
        <v>5225</v>
      </c>
      <c r="C4857" s="82" t="s">
        <v>10292</v>
      </c>
    </row>
    <row r="4858" spans="1:3" s="79" customFormat="1" ht="28.7" customHeight="1" x14ac:dyDescent="0.2">
      <c r="A4858" s="81">
        <v>20044098</v>
      </c>
      <c r="B4858" s="80" t="s">
        <v>5228</v>
      </c>
      <c r="C4858" s="80" t="s">
        <v>10293</v>
      </c>
    </row>
    <row r="4859" spans="1:3" s="79" customFormat="1" ht="59.1" customHeight="1" x14ac:dyDescent="0.2">
      <c r="A4859" s="81">
        <v>20044108</v>
      </c>
      <c r="B4859" s="80" t="s">
        <v>5229</v>
      </c>
      <c r="C4859" s="82" t="s">
        <v>10294</v>
      </c>
    </row>
    <row r="4860" spans="1:3" s="79" customFormat="1" ht="78.95" customHeight="1" x14ac:dyDescent="0.2">
      <c r="A4860" s="81">
        <v>20044109</v>
      </c>
      <c r="B4860" s="80" t="s">
        <v>5233</v>
      </c>
      <c r="C4860" s="80" t="s">
        <v>10295</v>
      </c>
    </row>
    <row r="4861" spans="1:3" s="79" customFormat="1" ht="59.1" customHeight="1" x14ac:dyDescent="0.2">
      <c r="A4861" s="81">
        <v>20044110</v>
      </c>
      <c r="B4861" s="80" t="s">
        <v>5234</v>
      </c>
      <c r="C4861" s="80" t="s">
        <v>10296</v>
      </c>
    </row>
    <row r="4862" spans="1:3" s="79" customFormat="1" ht="158.85" customHeight="1" x14ac:dyDescent="0.2">
      <c r="A4862" s="81">
        <v>20044111</v>
      </c>
      <c r="B4862" s="80" t="s">
        <v>5235</v>
      </c>
      <c r="C4862" s="82" t="s">
        <v>10297</v>
      </c>
    </row>
    <row r="4863" spans="1:3" s="79" customFormat="1" ht="158.85" customHeight="1" x14ac:dyDescent="0.2">
      <c r="A4863" s="81">
        <v>20044112</v>
      </c>
      <c r="B4863" s="80" t="s">
        <v>5236</v>
      </c>
      <c r="C4863" s="82" t="s">
        <v>10298</v>
      </c>
    </row>
    <row r="4864" spans="1:3" s="79" customFormat="1" ht="59.1" customHeight="1" x14ac:dyDescent="0.2">
      <c r="A4864" s="81">
        <v>20044113</v>
      </c>
      <c r="B4864" s="80" t="s">
        <v>5237</v>
      </c>
      <c r="C4864" s="82" t="s">
        <v>10299</v>
      </c>
    </row>
    <row r="4865" spans="1:3" s="79" customFormat="1" ht="19.149999999999999" customHeight="1" x14ac:dyDescent="0.2">
      <c r="A4865" s="81">
        <v>20044114</v>
      </c>
      <c r="B4865" s="80" t="s">
        <v>5239</v>
      </c>
      <c r="C4865" s="82" t="s">
        <v>10300</v>
      </c>
    </row>
    <row r="4866" spans="1:3" s="79" customFormat="1" ht="28.7" customHeight="1" x14ac:dyDescent="0.2">
      <c r="A4866" s="81">
        <v>20044117</v>
      </c>
      <c r="B4866" s="80" t="s">
        <v>5241</v>
      </c>
      <c r="C4866" s="81" t="s">
        <v>10301</v>
      </c>
    </row>
    <row r="4867" spans="1:3" s="79" customFormat="1" ht="19.149999999999999" customHeight="1" x14ac:dyDescent="0.2">
      <c r="A4867" s="81">
        <v>20044118</v>
      </c>
      <c r="B4867" s="80" t="s">
        <v>5230</v>
      </c>
      <c r="C4867" s="82" t="s">
        <v>10302</v>
      </c>
    </row>
    <row r="4868" spans="1:3" s="79" customFormat="1" ht="19.149999999999999" customHeight="1" x14ac:dyDescent="0.2">
      <c r="A4868" s="81">
        <v>20044119</v>
      </c>
      <c r="B4868" s="80" t="s">
        <v>5231</v>
      </c>
      <c r="C4868" s="81" t="s">
        <v>10303</v>
      </c>
    </row>
    <row r="4869" spans="1:3" s="79" customFormat="1" ht="28.7" customHeight="1" x14ac:dyDescent="0.2">
      <c r="A4869" s="81">
        <v>20044120</v>
      </c>
      <c r="B4869" s="80" t="s">
        <v>5232</v>
      </c>
      <c r="C4869" s="81" t="s">
        <v>10304</v>
      </c>
    </row>
    <row r="4870" spans="1:3" s="79" customFormat="1" ht="89.1" customHeight="1" x14ac:dyDescent="0.2">
      <c r="A4870" s="81">
        <v>20044122</v>
      </c>
      <c r="B4870" s="80" t="s">
        <v>5238</v>
      </c>
      <c r="C4870" s="81" t="s">
        <v>10305</v>
      </c>
    </row>
    <row r="4871" spans="1:3" s="79" customFormat="1" ht="78.95" customHeight="1" x14ac:dyDescent="0.2">
      <c r="A4871" s="81">
        <v>20044124</v>
      </c>
      <c r="B4871" s="80" t="s">
        <v>5242</v>
      </c>
      <c r="C4871" s="82" t="s">
        <v>10306</v>
      </c>
    </row>
    <row r="4872" spans="1:3" s="79" customFormat="1" ht="38.85" customHeight="1" x14ac:dyDescent="0.2">
      <c r="A4872" s="81">
        <v>20044125</v>
      </c>
      <c r="B4872" s="80" t="s">
        <v>5243</v>
      </c>
      <c r="C4872" s="81" t="s">
        <v>10307</v>
      </c>
    </row>
    <row r="4873" spans="1:3" s="79" customFormat="1" ht="129" customHeight="1" x14ac:dyDescent="0.2">
      <c r="A4873" s="81">
        <v>20044130</v>
      </c>
      <c r="B4873" s="80" t="s">
        <v>11393</v>
      </c>
      <c r="C4873" s="81" t="s">
        <v>10308</v>
      </c>
    </row>
    <row r="4874" spans="1:3" s="79" customFormat="1" ht="38.85" customHeight="1" x14ac:dyDescent="0.2">
      <c r="A4874" s="81">
        <v>20044131</v>
      </c>
      <c r="B4874" s="80" t="s">
        <v>11394</v>
      </c>
      <c r="C4874" s="81" t="s">
        <v>10309</v>
      </c>
    </row>
    <row r="4875" spans="1:3" s="79" customFormat="1" ht="179.1" customHeight="1" x14ac:dyDescent="0.2">
      <c r="A4875" s="81">
        <v>20044132</v>
      </c>
      <c r="B4875" s="80" t="s">
        <v>11395</v>
      </c>
      <c r="C4875" s="81" t="s">
        <v>10310</v>
      </c>
    </row>
    <row r="4876" spans="1:3" s="79" customFormat="1" ht="179.1" customHeight="1" x14ac:dyDescent="0.2">
      <c r="A4876" s="81">
        <v>20044134</v>
      </c>
      <c r="B4876" s="80" t="s">
        <v>5240</v>
      </c>
      <c r="C4876" s="81" t="s">
        <v>10311</v>
      </c>
    </row>
    <row r="4877" spans="1:3" s="79" customFormat="1" ht="118.9" customHeight="1" x14ac:dyDescent="0.2">
      <c r="A4877" s="81">
        <v>20044150</v>
      </c>
      <c r="B4877" s="80" t="s">
        <v>11688</v>
      </c>
      <c r="C4877" s="81" t="s">
        <v>10312</v>
      </c>
    </row>
    <row r="4878" spans="1:3" s="79" customFormat="1" ht="49.15" customHeight="1" x14ac:dyDescent="0.2">
      <c r="A4878" s="81">
        <v>20044152</v>
      </c>
      <c r="B4878" s="80" t="s">
        <v>11689</v>
      </c>
      <c r="C4878" s="81" t="s">
        <v>10313</v>
      </c>
    </row>
    <row r="4879" spans="1:3" s="79" customFormat="1" ht="78.95" customHeight="1" x14ac:dyDescent="0.2">
      <c r="A4879" s="81">
        <v>20044163</v>
      </c>
      <c r="B4879" s="80" t="s">
        <v>5244</v>
      </c>
      <c r="C4879" s="82" t="s">
        <v>10314</v>
      </c>
    </row>
    <row r="4880" spans="1:3" s="79" customFormat="1" ht="149.25" customHeight="1" x14ac:dyDescent="0.2">
      <c r="A4880" s="81">
        <v>20044164</v>
      </c>
      <c r="B4880" s="80" t="s">
        <v>5245</v>
      </c>
      <c r="C4880" s="80" t="s">
        <v>10315</v>
      </c>
    </row>
    <row r="4881" spans="1:3" s="79" customFormat="1" ht="149.25" customHeight="1" x14ac:dyDescent="0.2">
      <c r="A4881" s="81">
        <v>20044167</v>
      </c>
      <c r="B4881" s="80" t="s">
        <v>11690</v>
      </c>
      <c r="C4881" s="81" t="s">
        <v>10316</v>
      </c>
    </row>
    <row r="4882" spans="1:3" s="79" customFormat="1" ht="149.25" customHeight="1" x14ac:dyDescent="0.2">
      <c r="A4882" s="81">
        <v>20044168</v>
      </c>
      <c r="B4882" s="80" t="s">
        <v>5246</v>
      </c>
      <c r="C4882" s="81" t="s">
        <v>10317</v>
      </c>
    </row>
    <row r="4883" spans="1:3" s="79" customFormat="1" ht="149.25" customHeight="1" x14ac:dyDescent="0.2">
      <c r="A4883" s="81">
        <v>20044189</v>
      </c>
      <c r="B4883" s="80" t="s">
        <v>5247</v>
      </c>
      <c r="C4883" s="82" t="s">
        <v>10318</v>
      </c>
    </row>
    <row r="4884" spans="1:3" s="79" customFormat="1" ht="149.25" customHeight="1" x14ac:dyDescent="0.2">
      <c r="A4884" s="81">
        <v>20044198</v>
      </c>
      <c r="B4884" s="80" t="s">
        <v>5248</v>
      </c>
      <c r="C4884" s="82" t="s">
        <v>10319</v>
      </c>
    </row>
    <row r="4885" spans="1:3" s="79" customFormat="1" ht="149.25" customHeight="1" x14ac:dyDescent="0.2">
      <c r="A4885" s="81">
        <v>20044208</v>
      </c>
      <c r="B4885" s="80" t="s">
        <v>5249</v>
      </c>
      <c r="C4885" s="80" t="s">
        <v>11550</v>
      </c>
    </row>
    <row r="4886" spans="1:3" s="79" customFormat="1" ht="149.25" customHeight="1" x14ac:dyDescent="0.2">
      <c r="A4886" s="81">
        <v>20044211</v>
      </c>
      <c r="B4886" s="80" t="s">
        <v>5250</v>
      </c>
      <c r="C4886" s="81" t="s">
        <v>10320</v>
      </c>
    </row>
    <row r="4887" spans="1:3" s="79" customFormat="1" ht="68.849999999999994" customHeight="1" x14ac:dyDescent="0.2">
      <c r="A4887" s="81">
        <v>20044217</v>
      </c>
      <c r="B4887" s="80" t="s">
        <v>5315</v>
      </c>
      <c r="C4887" s="82" t="s">
        <v>10321</v>
      </c>
    </row>
    <row r="4888" spans="1:3" s="79" customFormat="1" ht="19.149999999999999" customHeight="1" x14ac:dyDescent="0.2">
      <c r="A4888" s="81">
        <v>20044218</v>
      </c>
      <c r="B4888" s="80" t="s">
        <v>5251</v>
      </c>
      <c r="C4888" s="80" t="s">
        <v>10322</v>
      </c>
    </row>
    <row r="4889" spans="1:3" s="79" customFormat="1" ht="78.95" customHeight="1" x14ac:dyDescent="0.2">
      <c r="A4889" s="81">
        <v>20044219</v>
      </c>
      <c r="B4889" s="80" t="s">
        <v>5252</v>
      </c>
      <c r="C4889" s="81" t="s">
        <v>10323</v>
      </c>
    </row>
    <row r="4890" spans="1:3" s="79" customFormat="1" ht="209.1" customHeight="1" x14ac:dyDescent="0.2">
      <c r="A4890" s="81">
        <v>20044220</v>
      </c>
      <c r="B4890" s="80" t="s">
        <v>5253</v>
      </c>
      <c r="C4890" s="81" t="s">
        <v>10324</v>
      </c>
    </row>
    <row r="4891" spans="1:3" s="79" customFormat="1" ht="68.849999999999994" customHeight="1" x14ac:dyDescent="0.2">
      <c r="A4891" s="81">
        <v>20044221</v>
      </c>
      <c r="B4891" s="80" t="s">
        <v>5254</v>
      </c>
      <c r="C4891" s="81" t="s">
        <v>10325</v>
      </c>
    </row>
    <row r="4892" spans="1:3" s="79" customFormat="1" ht="49.15" customHeight="1" x14ac:dyDescent="0.2">
      <c r="A4892" s="81">
        <v>20044222</v>
      </c>
      <c r="B4892" s="80" t="s">
        <v>5255</v>
      </c>
      <c r="C4892" s="82" t="s">
        <v>10326</v>
      </c>
    </row>
    <row r="4893" spans="1:3" s="79" customFormat="1" ht="19.149999999999999" customHeight="1" x14ac:dyDescent="0.2">
      <c r="A4893" s="81">
        <v>20044223</v>
      </c>
      <c r="B4893" s="80" t="s">
        <v>5256</v>
      </c>
      <c r="C4893" s="82" t="s">
        <v>10327</v>
      </c>
    </row>
    <row r="4894" spans="1:3" s="79" customFormat="1" ht="99.2" customHeight="1" x14ac:dyDescent="0.2">
      <c r="A4894" s="81">
        <v>20044225</v>
      </c>
      <c r="B4894" s="80" t="s">
        <v>5257</v>
      </c>
      <c r="C4894" s="82" t="s">
        <v>10328</v>
      </c>
    </row>
    <row r="4895" spans="1:3" s="79" customFormat="1" ht="28.7" customHeight="1" x14ac:dyDescent="0.2">
      <c r="A4895" s="81">
        <v>20044226</v>
      </c>
      <c r="B4895" s="80" t="s">
        <v>5258</v>
      </c>
      <c r="C4895" s="82" t="s">
        <v>10329</v>
      </c>
    </row>
    <row r="4896" spans="1:3" s="79" customFormat="1" ht="19.149999999999999" customHeight="1" x14ac:dyDescent="0.2">
      <c r="A4896" s="81">
        <v>20044227</v>
      </c>
      <c r="B4896" s="80" t="s">
        <v>5259</v>
      </c>
      <c r="C4896" s="81" t="s">
        <v>10330</v>
      </c>
    </row>
    <row r="4897" spans="1:3" s="79" customFormat="1" ht="99.2" customHeight="1" x14ac:dyDescent="0.2">
      <c r="A4897" s="81">
        <v>20044228</v>
      </c>
      <c r="B4897" s="80" t="s">
        <v>5260</v>
      </c>
      <c r="C4897" s="81" t="s">
        <v>10331</v>
      </c>
    </row>
    <row r="4898" spans="1:3" s="79" customFormat="1" ht="109.35" customHeight="1" x14ac:dyDescent="0.2">
      <c r="A4898" s="81">
        <v>20044229</v>
      </c>
      <c r="B4898" s="80" t="s">
        <v>5261</v>
      </c>
      <c r="C4898" s="81" t="s">
        <v>10332</v>
      </c>
    </row>
    <row r="4899" spans="1:3" s="79" customFormat="1" ht="68.849999999999994" customHeight="1" x14ac:dyDescent="0.2">
      <c r="A4899" s="81">
        <v>20044230</v>
      </c>
      <c r="B4899" s="80" t="s">
        <v>5262</v>
      </c>
      <c r="C4899" s="82" t="s">
        <v>10333</v>
      </c>
    </row>
    <row r="4900" spans="1:3" s="79" customFormat="1" ht="59.1" customHeight="1" x14ac:dyDescent="0.2">
      <c r="A4900" s="81">
        <v>20044231</v>
      </c>
      <c r="B4900" s="80" t="s">
        <v>5263</v>
      </c>
      <c r="C4900" s="82" t="s">
        <v>10334</v>
      </c>
    </row>
    <row r="4901" spans="1:3" s="79" customFormat="1" ht="59.1" customHeight="1" x14ac:dyDescent="0.2">
      <c r="A4901" s="81">
        <v>20044232</v>
      </c>
      <c r="B4901" s="80" t="s">
        <v>5264</v>
      </c>
      <c r="C4901" s="82" t="s">
        <v>10335</v>
      </c>
    </row>
    <row r="4902" spans="1:3" s="79" customFormat="1" ht="28.7" customHeight="1" x14ac:dyDescent="0.2">
      <c r="A4902" s="81">
        <v>20044233</v>
      </c>
      <c r="B4902" s="80" t="s">
        <v>11396</v>
      </c>
      <c r="C4902" s="82" t="s">
        <v>10336</v>
      </c>
    </row>
    <row r="4903" spans="1:3" s="79" customFormat="1" ht="68.849999999999994" customHeight="1" x14ac:dyDescent="0.2">
      <c r="A4903" s="81">
        <v>20044234</v>
      </c>
      <c r="B4903" s="80" t="s">
        <v>5265</v>
      </c>
      <c r="C4903" s="82" t="s">
        <v>10337</v>
      </c>
    </row>
    <row r="4904" spans="1:3" s="79" customFormat="1" ht="109.35" customHeight="1" x14ac:dyDescent="0.2">
      <c r="A4904" s="81">
        <v>20044235</v>
      </c>
      <c r="B4904" s="80" t="s">
        <v>5266</v>
      </c>
      <c r="C4904" s="82" t="s">
        <v>10338</v>
      </c>
    </row>
    <row r="4905" spans="1:3" s="79" customFormat="1" ht="129" customHeight="1" x14ac:dyDescent="0.2">
      <c r="A4905" s="81">
        <v>20044236</v>
      </c>
      <c r="B4905" s="80" t="s">
        <v>5267</v>
      </c>
      <c r="C4905" s="82" t="s">
        <v>10339</v>
      </c>
    </row>
    <row r="4906" spans="1:3" s="79" customFormat="1" ht="158.85" customHeight="1" x14ac:dyDescent="0.2">
      <c r="A4906" s="81">
        <v>20044237</v>
      </c>
      <c r="B4906" s="80" t="s">
        <v>5268</v>
      </c>
      <c r="C4906" s="82" t="s">
        <v>10340</v>
      </c>
    </row>
    <row r="4907" spans="1:3" s="79" customFormat="1" ht="89.1" customHeight="1" x14ac:dyDescent="0.2">
      <c r="A4907" s="81">
        <v>20044238</v>
      </c>
      <c r="B4907" s="80" t="s">
        <v>5269</v>
      </c>
      <c r="C4907" s="81" t="s">
        <v>10341</v>
      </c>
    </row>
    <row r="4908" spans="1:3" s="79" customFormat="1" ht="78.95" customHeight="1" x14ac:dyDescent="0.2">
      <c r="A4908" s="81">
        <v>20044239</v>
      </c>
      <c r="B4908" s="80" t="s">
        <v>5270</v>
      </c>
      <c r="C4908" s="80"/>
    </row>
    <row r="4909" spans="1:3" s="79" customFormat="1" ht="28.7" customHeight="1" x14ac:dyDescent="0.2">
      <c r="A4909" s="81">
        <v>20044240</v>
      </c>
      <c r="B4909" s="80" t="s">
        <v>5271</v>
      </c>
      <c r="C4909" s="82" t="s">
        <v>10342</v>
      </c>
    </row>
    <row r="4910" spans="1:3" s="79" customFormat="1" ht="38.85" customHeight="1" x14ac:dyDescent="0.2">
      <c r="A4910" s="81">
        <v>20044241</v>
      </c>
      <c r="B4910" s="80" t="s">
        <v>5272</v>
      </c>
      <c r="C4910" s="82" t="s">
        <v>10343</v>
      </c>
    </row>
    <row r="4911" spans="1:3" s="79" customFormat="1" ht="38.85" customHeight="1" x14ac:dyDescent="0.2">
      <c r="A4911" s="81">
        <v>20044242</v>
      </c>
      <c r="B4911" s="80" t="s">
        <v>5273</v>
      </c>
      <c r="C4911" s="81" t="s">
        <v>10344</v>
      </c>
    </row>
    <row r="4912" spans="1:3" s="79" customFormat="1" ht="38.85" customHeight="1" x14ac:dyDescent="0.2">
      <c r="A4912" s="81">
        <v>20044243</v>
      </c>
      <c r="B4912" s="80" t="s">
        <v>5274</v>
      </c>
      <c r="C4912" s="81" t="s">
        <v>10345</v>
      </c>
    </row>
    <row r="4913" spans="1:3" s="79" customFormat="1" ht="49.15" customHeight="1" x14ac:dyDescent="0.2">
      <c r="A4913" s="81">
        <v>20044244</v>
      </c>
      <c r="B4913" s="80" t="s">
        <v>5275</v>
      </c>
      <c r="C4913" s="81" t="s">
        <v>11340</v>
      </c>
    </row>
    <row r="4914" spans="1:3" s="79" customFormat="1" ht="68.849999999999994" customHeight="1" x14ac:dyDescent="0.2">
      <c r="A4914" s="81">
        <v>20044245</v>
      </c>
      <c r="B4914" s="80" t="s">
        <v>5276</v>
      </c>
      <c r="C4914" s="81" t="s">
        <v>10346</v>
      </c>
    </row>
    <row r="4915" spans="1:3" s="79" customFormat="1" ht="68.849999999999994" customHeight="1" x14ac:dyDescent="0.2">
      <c r="A4915" s="81">
        <v>20044246</v>
      </c>
      <c r="B4915" s="80" t="s">
        <v>5277</v>
      </c>
      <c r="C4915" s="82" t="s">
        <v>10347</v>
      </c>
    </row>
    <row r="4916" spans="1:3" s="79" customFormat="1" ht="19.149999999999999" customHeight="1" x14ac:dyDescent="0.2">
      <c r="A4916" s="81">
        <v>20044247</v>
      </c>
      <c r="B4916" s="80" t="s">
        <v>5278</v>
      </c>
      <c r="C4916" s="81" t="s">
        <v>10348</v>
      </c>
    </row>
    <row r="4917" spans="1:3" s="79" customFormat="1" ht="59.1" customHeight="1" x14ac:dyDescent="0.2">
      <c r="A4917" s="81">
        <v>20044248</v>
      </c>
      <c r="B4917" s="80" t="s">
        <v>5279</v>
      </c>
      <c r="C4917" s="81" t="s">
        <v>10349</v>
      </c>
    </row>
    <row r="4918" spans="1:3" s="79" customFormat="1" ht="59.1" customHeight="1" x14ac:dyDescent="0.2">
      <c r="A4918" s="81">
        <v>20044249</v>
      </c>
      <c r="B4918" s="80" t="s">
        <v>5280</v>
      </c>
      <c r="C4918" s="81" t="s">
        <v>10350</v>
      </c>
    </row>
    <row r="4919" spans="1:3" s="79" customFormat="1" ht="68.849999999999994" customHeight="1" x14ac:dyDescent="0.2">
      <c r="A4919" s="81">
        <v>20044250</v>
      </c>
      <c r="B4919" s="80" t="s">
        <v>5281</v>
      </c>
      <c r="C4919" s="81" t="s">
        <v>10351</v>
      </c>
    </row>
    <row r="4920" spans="1:3" s="79" customFormat="1" ht="89.1" customHeight="1" x14ac:dyDescent="0.2">
      <c r="A4920" s="81">
        <v>20044251</v>
      </c>
      <c r="B4920" s="80" t="s">
        <v>5282</v>
      </c>
      <c r="C4920" s="81" t="s">
        <v>10352</v>
      </c>
    </row>
    <row r="4921" spans="1:3" s="79" customFormat="1" ht="68.849999999999994" customHeight="1" x14ac:dyDescent="0.2">
      <c r="A4921" s="81">
        <v>20044252</v>
      </c>
      <c r="B4921" s="80" t="s">
        <v>5283</v>
      </c>
      <c r="C4921" s="81" t="s">
        <v>10353</v>
      </c>
    </row>
    <row r="4922" spans="1:3" s="79" customFormat="1" ht="78.95" customHeight="1" x14ac:dyDescent="0.2">
      <c r="A4922" s="81">
        <v>20044253</v>
      </c>
      <c r="B4922" s="80" t="s">
        <v>5284</v>
      </c>
      <c r="C4922" s="81" t="s">
        <v>10354</v>
      </c>
    </row>
    <row r="4923" spans="1:3" s="79" customFormat="1" ht="38.85" customHeight="1" x14ac:dyDescent="0.2">
      <c r="A4923" s="81">
        <v>20044254</v>
      </c>
      <c r="B4923" s="80" t="s">
        <v>11047</v>
      </c>
      <c r="C4923" s="80" t="s">
        <v>11048</v>
      </c>
    </row>
    <row r="4924" spans="1:3" s="79" customFormat="1" ht="68.849999999999994" customHeight="1" x14ac:dyDescent="0.2">
      <c r="A4924" s="81">
        <v>20044255</v>
      </c>
      <c r="B4924" s="80" t="s">
        <v>5285</v>
      </c>
      <c r="C4924" s="81" t="s">
        <v>10355</v>
      </c>
    </row>
    <row r="4925" spans="1:3" s="79" customFormat="1" ht="89.1" customHeight="1" x14ac:dyDescent="0.2">
      <c r="A4925" s="81">
        <v>20044256</v>
      </c>
      <c r="B4925" s="80" t="s">
        <v>5286</v>
      </c>
      <c r="C4925" s="81" t="s">
        <v>10356</v>
      </c>
    </row>
    <row r="4926" spans="1:3" s="79" customFormat="1" ht="89.1" customHeight="1" x14ac:dyDescent="0.2">
      <c r="A4926" s="81">
        <v>20044257</v>
      </c>
      <c r="B4926" s="80" t="s">
        <v>5287</v>
      </c>
      <c r="C4926" s="82" t="s">
        <v>10357</v>
      </c>
    </row>
    <row r="4927" spans="1:3" s="79" customFormat="1" ht="109.35" customHeight="1" x14ac:dyDescent="0.2">
      <c r="A4927" s="81">
        <v>20044258</v>
      </c>
      <c r="B4927" s="80" t="s">
        <v>5288</v>
      </c>
      <c r="C4927" s="82" t="s">
        <v>10358</v>
      </c>
    </row>
    <row r="4928" spans="1:3" s="79" customFormat="1" ht="139.15" customHeight="1" x14ac:dyDescent="0.2">
      <c r="A4928" s="81">
        <v>20044259</v>
      </c>
      <c r="B4928" s="80" t="s">
        <v>5289</v>
      </c>
      <c r="C4928" s="82" t="s">
        <v>10359</v>
      </c>
    </row>
    <row r="4929" spans="1:3" s="79" customFormat="1" ht="109.35" customHeight="1" x14ac:dyDescent="0.2">
      <c r="A4929" s="81">
        <v>20044260</v>
      </c>
      <c r="B4929" s="80" t="s">
        <v>5290</v>
      </c>
      <c r="C4929" s="81" t="s">
        <v>10360</v>
      </c>
    </row>
    <row r="4930" spans="1:3" s="79" customFormat="1" ht="99.2" customHeight="1" x14ac:dyDescent="0.2">
      <c r="A4930" s="81">
        <v>20044261</v>
      </c>
      <c r="B4930" s="80" t="s">
        <v>5291</v>
      </c>
      <c r="C4930" s="82" t="s">
        <v>10361</v>
      </c>
    </row>
    <row r="4931" spans="1:3" s="79" customFormat="1" ht="19.149999999999999" customHeight="1" x14ac:dyDescent="0.2">
      <c r="A4931" s="81">
        <v>20044262</v>
      </c>
      <c r="B4931" s="80" t="s">
        <v>5292</v>
      </c>
      <c r="C4931" s="82" t="s">
        <v>10362</v>
      </c>
    </row>
    <row r="4932" spans="1:3" s="79" customFormat="1" ht="139.15" customHeight="1" x14ac:dyDescent="0.2">
      <c r="A4932" s="81">
        <v>20044263</v>
      </c>
      <c r="B4932" s="80" t="s">
        <v>5293</v>
      </c>
      <c r="C4932" s="82" t="s">
        <v>10363</v>
      </c>
    </row>
    <row r="4933" spans="1:3" s="79" customFormat="1" ht="89.1" customHeight="1" x14ac:dyDescent="0.2">
      <c r="A4933" s="81">
        <v>20044264</v>
      </c>
      <c r="B4933" s="80" t="s">
        <v>5294</v>
      </c>
      <c r="C4933" s="81" t="s">
        <v>10364</v>
      </c>
    </row>
    <row r="4934" spans="1:3" s="79" customFormat="1" ht="59.1" customHeight="1" x14ac:dyDescent="0.2">
      <c r="A4934" s="81">
        <v>20044266</v>
      </c>
      <c r="B4934" s="80" t="s">
        <v>5295</v>
      </c>
      <c r="C4934" s="82" t="s">
        <v>10365</v>
      </c>
    </row>
    <row r="4935" spans="1:3" s="79" customFormat="1" ht="68.849999999999994" customHeight="1" x14ac:dyDescent="0.2">
      <c r="A4935" s="81">
        <v>20044267</v>
      </c>
      <c r="B4935" s="80" t="s">
        <v>5296</v>
      </c>
      <c r="C4935" s="81" t="s">
        <v>10366</v>
      </c>
    </row>
    <row r="4936" spans="1:3" s="79" customFormat="1" ht="68.849999999999994" customHeight="1" x14ac:dyDescent="0.2">
      <c r="A4936" s="81">
        <v>20044268</v>
      </c>
      <c r="B4936" s="80" t="s">
        <v>5297</v>
      </c>
      <c r="C4936" s="81" t="s">
        <v>10367</v>
      </c>
    </row>
    <row r="4937" spans="1:3" s="79" customFormat="1" ht="118.9" customHeight="1" x14ac:dyDescent="0.2">
      <c r="A4937" s="81">
        <v>20044269</v>
      </c>
      <c r="B4937" s="80" t="s">
        <v>5298</v>
      </c>
      <c r="C4937" s="81" t="s">
        <v>10368</v>
      </c>
    </row>
    <row r="4938" spans="1:3" s="79" customFormat="1" ht="38.85" customHeight="1" x14ac:dyDescent="0.2">
      <c r="A4938" s="81">
        <v>20044270</v>
      </c>
      <c r="B4938" s="80" t="s">
        <v>5299</v>
      </c>
      <c r="C4938" s="81" t="s">
        <v>10369</v>
      </c>
    </row>
    <row r="4939" spans="1:3" s="79" customFormat="1" ht="49.15" customHeight="1" x14ac:dyDescent="0.2">
      <c r="A4939" s="81">
        <v>20044271</v>
      </c>
      <c r="B4939" s="80" t="s">
        <v>5300</v>
      </c>
      <c r="C4939" s="81" t="s">
        <v>10370</v>
      </c>
    </row>
    <row r="4940" spans="1:3" s="79" customFormat="1" ht="49.15" customHeight="1" x14ac:dyDescent="0.2">
      <c r="A4940" s="81">
        <v>20044272</v>
      </c>
      <c r="B4940" s="80" t="s">
        <v>5301</v>
      </c>
      <c r="C4940" s="82" t="s">
        <v>10371</v>
      </c>
    </row>
    <row r="4941" spans="1:3" s="79" customFormat="1" ht="118.9" customHeight="1" x14ac:dyDescent="0.2">
      <c r="A4941" s="81">
        <v>20044273</v>
      </c>
      <c r="B4941" s="80" t="s">
        <v>5302</v>
      </c>
      <c r="C4941" s="81" t="s">
        <v>10372</v>
      </c>
    </row>
    <row r="4942" spans="1:3" s="79" customFormat="1" ht="49.15" customHeight="1" x14ac:dyDescent="0.2">
      <c r="A4942" s="81">
        <v>20044274</v>
      </c>
      <c r="B4942" s="80" t="s">
        <v>5303</v>
      </c>
      <c r="C4942" s="81" t="s">
        <v>10373</v>
      </c>
    </row>
    <row r="4943" spans="1:3" s="79" customFormat="1" ht="78.95" customHeight="1" x14ac:dyDescent="0.2">
      <c r="A4943" s="81">
        <v>20044275</v>
      </c>
      <c r="B4943" s="80" t="s">
        <v>5304</v>
      </c>
      <c r="C4943" s="81" t="s">
        <v>10374</v>
      </c>
    </row>
    <row r="4944" spans="1:3" s="79" customFormat="1" ht="78.95" customHeight="1" x14ac:dyDescent="0.2">
      <c r="A4944" s="81">
        <v>20044276</v>
      </c>
      <c r="B4944" s="80" t="s">
        <v>5305</v>
      </c>
      <c r="C4944" s="80" t="s">
        <v>10375</v>
      </c>
    </row>
    <row r="4945" spans="1:3" s="79" customFormat="1" ht="118.9" customHeight="1" x14ac:dyDescent="0.2">
      <c r="A4945" s="81">
        <v>20044277</v>
      </c>
      <c r="B4945" s="80" t="s">
        <v>11617</v>
      </c>
      <c r="C4945" s="80" t="s">
        <v>10376</v>
      </c>
    </row>
    <row r="4946" spans="1:3" s="79" customFormat="1" ht="99.2" customHeight="1" x14ac:dyDescent="0.2">
      <c r="A4946" s="81">
        <v>20044278</v>
      </c>
      <c r="B4946" s="80" t="s">
        <v>11618</v>
      </c>
      <c r="C4946" s="80" t="s">
        <v>10377</v>
      </c>
    </row>
    <row r="4947" spans="1:3" s="79" customFormat="1" ht="78.95" customHeight="1" x14ac:dyDescent="0.2">
      <c r="A4947" s="81">
        <v>20044288</v>
      </c>
      <c r="B4947" s="80" t="s">
        <v>5306</v>
      </c>
      <c r="C4947" s="82" t="s">
        <v>11049</v>
      </c>
    </row>
    <row r="4948" spans="1:3" s="79" customFormat="1" ht="28.7" customHeight="1" x14ac:dyDescent="0.2">
      <c r="A4948" s="81">
        <v>20044289</v>
      </c>
      <c r="B4948" s="80" t="s">
        <v>5307</v>
      </c>
      <c r="C4948" s="82" t="s">
        <v>10378</v>
      </c>
    </row>
    <row r="4949" spans="1:3" s="79" customFormat="1" ht="68.849999999999994" customHeight="1" x14ac:dyDescent="0.2">
      <c r="A4949" s="81">
        <v>20044290</v>
      </c>
      <c r="B4949" s="80" t="s">
        <v>5308</v>
      </c>
      <c r="C4949" s="82" t="s">
        <v>10379</v>
      </c>
    </row>
    <row r="4950" spans="1:3" s="79" customFormat="1" ht="68.849999999999994" customHeight="1" x14ac:dyDescent="0.2">
      <c r="A4950" s="81">
        <v>20044291</v>
      </c>
      <c r="B4950" s="80" t="s">
        <v>5309</v>
      </c>
      <c r="C4950" s="81" t="s">
        <v>11457</v>
      </c>
    </row>
    <row r="4951" spans="1:3" s="79" customFormat="1" ht="129" customHeight="1" x14ac:dyDescent="0.2">
      <c r="A4951" s="81">
        <v>20044292</v>
      </c>
      <c r="B4951" s="80" t="s">
        <v>5310</v>
      </c>
      <c r="C4951" s="82" t="s">
        <v>10380</v>
      </c>
    </row>
    <row r="4952" spans="1:3" s="79" customFormat="1" ht="19.149999999999999" customHeight="1" x14ac:dyDescent="0.2">
      <c r="A4952" s="81">
        <v>20044293</v>
      </c>
      <c r="B4952" s="80" t="s">
        <v>5311</v>
      </c>
      <c r="C4952" s="82" t="s">
        <v>10381</v>
      </c>
    </row>
    <row r="4953" spans="1:3" s="79" customFormat="1" ht="19.149999999999999" customHeight="1" x14ac:dyDescent="0.2">
      <c r="A4953" s="81">
        <v>20044294</v>
      </c>
      <c r="B4953" s="80" t="s">
        <v>5312</v>
      </c>
      <c r="C4953" s="80" t="s">
        <v>10382</v>
      </c>
    </row>
    <row r="4954" spans="1:3" s="79" customFormat="1" ht="19.149999999999999" customHeight="1" x14ac:dyDescent="0.2">
      <c r="A4954" s="81">
        <v>20044295</v>
      </c>
      <c r="B4954" s="80" t="s">
        <v>5313</v>
      </c>
      <c r="C4954" s="80" t="s">
        <v>10383</v>
      </c>
    </row>
    <row r="4955" spans="1:3" s="79" customFormat="1" ht="38.85" customHeight="1" x14ac:dyDescent="0.2">
      <c r="A4955" s="81">
        <v>20044296</v>
      </c>
      <c r="B4955" s="80" t="s">
        <v>5314</v>
      </c>
      <c r="C4955" s="80" t="s">
        <v>10384</v>
      </c>
    </row>
    <row r="4956" spans="1:3" s="79" customFormat="1" ht="49.15" customHeight="1" x14ac:dyDescent="0.2">
      <c r="A4956" s="81">
        <v>20044299</v>
      </c>
      <c r="B4956" s="80" t="s">
        <v>5316</v>
      </c>
      <c r="C4956" s="80" t="s">
        <v>10385</v>
      </c>
    </row>
    <row r="4957" spans="1:3" s="79" customFormat="1" ht="78.95" customHeight="1" x14ac:dyDescent="0.2">
      <c r="A4957" s="81">
        <v>20044300</v>
      </c>
      <c r="B4957" s="80" t="s">
        <v>5317</v>
      </c>
      <c r="C4957" s="80" t="s">
        <v>10386</v>
      </c>
    </row>
    <row r="4958" spans="1:3" s="79" customFormat="1" ht="99.2" customHeight="1" x14ac:dyDescent="0.2">
      <c r="A4958" s="81">
        <v>20044301</v>
      </c>
      <c r="B4958" s="80" t="s">
        <v>5318</v>
      </c>
      <c r="C4958" s="82" t="s">
        <v>10387</v>
      </c>
    </row>
    <row r="4959" spans="1:3" s="79" customFormat="1" ht="28.7" customHeight="1" x14ac:dyDescent="0.2">
      <c r="A4959" s="81">
        <v>20044302</v>
      </c>
      <c r="B4959" s="80" t="s">
        <v>5319</v>
      </c>
      <c r="C4959" s="82" t="s">
        <v>10388</v>
      </c>
    </row>
    <row r="4960" spans="1:3" s="79" customFormat="1" ht="28.7" customHeight="1" x14ac:dyDescent="0.2">
      <c r="A4960" s="81">
        <v>20044303</v>
      </c>
      <c r="B4960" s="80" t="s">
        <v>5320</v>
      </c>
      <c r="C4960" s="80" t="s">
        <v>10389</v>
      </c>
    </row>
    <row r="4961" spans="1:3" s="79" customFormat="1" ht="19.149999999999999" customHeight="1" x14ac:dyDescent="0.2">
      <c r="A4961" s="81">
        <v>20044304</v>
      </c>
      <c r="B4961" s="80" t="s">
        <v>5321</v>
      </c>
      <c r="C4961" s="82" t="s">
        <v>10390</v>
      </c>
    </row>
    <row r="4962" spans="1:3" s="79" customFormat="1" ht="19.149999999999999" customHeight="1" x14ac:dyDescent="0.2">
      <c r="A4962" s="81">
        <v>20044305</v>
      </c>
      <c r="B4962" s="80" t="s">
        <v>5322</v>
      </c>
      <c r="C4962" s="80" t="s">
        <v>10391</v>
      </c>
    </row>
    <row r="4963" spans="1:3" s="79" customFormat="1" ht="19.149999999999999" customHeight="1" x14ac:dyDescent="0.2">
      <c r="A4963" s="81">
        <v>20044306</v>
      </c>
      <c r="B4963" s="80" t="s">
        <v>5323</v>
      </c>
      <c r="C4963" s="80" t="s">
        <v>10392</v>
      </c>
    </row>
    <row r="4964" spans="1:3" s="79" customFormat="1" ht="19.149999999999999" customHeight="1" x14ac:dyDescent="0.2">
      <c r="A4964" s="81">
        <v>20044307</v>
      </c>
      <c r="B4964" s="80" t="s">
        <v>5324</v>
      </c>
      <c r="C4964" s="80" t="s">
        <v>10393</v>
      </c>
    </row>
    <row r="4965" spans="1:3" s="79" customFormat="1" ht="19.149999999999999" customHeight="1" x14ac:dyDescent="0.2">
      <c r="A4965" s="81">
        <v>20044308</v>
      </c>
      <c r="B4965" s="80" t="s">
        <v>5325</v>
      </c>
      <c r="C4965" s="80" t="s">
        <v>10394</v>
      </c>
    </row>
    <row r="4966" spans="1:3" s="79" customFormat="1" ht="28.7" customHeight="1" x14ac:dyDescent="0.2">
      <c r="A4966" s="81">
        <v>20044309</v>
      </c>
      <c r="B4966" s="80" t="s">
        <v>5326</v>
      </c>
      <c r="C4966" s="80" t="s">
        <v>10395</v>
      </c>
    </row>
    <row r="4967" spans="1:3" s="79" customFormat="1" ht="28.7" customHeight="1" x14ac:dyDescent="0.2">
      <c r="A4967" s="81">
        <v>20044310</v>
      </c>
      <c r="B4967" s="80" t="s">
        <v>5327</v>
      </c>
      <c r="C4967" s="80" t="s">
        <v>10396</v>
      </c>
    </row>
    <row r="4968" spans="1:3" s="79" customFormat="1" ht="19.149999999999999" customHeight="1" x14ac:dyDescent="0.2">
      <c r="A4968" s="81">
        <v>20044311</v>
      </c>
      <c r="B4968" s="80" t="s">
        <v>5328</v>
      </c>
      <c r="C4968" s="81" t="s">
        <v>10397</v>
      </c>
    </row>
    <row r="4969" spans="1:3" s="79" customFormat="1" ht="28.7" customHeight="1" x14ac:dyDescent="0.2">
      <c r="A4969" s="81">
        <v>20044312</v>
      </c>
      <c r="B4969" s="80" t="s">
        <v>5329</v>
      </c>
      <c r="C4969" s="82" t="s">
        <v>10398</v>
      </c>
    </row>
    <row r="4970" spans="1:3" s="79" customFormat="1" ht="19.149999999999999" customHeight="1" x14ac:dyDescent="0.2">
      <c r="A4970" s="81">
        <v>20044318</v>
      </c>
      <c r="B4970" s="80" t="s">
        <v>5330</v>
      </c>
      <c r="C4970" s="82" t="s">
        <v>10399</v>
      </c>
    </row>
    <row r="4971" spans="1:3" s="79" customFormat="1" ht="19.149999999999999" customHeight="1" x14ac:dyDescent="0.2">
      <c r="A4971" s="81">
        <v>20050095</v>
      </c>
      <c r="B4971" s="80" t="s">
        <v>5332</v>
      </c>
      <c r="C4971" s="82" t="s">
        <v>10400</v>
      </c>
    </row>
    <row r="4972" spans="1:3" s="79" customFormat="1" ht="19.149999999999999" customHeight="1" x14ac:dyDescent="0.2">
      <c r="A4972" s="81">
        <v>20050293</v>
      </c>
      <c r="B4972" s="80" t="s">
        <v>5334</v>
      </c>
      <c r="C4972" s="81" t="s">
        <v>10401</v>
      </c>
    </row>
    <row r="4973" spans="1:3" s="79" customFormat="1" ht="19.149999999999999" customHeight="1" x14ac:dyDescent="0.2">
      <c r="A4973" s="81">
        <v>20050294</v>
      </c>
      <c r="B4973" s="80" t="s">
        <v>5335</v>
      </c>
      <c r="C4973" s="81" t="s">
        <v>10402</v>
      </c>
    </row>
    <row r="4974" spans="1:3" s="79" customFormat="1" ht="19.149999999999999" customHeight="1" x14ac:dyDescent="0.2">
      <c r="A4974" s="81">
        <v>20050302</v>
      </c>
      <c r="B4974" s="80" t="s">
        <v>5331</v>
      </c>
      <c r="C4974" s="80" t="s">
        <v>10403</v>
      </c>
    </row>
    <row r="4975" spans="1:3" s="79" customFormat="1" ht="19.149999999999999" customHeight="1" x14ac:dyDescent="0.2">
      <c r="A4975" s="81">
        <v>20050303</v>
      </c>
      <c r="B4975" s="80" t="s">
        <v>5333</v>
      </c>
      <c r="C4975" s="82" t="s">
        <v>10404</v>
      </c>
    </row>
    <row r="4976" spans="1:3" s="79" customFormat="1" ht="109.35" customHeight="1" x14ac:dyDescent="0.2">
      <c r="A4976" s="81">
        <v>20050312</v>
      </c>
      <c r="B4976" s="80" t="s">
        <v>5336</v>
      </c>
      <c r="C4976" s="82" t="s">
        <v>10405</v>
      </c>
    </row>
    <row r="4977" spans="1:3" s="79" customFormat="1" ht="28.7" customHeight="1" x14ac:dyDescent="0.2">
      <c r="A4977" s="81">
        <v>20050313</v>
      </c>
      <c r="B4977" s="80" t="s">
        <v>5337</v>
      </c>
      <c r="C4977" s="82" t="s">
        <v>10406</v>
      </c>
    </row>
    <row r="4978" spans="1:3" s="79" customFormat="1" ht="59.1" customHeight="1" x14ac:dyDescent="0.2">
      <c r="A4978" s="81">
        <v>20050314</v>
      </c>
      <c r="B4978" s="80" t="s">
        <v>5338</v>
      </c>
      <c r="C4978" s="82" t="s">
        <v>10407</v>
      </c>
    </row>
    <row r="4979" spans="1:3" s="79" customFormat="1" ht="28.7" customHeight="1" x14ac:dyDescent="0.2">
      <c r="A4979" s="81">
        <v>20050315</v>
      </c>
      <c r="B4979" s="80" t="s">
        <v>5340</v>
      </c>
      <c r="C4979" s="82" t="s">
        <v>10408</v>
      </c>
    </row>
    <row r="4980" spans="1:3" s="79" customFormat="1" ht="149.25" customHeight="1" x14ac:dyDescent="0.2">
      <c r="A4980" s="81">
        <v>20050316</v>
      </c>
      <c r="B4980" s="80" t="s">
        <v>5341</v>
      </c>
      <c r="C4980" s="80" t="s">
        <v>10409</v>
      </c>
    </row>
    <row r="4981" spans="1:3" s="79" customFormat="1" ht="149.25" customHeight="1" x14ac:dyDescent="0.2">
      <c r="A4981" s="81">
        <v>20050317</v>
      </c>
      <c r="B4981" s="80" t="s">
        <v>5347</v>
      </c>
      <c r="C4981" s="82" t="s">
        <v>11341</v>
      </c>
    </row>
    <row r="4982" spans="1:3" s="79" customFormat="1" ht="19.149999999999999" customHeight="1" x14ac:dyDescent="0.2">
      <c r="A4982" s="81">
        <v>20050318</v>
      </c>
      <c r="B4982" s="80" t="s">
        <v>5349</v>
      </c>
      <c r="C4982" s="81" t="s">
        <v>10410</v>
      </c>
    </row>
    <row r="4983" spans="1:3" s="79" customFormat="1" ht="38.85" customHeight="1" x14ac:dyDescent="0.2">
      <c r="A4983" s="81">
        <v>20050322</v>
      </c>
      <c r="B4983" s="80" t="s">
        <v>11458</v>
      </c>
      <c r="C4983" s="82" t="s">
        <v>10411</v>
      </c>
    </row>
    <row r="4984" spans="1:3" s="79" customFormat="1" ht="59.1" customHeight="1" x14ac:dyDescent="0.2">
      <c r="A4984" s="81">
        <v>20050323</v>
      </c>
      <c r="B4984" s="80" t="s">
        <v>5348</v>
      </c>
      <c r="C4984" s="82" t="s">
        <v>11342</v>
      </c>
    </row>
    <row r="4985" spans="1:3" s="79" customFormat="1" ht="59.1" customHeight="1" x14ac:dyDescent="0.2">
      <c r="A4985" s="81">
        <v>20050332</v>
      </c>
      <c r="B4985" s="80" t="s">
        <v>5339</v>
      </c>
      <c r="C4985" s="82" t="s">
        <v>10412</v>
      </c>
    </row>
    <row r="4986" spans="1:3" s="79" customFormat="1" ht="28.7" customHeight="1" x14ac:dyDescent="0.2">
      <c r="A4986" s="81">
        <v>20050333</v>
      </c>
      <c r="B4986" s="80" t="s">
        <v>5342</v>
      </c>
      <c r="C4986" s="82" t="s">
        <v>10413</v>
      </c>
    </row>
    <row r="4987" spans="1:3" s="79" customFormat="1" ht="59.1" customHeight="1" x14ac:dyDescent="0.2">
      <c r="A4987" s="81">
        <v>20050334</v>
      </c>
      <c r="B4987" s="80" t="s">
        <v>5343</v>
      </c>
      <c r="C4987" s="82" t="s">
        <v>10414</v>
      </c>
    </row>
    <row r="4988" spans="1:3" s="79" customFormat="1" ht="19.149999999999999" customHeight="1" x14ac:dyDescent="0.2">
      <c r="A4988" s="81">
        <v>20050335</v>
      </c>
      <c r="B4988" s="80" t="s">
        <v>5344</v>
      </c>
      <c r="C4988" s="82" t="s">
        <v>10415</v>
      </c>
    </row>
    <row r="4989" spans="1:3" s="79" customFormat="1" ht="28.7" customHeight="1" x14ac:dyDescent="0.2">
      <c r="A4989" s="81">
        <v>20050336</v>
      </c>
      <c r="B4989" s="80" t="s">
        <v>5350</v>
      </c>
      <c r="C4989" s="80" t="s">
        <v>10416</v>
      </c>
    </row>
    <row r="4990" spans="1:3" s="79" customFormat="1" ht="149.25" customHeight="1" x14ac:dyDescent="0.2">
      <c r="A4990" s="81">
        <v>20050337</v>
      </c>
      <c r="B4990" s="80" t="s">
        <v>5351</v>
      </c>
      <c r="C4990" s="82" t="s">
        <v>10417</v>
      </c>
    </row>
    <row r="4991" spans="1:3" s="79" customFormat="1" ht="59.1" customHeight="1" x14ac:dyDescent="0.2">
      <c r="A4991" s="81">
        <v>20050338</v>
      </c>
      <c r="B4991" s="80" t="s">
        <v>5352</v>
      </c>
      <c r="C4991" s="82" t="s">
        <v>10418</v>
      </c>
    </row>
    <row r="4992" spans="1:3" s="79" customFormat="1" ht="28.7" customHeight="1" x14ac:dyDescent="0.2">
      <c r="A4992" s="81">
        <v>20050339</v>
      </c>
      <c r="B4992" s="80" t="s">
        <v>5353</v>
      </c>
      <c r="C4992" s="80" t="s">
        <v>10419</v>
      </c>
    </row>
    <row r="4993" spans="1:3" s="79" customFormat="1" ht="38.85" customHeight="1" x14ac:dyDescent="0.2">
      <c r="A4993" s="81">
        <v>20050340</v>
      </c>
      <c r="B4993" s="80" t="s">
        <v>5354</v>
      </c>
      <c r="C4993" s="80" t="s">
        <v>10420</v>
      </c>
    </row>
    <row r="4994" spans="1:3" s="79" customFormat="1" ht="28.7" customHeight="1" x14ac:dyDescent="0.2">
      <c r="A4994" s="81">
        <v>20050341</v>
      </c>
      <c r="B4994" s="80" t="s">
        <v>5355</v>
      </c>
      <c r="C4994" s="80" t="s">
        <v>10421</v>
      </c>
    </row>
    <row r="4995" spans="1:3" s="79" customFormat="1" ht="28.7" customHeight="1" x14ac:dyDescent="0.2">
      <c r="A4995" s="81">
        <v>20050342</v>
      </c>
      <c r="B4995" s="80" t="s">
        <v>5345</v>
      </c>
      <c r="C4995" s="82" t="s">
        <v>10422</v>
      </c>
    </row>
    <row r="4996" spans="1:3" s="79" customFormat="1" ht="49.15" customHeight="1" x14ac:dyDescent="0.2">
      <c r="A4996" s="81">
        <v>20050343</v>
      </c>
      <c r="B4996" s="80" t="s">
        <v>5346</v>
      </c>
      <c r="C4996" s="82" t="s">
        <v>10423</v>
      </c>
    </row>
    <row r="4997" spans="1:3" s="79" customFormat="1" ht="19.149999999999999" customHeight="1" x14ac:dyDescent="0.2">
      <c r="A4997" s="81">
        <v>20050352</v>
      </c>
      <c r="B4997" s="80" t="s">
        <v>5356</v>
      </c>
      <c r="C4997" s="80" t="s">
        <v>10424</v>
      </c>
    </row>
    <row r="4998" spans="1:3" s="79" customFormat="1" ht="28.7" customHeight="1" x14ac:dyDescent="0.2">
      <c r="A4998" s="81">
        <v>20050353</v>
      </c>
      <c r="B4998" s="80" t="s">
        <v>5357</v>
      </c>
      <c r="C4998" s="80" t="s">
        <v>10425</v>
      </c>
    </row>
    <row r="4999" spans="1:3" s="79" customFormat="1" ht="28.7" customHeight="1" x14ac:dyDescent="0.2">
      <c r="A4999" s="81">
        <v>20050354</v>
      </c>
      <c r="B4999" s="80" t="s">
        <v>5358</v>
      </c>
      <c r="C4999" s="80" t="s">
        <v>10426</v>
      </c>
    </row>
    <row r="5000" spans="1:3" s="79" customFormat="1" ht="19.149999999999999" customHeight="1" x14ac:dyDescent="0.2">
      <c r="A5000" s="81">
        <v>20050355</v>
      </c>
      <c r="B5000" s="80" t="s">
        <v>5359</v>
      </c>
      <c r="C5000" s="80" t="s">
        <v>10427</v>
      </c>
    </row>
    <row r="5001" spans="1:3" s="79" customFormat="1" ht="19.149999999999999" customHeight="1" x14ac:dyDescent="0.2">
      <c r="A5001" s="81">
        <v>20050356</v>
      </c>
      <c r="B5001" s="80" t="s">
        <v>5360</v>
      </c>
      <c r="C5001" s="80" t="s">
        <v>10428</v>
      </c>
    </row>
    <row r="5002" spans="1:3" s="79" customFormat="1" ht="19.149999999999999" customHeight="1" x14ac:dyDescent="0.2">
      <c r="A5002" s="81">
        <v>20050357</v>
      </c>
      <c r="B5002" s="80" t="s">
        <v>5361</v>
      </c>
      <c r="C5002" s="80" t="s">
        <v>10429</v>
      </c>
    </row>
    <row r="5003" spans="1:3" s="79" customFormat="1" ht="38.85" customHeight="1" x14ac:dyDescent="0.2">
      <c r="A5003" s="81">
        <v>20050358</v>
      </c>
      <c r="B5003" s="80" t="s">
        <v>5362</v>
      </c>
      <c r="C5003" s="80" t="s">
        <v>10430</v>
      </c>
    </row>
    <row r="5004" spans="1:3" s="79" customFormat="1" ht="38.85" customHeight="1" x14ac:dyDescent="0.2">
      <c r="A5004" s="81">
        <v>20050359</v>
      </c>
      <c r="B5004" s="80" t="s">
        <v>5363</v>
      </c>
      <c r="C5004" s="80" t="s">
        <v>10431</v>
      </c>
    </row>
    <row r="5005" spans="1:3" s="79" customFormat="1" ht="19.149999999999999" customHeight="1" x14ac:dyDescent="0.2">
      <c r="A5005" s="81">
        <v>20050360</v>
      </c>
      <c r="B5005" s="80" t="s">
        <v>5364</v>
      </c>
      <c r="C5005" s="80" t="s">
        <v>10432</v>
      </c>
    </row>
    <row r="5006" spans="1:3" s="79" customFormat="1" ht="19.149999999999999" customHeight="1" x14ac:dyDescent="0.2">
      <c r="A5006" s="81">
        <v>20050361</v>
      </c>
      <c r="B5006" s="80" t="s">
        <v>5365</v>
      </c>
      <c r="C5006" s="80" t="s">
        <v>10433</v>
      </c>
    </row>
    <row r="5007" spans="1:3" s="79" customFormat="1" ht="19.149999999999999" customHeight="1" x14ac:dyDescent="0.2">
      <c r="A5007" s="81">
        <v>20050362</v>
      </c>
      <c r="B5007" s="80" t="s">
        <v>5366</v>
      </c>
      <c r="C5007" s="80" t="s">
        <v>10434</v>
      </c>
    </row>
    <row r="5008" spans="1:3" s="79" customFormat="1" ht="19.149999999999999" customHeight="1" x14ac:dyDescent="0.2">
      <c r="A5008" s="81">
        <v>20050363</v>
      </c>
      <c r="B5008" s="80" t="s">
        <v>5367</v>
      </c>
      <c r="C5008" s="80" t="s">
        <v>10435</v>
      </c>
    </row>
    <row r="5009" spans="1:3" s="79" customFormat="1" ht="19.149999999999999" customHeight="1" x14ac:dyDescent="0.2">
      <c r="A5009" s="81">
        <v>20050364</v>
      </c>
      <c r="B5009" s="80" t="s">
        <v>5368</v>
      </c>
      <c r="C5009" s="80" t="s">
        <v>10436</v>
      </c>
    </row>
    <row r="5010" spans="1:3" s="79" customFormat="1" ht="19.149999999999999" customHeight="1" x14ac:dyDescent="0.2">
      <c r="A5010" s="81">
        <v>20050365</v>
      </c>
      <c r="B5010" s="80" t="s">
        <v>5369</v>
      </c>
      <c r="C5010" s="80" t="s">
        <v>10437</v>
      </c>
    </row>
    <row r="5011" spans="1:3" s="79" customFormat="1" ht="19.149999999999999" customHeight="1" x14ac:dyDescent="0.2">
      <c r="A5011" s="81">
        <v>20050366</v>
      </c>
      <c r="B5011" s="80" t="s">
        <v>5370</v>
      </c>
      <c r="C5011" s="80" t="s">
        <v>10438</v>
      </c>
    </row>
    <row r="5012" spans="1:3" s="79" customFormat="1" ht="19.149999999999999" customHeight="1" x14ac:dyDescent="0.2">
      <c r="A5012" s="81">
        <v>20050367</v>
      </c>
      <c r="B5012" s="80" t="s">
        <v>5371</v>
      </c>
      <c r="C5012" s="80" t="s">
        <v>10439</v>
      </c>
    </row>
    <row r="5013" spans="1:3" s="79" customFormat="1" ht="19.149999999999999" customHeight="1" x14ac:dyDescent="0.2">
      <c r="A5013" s="81">
        <v>20050368</v>
      </c>
      <c r="B5013" s="80" t="s">
        <v>5372</v>
      </c>
      <c r="C5013" s="80" t="s">
        <v>10440</v>
      </c>
    </row>
    <row r="5014" spans="1:3" s="79" customFormat="1" ht="19.149999999999999" customHeight="1" x14ac:dyDescent="0.2">
      <c r="A5014" s="81">
        <v>20050369</v>
      </c>
      <c r="B5014" s="80" t="s">
        <v>5373</v>
      </c>
      <c r="C5014" s="80" t="s">
        <v>10441</v>
      </c>
    </row>
    <row r="5015" spans="1:3" s="79" customFormat="1" ht="19.149999999999999" customHeight="1" x14ac:dyDescent="0.2">
      <c r="A5015" s="81">
        <v>20050370</v>
      </c>
      <c r="B5015" s="80" t="s">
        <v>5374</v>
      </c>
      <c r="C5015" s="80" t="s">
        <v>10442</v>
      </c>
    </row>
    <row r="5016" spans="1:3" s="79" customFormat="1" ht="19.149999999999999" customHeight="1" x14ac:dyDescent="0.2">
      <c r="A5016" s="81">
        <v>20050371</v>
      </c>
      <c r="B5016" s="80" t="s">
        <v>5375</v>
      </c>
      <c r="C5016" s="80" t="s">
        <v>10443</v>
      </c>
    </row>
    <row r="5017" spans="1:3" s="79" customFormat="1" ht="19.149999999999999" customHeight="1" x14ac:dyDescent="0.2">
      <c r="A5017" s="81">
        <v>20050372</v>
      </c>
      <c r="B5017" s="80" t="s">
        <v>5376</v>
      </c>
      <c r="C5017" s="80" t="s">
        <v>10444</v>
      </c>
    </row>
    <row r="5018" spans="1:3" s="79" customFormat="1" ht="19.149999999999999" customHeight="1" x14ac:dyDescent="0.2">
      <c r="A5018" s="81">
        <v>20050373</v>
      </c>
      <c r="B5018" s="80" t="s">
        <v>5377</v>
      </c>
      <c r="C5018" s="80" t="s">
        <v>10445</v>
      </c>
    </row>
    <row r="5019" spans="1:3" s="79" customFormat="1" ht="19.149999999999999" customHeight="1" x14ac:dyDescent="0.2">
      <c r="A5019" s="81">
        <v>20050374</v>
      </c>
      <c r="B5019" s="80" t="s">
        <v>5378</v>
      </c>
      <c r="C5019" s="80" t="s">
        <v>10446</v>
      </c>
    </row>
    <row r="5020" spans="1:3" s="79" customFormat="1" ht="19.149999999999999" customHeight="1" x14ac:dyDescent="0.2">
      <c r="A5020" s="81">
        <v>20050375</v>
      </c>
      <c r="B5020" s="80" t="s">
        <v>5379</v>
      </c>
      <c r="C5020" s="80" t="s">
        <v>10447</v>
      </c>
    </row>
    <row r="5021" spans="1:3" s="79" customFormat="1" ht="19.149999999999999" customHeight="1" x14ac:dyDescent="0.2">
      <c r="A5021" s="81">
        <v>20050376</v>
      </c>
      <c r="B5021" s="80" t="s">
        <v>5380</v>
      </c>
      <c r="C5021" s="80" t="s">
        <v>10448</v>
      </c>
    </row>
    <row r="5022" spans="1:3" s="79" customFormat="1" ht="19.149999999999999" customHeight="1" x14ac:dyDescent="0.2">
      <c r="A5022" s="81">
        <v>20050377</v>
      </c>
      <c r="B5022" s="80" t="s">
        <v>5381</v>
      </c>
      <c r="C5022" s="82" t="s">
        <v>10449</v>
      </c>
    </row>
    <row r="5023" spans="1:3" s="79" customFormat="1" ht="19.149999999999999" customHeight="1" x14ac:dyDescent="0.2">
      <c r="A5023" s="81">
        <v>20050378</v>
      </c>
      <c r="B5023" s="80" t="s">
        <v>5382</v>
      </c>
      <c r="C5023" s="82" t="s">
        <v>10450</v>
      </c>
    </row>
    <row r="5024" spans="1:3" s="79" customFormat="1" ht="19.149999999999999" customHeight="1" x14ac:dyDescent="0.2">
      <c r="A5024" s="81">
        <v>20050382</v>
      </c>
      <c r="B5024" s="80" t="s">
        <v>5383</v>
      </c>
      <c r="C5024" s="82" t="s">
        <v>10451</v>
      </c>
    </row>
    <row r="5025" spans="1:3" s="79" customFormat="1" ht="19.149999999999999" customHeight="1" x14ac:dyDescent="0.2">
      <c r="A5025" s="81">
        <v>20050383</v>
      </c>
      <c r="B5025" s="80" t="s">
        <v>5388</v>
      </c>
      <c r="C5025" s="80" t="s">
        <v>10452</v>
      </c>
    </row>
    <row r="5026" spans="1:3" s="79" customFormat="1" ht="19.149999999999999" customHeight="1" x14ac:dyDescent="0.2">
      <c r="A5026" s="81">
        <v>20050384</v>
      </c>
      <c r="B5026" s="80" t="s">
        <v>5389</v>
      </c>
      <c r="C5026" s="80" t="s">
        <v>10453</v>
      </c>
    </row>
    <row r="5027" spans="1:3" s="79" customFormat="1" ht="19.149999999999999" customHeight="1" x14ac:dyDescent="0.2">
      <c r="A5027" s="81">
        <v>20050385</v>
      </c>
      <c r="B5027" s="80" t="s">
        <v>5396</v>
      </c>
      <c r="C5027" s="80" t="s">
        <v>10454</v>
      </c>
    </row>
    <row r="5028" spans="1:3" s="79" customFormat="1" ht="19.149999999999999" customHeight="1" x14ac:dyDescent="0.2">
      <c r="A5028" s="81">
        <v>20050392</v>
      </c>
      <c r="B5028" s="80" t="s">
        <v>5384</v>
      </c>
      <c r="C5028" s="82" t="s">
        <v>10455</v>
      </c>
    </row>
    <row r="5029" spans="1:3" s="79" customFormat="1" ht="19.149999999999999" customHeight="1" x14ac:dyDescent="0.2">
      <c r="A5029" s="81">
        <v>20050393</v>
      </c>
      <c r="B5029" s="80" t="s">
        <v>5387</v>
      </c>
      <c r="C5029" s="82" t="s">
        <v>10456</v>
      </c>
    </row>
    <row r="5030" spans="1:3" s="79" customFormat="1" ht="28.7" customHeight="1" x14ac:dyDescent="0.2">
      <c r="A5030" s="81">
        <v>20050402</v>
      </c>
      <c r="B5030" s="80" t="s">
        <v>5385</v>
      </c>
      <c r="C5030" s="82" t="s">
        <v>10457</v>
      </c>
    </row>
    <row r="5031" spans="1:3" s="79" customFormat="1" ht="28.7" customHeight="1" x14ac:dyDescent="0.2">
      <c r="A5031" s="81">
        <v>20050403</v>
      </c>
      <c r="B5031" s="80" t="s">
        <v>5386</v>
      </c>
      <c r="C5031" s="82" t="s">
        <v>10458</v>
      </c>
    </row>
    <row r="5032" spans="1:3" s="79" customFormat="1" ht="28.7" customHeight="1" x14ac:dyDescent="0.2">
      <c r="A5032" s="81">
        <v>20050404</v>
      </c>
      <c r="B5032" s="80" t="s">
        <v>5390</v>
      </c>
      <c r="C5032" s="80" t="s">
        <v>10459</v>
      </c>
    </row>
    <row r="5033" spans="1:3" s="79" customFormat="1" ht="19.149999999999999" customHeight="1" x14ac:dyDescent="0.2">
      <c r="A5033" s="81">
        <v>20050405</v>
      </c>
      <c r="B5033" s="80" t="s">
        <v>5391</v>
      </c>
      <c r="C5033" s="80" t="s">
        <v>10460</v>
      </c>
    </row>
    <row r="5034" spans="1:3" s="79" customFormat="1" ht="19.149999999999999" customHeight="1" x14ac:dyDescent="0.2">
      <c r="A5034" s="81">
        <v>20050406</v>
      </c>
      <c r="B5034" s="80" t="s">
        <v>5392</v>
      </c>
      <c r="C5034" s="80" t="s">
        <v>10461</v>
      </c>
    </row>
    <row r="5035" spans="1:3" s="79" customFormat="1" ht="19.149999999999999" customHeight="1" x14ac:dyDescent="0.2">
      <c r="A5035" s="81">
        <v>20050407</v>
      </c>
      <c r="B5035" s="80" t="s">
        <v>5393</v>
      </c>
      <c r="C5035" s="80" t="s">
        <v>10462</v>
      </c>
    </row>
    <row r="5036" spans="1:3" s="79" customFormat="1" ht="28.7" customHeight="1" x14ac:dyDescent="0.2">
      <c r="A5036" s="81">
        <v>20050408</v>
      </c>
      <c r="B5036" s="80" t="s">
        <v>5394</v>
      </c>
      <c r="C5036" s="80" t="s">
        <v>10463</v>
      </c>
    </row>
    <row r="5037" spans="1:3" s="79" customFormat="1" ht="28.7" customHeight="1" x14ac:dyDescent="0.2">
      <c r="A5037" s="81">
        <v>20050409</v>
      </c>
      <c r="B5037" s="80" t="s">
        <v>5395</v>
      </c>
      <c r="C5037" s="80" t="s">
        <v>10464</v>
      </c>
    </row>
    <row r="5038" spans="1:3" s="79" customFormat="1" ht="28.7" customHeight="1" x14ac:dyDescent="0.2">
      <c r="A5038" s="81">
        <v>20050422</v>
      </c>
      <c r="B5038" s="80" t="s">
        <v>5398</v>
      </c>
      <c r="C5038" s="82" t="s">
        <v>10465</v>
      </c>
    </row>
    <row r="5039" spans="1:3" s="79" customFormat="1" ht="28.7" customHeight="1" x14ac:dyDescent="0.2">
      <c r="A5039" s="81">
        <v>20050423</v>
      </c>
      <c r="B5039" s="80" t="s">
        <v>5399</v>
      </c>
      <c r="C5039" s="82" t="s">
        <v>10466</v>
      </c>
    </row>
    <row r="5040" spans="1:3" s="79" customFormat="1" ht="19.149999999999999" customHeight="1" x14ac:dyDescent="0.2">
      <c r="A5040" s="81">
        <v>20050424</v>
      </c>
      <c r="B5040" s="80" t="s">
        <v>5400</v>
      </c>
      <c r="C5040" s="82" t="s">
        <v>10467</v>
      </c>
    </row>
    <row r="5041" spans="1:3" s="79" customFormat="1" ht="19.149999999999999" customHeight="1" x14ac:dyDescent="0.2">
      <c r="A5041" s="81">
        <v>20050432</v>
      </c>
      <c r="B5041" s="80" t="s">
        <v>5401</v>
      </c>
      <c r="C5041" s="82" t="s">
        <v>10468</v>
      </c>
    </row>
    <row r="5042" spans="1:3" s="79" customFormat="1" ht="19.149999999999999" customHeight="1" x14ac:dyDescent="0.2">
      <c r="A5042" s="81">
        <v>20050442</v>
      </c>
      <c r="B5042" s="80" t="s">
        <v>5402</v>
      </c>
      <c r="C5042" s="82" t="s">
        <v>10469</v>
      </c>
    </row>
    <row r="5043" spans="1:3" s="79" customFormat="1" ht="19.149999999999999" customHeight="1" x14ac:dyDescent="0.2">
      <c r="A5043" s="81">
        <v>20050452</v>
      </c>
      <c r="B5043" s="80" t="s">
        <v>5403</v>
      </c>
      <c r="C5043" s="82" t="s">
        <v>10470</v>
      </c>
    </row>
    <row r="5044" spans="1:3" s="79" customFormat="1" ht="19.149999999999999" customHeight="1" x14ac:dyDescent="0.2">
      <c r="A5044" s="81">
        <v>20050462</v>
      </c>
      <c r="B5044" s="80" t="s">
        <v>5404</v>
      </c>
      <c r="C5044" s="82" t="s">
        <v>10471</v>
      </c>
    </row>
    <row r="5045" spans="1:3" s="79" customFormat="1" ht="19.149999999999999" customHeight="1" x14ac:dyDescent="0.2">
      <c r="A5045" s="81">
        <v>20050472</v>
      </c>
      <c r="B5045" s="80" t="s">
        <v>5405</v>
      </c>
      <c r="C5045" s="80" t="s">
        <v>10472</v>
      </c>
    </row>
    <row r="5046" spans="1:3" s="79" customFormat="1" ht="49.15" customHeight="1" x14ac:dyDescent="0.2">
      <c r="A5046" s="81">
        <v>20050482</v>
      </c>
      <c r="B5046" s="80" t="s">
        <v>5406</v>
      </c>
      <c r="C5046" s="81" t="s">
        <v>10473</v>
      </c>
    </row>
    <row r="5047" spans="1:3" s="79" customFormat="1" ht="28.7" customHeight="1" x14ac:dyDescent="0.2">
      <c r="A5047" s="81">
        <v>20050483</v>
      </c>
      <c r="B5047" s="80" t="s">
        <v>5407</v>
      </c>
      <c r="C5047" s="81" t="s">
        <v>10474</v>
      </c>
    </row>
    <row r="5048" spans="1:3" s="79" customFormat="1" ht="28.7" customHeight="1" x14ac:dyDescent="0.2">
      <c r="A5048" s="81">
        <v>20050484</v>
      </c>
      <c r="B5048" s="80" t="s">
        <v>5408</v>
      </c>
      <c r="C5048" s="81" t="s">
        <v>10475</v>
      </c>
    </row>
    <row r="5049" spans="1:3" s="79" customFormat="1" ht="28.7" customHeight="1" x14ac:dyDescent="0.2">
      <c r="A5049" s="81">
        <v>20050485</v>
      </c>
      <c r="B5049" s="80" t="s">
        <v>5409</v>
      </c>
      <c r="C5049" s="81" t="s">
        <v>10476</v>
      </c>
    </row>
    <row r="5050" spans="1:3" s="79" customFormat="1" ht="28.7" customHeight="1" x14ac:dyDescent="0.2">
      <c r="A5050" s="81">
        <v>20050486</v>
      </c>
      <c r="B5050" s="80" t="s">
        <v>5410</v>
      </c>
      <c r="C5050" s="81" t="s">
        <v>10477</v>
      </c>
    </row>
    <row r="5051" spans="1:3" s="79" customFormat="1" ht="28.7" customHeight="1" x14ac:dyDescent="0.2">
      <c r="A5051" s="81">
        <v>20050487</v>
      </c>
      <c r="B5051" s="80" t="s">
        <v>5412</v>
      </c>
      <c r="C5051" s="82" t="s">
        <v>10478</v>
      </c>
    </row>
    <row r="5052" spans="1:3" s="79" customFormat="1" ht="38.85" customHeight="1" x14ac:dyDescent="0.2">
      <c r="A5052" s="81">
        <v>20050492</v>
      </c>
      <c r="B5052" s="80" t="s">
        <v>5411</v>
      </c>
      <c r="C5052" s="80" t="s">
        <v>10479</v>
      </c>
    </row>
    <row r="5053" spans="1:3" s="79" customFormat="1" ht="28.7" customHeight="1" x14ac:dyDescent="0.2">
      <c r="A5053" s="81">
        <v>20050502</v>
      </c>
      <c r="B5053" s="80" t="s">
        <v>5413</v>
      </c>
      <c r="C5053" s="82" t="s">
        <v>10480</v>
      </c>
    </row>
    <row r="5054" spans="1:3" s="79" customFormat="1" ht="19.149999999999999" customHeight="1" x14ac:dyDescent="0.2">
      <c r="A5054" s="81">
        <v>20050512</v>
      </c>
      <c r="B5054" s="80" t="s">
        <v>5414</v>
      </c>
      <c r="C5054" s="81" t="s">
        <v>10481</v>
      </c>
    </row>
    <row r="5055" spans="1:3" s="79" customFormat="1" ht="179.1" customHeight="1" x14ac:dyDescent="0.2">
      <c r="A5055" s="81">
        <v>20050513</v>
      </c>
      <c r="B5055" s="80" t="s">
        <v>5415</v>
      </c>
      <c r="C5055" s="80" t="s">
        <v>10482</v>
      </c>
    </row>
    <row r="5056" spans="1:3" s="79" customFormat="1" ht="179.1" customHeight="1" x14ac:dyDescent="0.2">
      <c r="A5056" s="81">
        <v>20050522</v>
      </c>
      <c r="B5056" s="80" t="s">
        <v>5416</v>
      </c>
      <c r="C5056" s="80" t="s">
        <v>10483</v>
      </c>
    </row>
    <row r="5057" spans="1:3" s="79" customFormat="1" ht="179.1" customHeight="1" x14ac:dyDescent="0.2">
      <c r="A5057" s="81">
        <v>20050523</v>
      </c>
      <c r="B5057" s="80" t="s">
        <v>5417</v>
      </c>
      <c r="C5057" s="80" t="s">
        <v>10484</v>
      </c>
    </row>
    <row r="5058" spans="1:3" s="79" customFormat="1" ht="169.15" customHeight="1" x14ac:dyDescent="0.2">
      <c r="A5058" s="81">
        <v>20050524</v>
      </c>
      <c r="B5058" s="80" t="s">
        <v>5418</v>
      </c>
      <c r="C5058" s="80" t="s">
        <v>10485</v>
      </c>
    </row>
    <row r="5059" spans="1:3" s="79" customFormat="1" ht="179.1" customHeight="1" x14ac:dyDescent="0.2">
      <c r="A5059" s="81">
        <v>20050525</v>
      </c>
      <c r="B5059" s="80" t="s">
        <v>5419</v>
      </c>
      <c r="C5059" s="80" t="s">
        <v>10485</v>
      </c>
    </row>
    <row r="5060" spans="1:3" s="79" customFormat="1" ht="78.95" customHeight="1" x14ac:dyDescent="0.2">
      <c r="A5060" s="81">
        <v>20050526</v>
      </c>
      <c r="B5060" s="80" t="s">
        <v>5420</v>
      </c>
      <c r="C5060" s="80" t="s">
        <v>10486</v>
      </c>
    </row>
    <row r="5061" spans="1:3" s="79" customFormat="1" ht="19.149999999999999" customHeight="1" x14ac:dyDescent="0.2">
      <c r="A5061" s="81">
        <v>20050527</v>
      </c>
      <c r="B5061" s="80" t="s">
        <v>5421</v>
      </c>
      <c r="C5061" s="80" t="s">
        <v>10487</v>
      </c>
    </row>
    <row r="5062" spans="1:3" s="79" customFormat="1" ht="78.95" customHeight="1" x14ac:dyDescent="0.2">
      <c r="A5062" s="81">
        <v>20050528</v>
      </c>
      <c r="B5062" s="80" t="s">
        <v>5422</v>
      </c>
      <c r="C5062" s="80" t="s">
        <v>10488</v>
      </c>
    </row>
    <row r="5063" spans="1:3" s="79" customFormat="1" ht="249" customHeight="1" x14ac:dyDescent="0.2">
      <c r="A5063" s="81">
        <v>20050529</v>
      </c>
      <c r="B5063" s="80" t="s">
        <v>5423</v>
      </c>
      <c r="C5063" s="80" t="s">
        <v>10489</v>
      </c>
    </row>
    <row r="5064" spans="1:3" s="79" customFormat="1" ht="19.149999999999999" customHeight="1" x14ac:dyDescent="0.2">
      <c r="A5064" s="81">
        <v>20050530</v>
      </c>
      <c r="B5064" s="80" t="s">
        <v>5424</v>
      </c>
      <c r="C5064" s="80" t="s">
        <v>10490</v>
      </c>
    </row>
    <row r="5065" spans="1:3" s="79" customFormat="1" ht="19.149999999999999" customHeight="1" x14ac:dyDescent="0.2">
      <c r="A5065" s="81">
        <v>20050531</v>
      </c>
      <c r="B5065" s="80" t="s">
        <v>5425</v>
      </c>
      <c r="C5065" s="80" t="s">
        <v>10491</v>
      </c>
    </row>
    <row r="5066" spans="1:3" s="79" customFormat="1" ht="19.149999999999999" customHeight="1" x14ac:dyDescent="0.2">
      <c r="A5066" s="81">
        <v>20050532</v>
      </c>
      <c r="B5066" s="80" t="s">
        <v>5426</v>
      </c>
      <c r="C5066" s="80" t="s">
        <v>10492</v>
      </c>
    </row>
    <row r="5067" spans="1:3" s="79" customFormat="1" ht="19.149999999999999" customHeight="1" x14ac:dyDescent="0.2">
      <c r="A5067" s="81">
        <v>20050533</v>
      </c>
      <c r="B5067" s="80" t="s">
        <v>5427</v>
      </c>
      <c r="C5067" s="80" t="s">
        <v>10493</v>
      </c>
    </row>
    <row r="5068" spans="1:3" s="79" customFormat="1" ht="19.149999999999999" customHeight="1" x14ac:dyDescent="0.2">
      <c r="A5068" s="81">
        <v>20050534</v>
      </c>
      <c r="B5068" s="80" t="s">
        <v>5428</v>
      </c>
      <c r="C5068" s="80" t="s">
        <v>10494</v>
      </c>
    </row>
    <row r="5069" spans="1:3" s="79" customFormat="1" ht="19.149999999999999" customHeight="1" x14ac:dyDescent="0.2">
      <c r="A5069" s="81">
        <v>20050535</v>
      </c>
      <c r="B5069" s="80" t="s">
        <v>5429</v>
      </c>
      <c r="C5069" s="80" t="s">
        <v>10495</v>
      </c>
    </row>
    <row r="5070" spans="1:3" s="79" customFormat="1" ht="19.149999999999999" customHeight="1" x14ac:dyDescent="0.2">
      <c r="A5070" s="81">
        <v>20050536</v>
      </c>
      <c r="B5070" s="80" t="s">
        <v>5430</v>
      </c>
      <c r="C5070" s="82" t="s">
        <v>10496</v>
      </c>
    </row>
    <row r="5071" spans="1:3" s="79" customFormat="1" ht="19.149999999999999" customHeight="1" x14ac:dyDescent="0.2">
      <c r="A5071" s="81">
        <v>20050537</v>
      </c>
      <c r="B5071" s="80" t="s">
        <v>5431</v>
      </c>
      <c r="C5071" s="80" t="s">
        <v>10497</v>
      </c>
    </row>
    <row r="5072" spans="1:3" s="79" customFormat="1" ht="19.149999999999999" customHeight="1" x14ac:dyDescent="0.2">
      <c r="A5072" s="81">
        <v>20050538</v>
      </c>
      <c r="B5072" s="80" t="s">
        <v>5432</v>
      </c>
      <c r="C5072" s="80" t="s">
        <v>10498</v>
      </c>
    </row>
    <row r="5073" spans="1:3" s="79" customFormat="1" ht="19.149999999999999" customHeight="1" x14ac:dyDescent="0.2">
      <c r="A5073" s="81">
        <v>20050539</v>
      </c>
      <c r="B5073" s="80" t="s">
        <v>5433</v>
      </c>
      <c r="C5073" s="80" t="s">
        <v>10499</v>
      </c>
    </row>
    <row r="5074" spans="1:3" s="79" customFormat="1" ht="19.149999999999999" customHeight="1" x14ac:dyDescent="0.2">
      <c r="A5074" s="81">
        <v>20050540</v>
      </c>
      <c r="B5074" s="80" t="s">
        <v>5434</v>
      </c>
      <c r="C5074" s="82" t="s">
        <v>10500</v>
      </c>
    </row>
    <row r="5075" spans="1:3" s="79" customFormat="1" ht="19.149999999999999" customHeight="1" x14ac:dyDescent="0.2">
      <c r="A5075" s="81">
        <v>20050541</v>
      </c>
      <c r="B5075" s="80" t="s">
        <v>5435</v>
      </c>
      <c r="C5075" s="80" t="s">
        <v>10501</v>
      </c>
    </row>
    <row r="5076" spans="1:3" s="79" customFormat="1" ht="19.149999999999999" customHeight="1" x14ac:dyDescent="0.2">
      <c r="A5076" s="81">
        <v>20050552</v>
      </c>
      <c r="B5076" s="80" t="s">
        <v>5436</v>
      </c>
      <c r="C5076" s="82" t="s">
        <v>10502</v>
      </c>
    </row>
    <row r="5077" spans="1:3" s="79" customFormat="1" ht="19.149999999999999" customHeight="1" x14ac:dyDescent="0.2">
      <c r="A5077" s="81">
        <v>20050553</v>
      </c>
      <c r="B5077" s="80" t="s">
        <v>5437</v>
      </c>
      <c r="C5077" s="82" t="s">
        <v>10503</v>
      </c>
    </row>
    <row r="5078" spans="1:3" s="79" customFormat="1" ht="19.149999999999999" customHeight="1" x14ac:dyDescent="0.2">
      <c r="A5078" s="81">
        <v>20050554</v>
      </c>
      <c r="B5078" s="80" t="s">
        <v>5438</v>
      </c>
      <c r="C5078" s="82" t="s">
        <v>10504</v>
      </c>
    </row>
    <row r="5079" spans="1:3" s="79" customFormat="1" ht="28.7" customHeight="1" x14ac:dyDescent="0.2">
      <c r="A5079" s="81">
        <v>20050555</v>
      </c>
      <c r="B5079" s="80" t="s">
        <v>5439</v>
      </c>
      <c r="C5079" s="82" t="s">
        <v>11397</v>
      </c>
    </row>
    <row r="5080" spans="1:3" s="79" customFormat="1" ht="19.149999999999999" customHeight="1" x14ac:dyDescent="0.2">
      <c r="A5080" s="81">
        <v>20050556</v>
      </c>
      <c r="B5080" s="80" t="s">
        <v>5445</v>
      </c>
      <c r="C5080" s="80" t="s">
        <v>10505</v>
      </c>
    </row>
    <row r="5081" spans="1:3" s="79" customFormat="1" ht="19.149999999999999" customHeight="1" x14ac:dyDescent="0.2">
      <c r="A5081" s="81">
        <v>20050557</v>
      </c>
      <c r="B5081" s="80" t="s">
        <v>5452</v>
      </c>
      <c r="C5081" s="82" t="s">
        <v>10506</v>
      </c>
    </row>
    <row r="5082" spans="1:3" s="79" customFormat="1" ht="19.149999999999999" customHeight="1" x14ac:dyDescent="0.2">
      <c r="A5082" s="81">
        <v>20050558</v>
      </c>
      <c r="B5082" s="80" t="s">
        <v>5453</v>
      </c>
      <c r="C5082" s="80" t="s">
        <v>10507</v>
      </c>
    </row>
    <row r="5083" spans="1:3" s="79" customFormat="1" ht="28.7" customHeight="1" x14ac:dyDescent="0.2">
      <c r="A5083" s="81">
        <v>20050559</v>
      </c>
      <c r="B5083" s="80" t="s">
        <v>5454</v>
      </c>
      <c r="C5083" s="82" t="s">
        <v>10508</v>
      </c>
    </row>
    <row r="5084" spans="1:3" s="79" customFormat="1" ht="19.149999999999999" customHeight="1" x14ac:dyDescent="0.2">
      <c r="A5084" s="81">
        <v>20050560</v>
      </c>
      <c r="B5084" s="80" t="s">
        <v>5455</v>
      </c>
      <c r="C5084" s="80" t="s">
        <v>10509</v>
      </c>
    </row>
    <row r="5085" spans="1:3" s="79" customFormat="1" ht="49.15" customHeight="1" x14ac:dyDescent="0.2">
      <c r="A5085" s="81">
        <v>20050561</v>
      </c>
      <c r="B5085" s="80" t="s">
        <v>5456</v>
      </c>
      <c r="C5085" s="82" t="s">
        <v>10510</v>
      </c>
    </row>
    <row r="5086" spans="1:3" s="79" customFormat="1" ht="59.1" customHeight="1" x14ac:dyDescent="0.2">
      <c r="A5086" s="81">
        <v>20050562</v>
      </c>
      <c r="B5086" s="80" t="s">
        <v>11691</v>
      </c>
      <c r="C5086" s="81" t="s">
        <v>10511</v>
      </c>
    </row>
    <row r="5087" spans="1:3" s="79" customFormat="1" ht="68.849999999999994" customHeight="1" x14ac:dyDescent="0.2">
      <c r="A5087" s="81">
        <v>20050563</v>
      </c>
      <c r="B5087" s="80" t="s">
        <v>11692</v>
      </c>
      <c r="C5087" s="81" t="s">
        <v>10512</v>
      </c>
    </row>
    <row r="5088" spans="1:3" s="79" customFormat="1" ht="38.85" customHeight="1" x14ac:dyDescent="0.2">
      <c r="A5088" s="81">
        <v>20050564</v>
      </c>
      <c r="B5088" s="80" t="s">
        <v>11693</v>
      </c>
      <c r="C5088" s="81" t="s">
        <v>10513</v>
      </c>
    </row>
    <row r="5089" spans="1:3" s="79" customFormat="1" ht="19.149999999999999" customHeight="1" x14ac:dyDescent="0.2">
      <c r="A5089" s="81">
        <v>20050565</v>
      </c>
      <c r="B5089" s="80" t="s">
        <v>11694</v>
      </c>
      <c r="C5089" s="81" t="s">
        <v>10514</v>
      </c>
    </row>
    <row r="5090" spans="1:3" s="79" customFormat="1" ht="38.85" customHeight="1" x14ac:dyDescent="0.2">
      <c r="A5090" s="81">
        <v>20050566</v>
      </c>
      <c r="B5090" s="80" t="s">
        <v>11695</v>
      </c>
      <c r="C5090" s="81" t="s">
        <v>10515</v>
      </c>
    </row>
    <row r="5091" spans="1:3" s="79" customFormat="1" ht="19.149999999999999" customHeight="1" x14ac:dyDescent="0.2">
      <c r="A5091" s="81">
        <v>20050567</v>
      </c>
      <c r="B5091" s="80" t="s">
        <v>11696</v>
      </c>
      <c r="C5091" s="81" t="s">
        <v>10516</v>
      </c>
    </row>
    <row r="5092" spans="1:3" s="79" customFormat="1" ht="28.7" customHeight="1" x14ac:dyDescent="0.2">
      <c r="A5092" s="81">
        <v>20050568</v>
      </c>
      <c r="B5092" s="80" t="s">
        <v>11697</v>
      </c>
      <c r="C5092" s="81" t="s">
        <v>10517</v>
      </c>
    </row>
    <row r="5093" spans="1:3" s="79" customFormat="1" ht="19.149999999999999" customHeight="1" x14ac:dyDescent="0.2">
      <c r="A5093" s="81">
        <v>20050569</v>
      </c>
      <c r="B5093" s="80" t="s">
        <v>11698</v>
      </c>
      <c r="C5093" s="81" t="s">
        <v>10518</v>
      </c>
    </row>
    <row r="5094" spans="1:3" s="79" customFormat="1" ht="68.849999999999994" customHeight="1" x14ac:dyDescent="0.2">
      <c r="A5094" s="81">
        <v>20050570</v>
      </c>
      <c r="B5094" s="80" t="s">
        <v>11699</v>
      </c>
      <c r="C5094" s="81" t="s">
        <v>10519</v>
      </c>
    </row>
    <row r="5095" spans="1:3" s="79" customFormat="1" ht="198.95" customHeight="1" x14ac:dyDescent="0.2">
      <c r="A5095" s="81">
        <v>20050571</v>
      </c>
      <c r="B5095" s="80" t="s">
        <v>11700</v>
      </c>
      <c r="C5095" s="81" t="s">
        <v>10520</v>
      </c>
    </row>
    <row r="5096" spans="1:3" s="79" customFormat="1" ht="139.15" customHeight="1" x14ac:dyDescent="0.2">
      <c r="A5096" s="81">
        <v>20050572</v>
      </c>
      <c r="B5096" s="80" t="s">
        <v>11398</v>
      </c>
      <c r="C5096" s="82" t="s">
        <v>10521</v>
      </c>
    </row>
    <row r="5097" spans="1:3" s="79" customFormat="1" ht="198.95" customHeight="1" x14ac:dyDescent="0.2">
      <c r="A5097" s="81">
        <v>20050582</v>
      </c>
      <c r="B5097" s="80" t="s">
        <v>5440</v>
      </c>
      <c r="C5097" s="82" t="s">
        <v>10522</v>
      </c>
    </row>
    <row r="5098" spans="1:3" s="79" customFormat="1" ht="209.1" customHeight="1" x14ac:dyDescent="0.2">
      <c r="A5098" s="81">
        <v>20050583</v>
      </c>
      <c r="B5098" s="80" t="s">
        <v>5442</v>
      </c>
      <c r="C5098" s="80" t="s">
        <v>10523</v>
      </c>
    </row>
    <row r="5099" spans="1:3" s="79" customFormat="1" ht="198.95" customHeight="1" x14ac:dyDescent="0.2">
      <c r="A5099" s="81">
        <v>20050584</v>
      </c>
      <c r="B5099" s="80" t="s">
        <v>5443</v>
      </c>
      <c r="C5099" s="82" t="s">
        <v>10524</v>
      </c>
    </row>
    <row r="5100" spans="1:3" s="79" customFormat="1" ht="189.4" customHeight="1" x14ac:dyDescent="0.2">
      <c r="A5100" s="81">
        <v>20050585</v>
      </c>
      <c r="B5100" s="80" t="s">
        <v>5444</v>
      </c>
      <c r="C5100" s="81" t="s">
        <v>10525</v>
      </c>
    </row>
    <row r="5101" spans="1:3" s="79" customFormat="1" ht="198.95" customHeight="1" x14ac:dyDescent="0.2">
      <c r="A5101" s="81">
        <v>20050586</v>
      </c>
      <c r="B5101" s="80" t="s">
        <v>5446</v>
      </c>
      <c r="C5101" s="80" t="s">
        <v>10526</v>
      </c>
    </row>
    <row r="5102" spans="1:3" s="79" customFormat="1" ht="158.85" customHeight="1" x14ac:dyDescent="0.2">
      <c r="A5102" s="81">
        <v>20050587</v>
      </c>
      <c r="B5102" s="80" t="s">
        <v>5447</v>
      </c>
      <c r="C5102" s="80" t="s">
        <v>10527</v>
      </c>
    </row>
    <row r="5103" spans="1:3" s="79" customFormat="1" ht="149.25" customHeight="1" x14ac:dyDescent="0.2">
      <c r="A5103" s="81">
        <v>20050588</v>
      </c>
      <c r="B5103" s="80" t="s">
        <v>5492</v>
      </c>
      <c r="C5103" s="81" t="s">
        <v>10528</v>
      </c>
    </row>
    <row r="5104" spans="1:3" s="79" customFormat="1" ht="139.15" customHeight="1" x14ac:dyDescent="0.2">
      <c r="A5104" s="81">
        <v>20050589</v>
      </c>
      <c r="B5104" s="80" t="s">
        <v>5493</v>
      </c>
      <c r="C5104" s="80" t="s">
        <v>5493</v>
      </c>
    </row>
    <row r="5105" spans="1:3" s="79" customFormat="1" ht="68.849999999999994" customHeight="1" x14ac:dyDescent="0.2">
      <c r="A5105" s="81">
        <v>20050590</v>
      </c>
      <c r="B5105" s="80" t="s">
        <v>5494</v>
      </c>
      <c r="C5105" s="80" t="s">
        <v>10529</v>
      </c>
    </row>
    <row r="5106" spans="1:3" s="79" customFormat="1" ht="38.85" customHeight="1" x14ac:dyDescent="0.2">
      <c r="A5106" s="81">
        <v>20050591</v>
      </c>
      <c r="B5106" s="80" t="s">
        <v>5495</v>
      </c>
      <c r="C5106" s="80" t="s">
        <v>10530</v>
      </c>
    </row>
    <row r="5107" spans="1:3" s="79" customFormat="1" ht="19.149999999999999" customHeight="1" x14ac:dyDescent="0.2">
      <c r="A5107" s="81">
        <v>20050592</v>
      </c>
      <c r="B5107" s="80" t="s">
        <v>5441</v>
      </c>
      <c r="C5107" s="82" t="s">
        <v>10531</v>
      </c>
    </row>
    <row r="5108" spans="1:3" s="79" customFormat="1" ht="38.85" customHeight="1" x14ac:dyDescent="0.2">
      <c r="A5108" s="81">
        <v>20050593</v>
      </c>
      <c r="B5108" s="80" t="s">
        <v>5448</v>
      </c>
      <c r="C5108" s="80" t="s">
        <v>10532</v>
      </c>
    </row>
    <row r="5109" spans="1:3" s="79" customFormat="1" ht="59.1" customHeight="1" x14ac:dyDescent="0.2">
      <c r="A5109" s="81">
        <v>20050594</v>
      </c>
      <c r="B5109" s="80" t="s">
        <v>5449</v>
      </c>
      <c r="C5109" s="81" t="s">
        <v>10533</v>
      </c>
    </row>
    <row r="5110" spans="1:3" s="79" customFormat="1" ht="19.149999999999999" customHeight="1" x14ac:dyDescent="0.2">
      <c r="A5110" s="81">
        <v>20050595</v>
      </c>
      <c r="B5110" s="80" t="s">
        <v>5450</v>
      </c>
      <c r="C5110" s="81" t="s">
        <v>10534</v>
      </c>
    </row>
    <row r="5111" spans="1:3" s="79" customFormat="1" ht="19.149999999999999" customHeight="1" x14ac:dyDescent="0.2">
      <c r="A5111" s="81">
        <v>20050596</v>
      </c>
      <c r="B5111" s="80" t="s">
        <v>5451</v>
      </c>
      <c r="C5111" s="81" t="s">
        <v>10535</v>
      </c>
    </row>
    <row r="5112" spans="1:3" s="79" customFormat="1" ht="99.2" customHeight="1" x14ac:dyDescent="0.2">
      <c r="A5112" s="81">
        <v>20050597</v>
      </c>
      <c r="B5112" s="80" t="s">
        <v>5541</v>
      </c>
      <c r="C5112" s="82" t="s">
        <v>10536</v>
      </c>
    </row>
    <row r="5113" spans="1:3" s="79" customFormat="1" ht="19.149999999999999" customHeight="1" x14ac:dyDescent="0.2">
      <c r="A5113" s="81">
        <v>20050598</v>
      </c>
      <c r="B5113" s="80" t="s">
        <v>5548</v>
      </c>
      <c r="C5113" s="80" t="s">
        <v>5548</v>
      </c>
    </row>
    <row r="5114" spans="1:3" s="79" customFormat="1" ht="19.149999999999999" customHeight="1" x14ac:dyDescent="0.2">
      <c r="A5114" s="81">
        <v>20050602</v>
      </c>
      <c r="B5114" s="80" t="s">
        <v>5457</v>
      </c>
      <c r="C5114" s="82" t="s">
        <v>10537</v>
      </c>
    </row>
    <row r="5115" spans="1:3" s="79" customFormat="1" ht="19.149999999999999" customHeight="1" x14ac:dyDescent="0.2">
      <c r="A5115" s="81">
        <v>20050603</v>
      </c>
      <c r="B5115" s="80" t="s">
        <v>5458</v>
      </c>
      <c r="C5115" s="80" t="s">
        <v>11050</v>
      </c>
    </row>
    <row r="5116" spans="1:3" s="79" customFormat="1" ht="49.15" customHeight="1" x14ac:dyDescent="0.2">
      <c r="A5116" s="81">
        <v>20050604</v>
      </c>
      <c r="B5116" s="80" t="s">
        <v>5459</v>
      </c>
      <c r="C5116" s="82" t="s">
        <v>10538</v>
      </c>
    </row>
    <row r="5117" spans="1:3" s="79" customFormat="1" ht="19.149999999999999" customHeight="1" x14ac:dyDescent="0.2">
      <c r="A5117" s="81">
        <v>20050605</v>
      </c>
      <c r="B5117" s="80" t="s">
        <v>5460</v>
      </c>
      <c r="C5117" s="80" t="s">
        <v>10539</v>
      </c>
    </row>
    <row r="5118" spans="1:3" s="79" customFormat="1" ht="59.1" customHeight="1" x14ac:dyDescent="0.2">
      <c r="A5118" s="81">
        <v>20050606</v>
      </c>
      <c r="B5118" s="80" t="s">
        <v>5461</v>
      </c>
      <c r="C5118" s="80" t="s">
        <v>10540</v>
      </c>
    </row>
    <row r="5119" spans="1:3" s="79" customFormat="1" ht="59.1" customHeight="1" x14ac:dyDescent="0.2">
      <c r="A5119" s="81">
        <v>20050607</v>
      </c>
      <c r="B5119" s="80" t="s">
        <v>5462</v>
      </c>
      <c r="C5119" s="80" t="s">
        <v>10541</v>
      </c>
    </row>
    <row r="5120" spans="1:3" s="79" customFormat="1" ht="59.1" customHeight="1" x14ac:dyDescent="0.2">
      <c r="A5120" s="81">
        <v>20050608</v>
      </c>
      <c r="B5120" s="80" t="s">
        <v>5463</v>
      </c>
      <c r="C5120" s="82" t="s">
        <v>10542</v>
      </c>
    </row>
    <row r="5121" spans="1:3" s="79" customFormat="1" ht="49.15" customHeight="1" x14ac:dyDescent="0.2">
      <c r="A5121" s="81">
        <v>20050609</v>
      </c>
      <c r="B5121" s="80" t="s">
        <v>5464</v>
      </c>
      <c r="C5121" s="80" t="s">
        <v>10543</v>
      </c>
    </row>
    <row r="5122" spans="1:3" s="79" customFormat="1" ht="19.149999999999999" customHeight="1" x14ac:dyDescent="0.2">
      <c r="A5122" s="81">
        <v>20050610</v>
      </c>
      <c r="B5122" s="80" t="s">
        <v>5465</v>
      </c>
      <c r="C5122" s="80" t="s">
        <v>10544</v>
      </c>
    </row>
    <row r="5123" spans="1:3" s="79" customFormat="1" ht="49.15" customHeight="1" x14ac:dyDescent="0.2">
      <c r="A5123" s="81">
        <v>20050611</v>
      </c>
      <c r="B5123" s="80" t="s">
        <v>5466</v>
      </c>
      <c r="C5123" s="80" t="s">
        <v>10545</v>
      </c>
    </row>
    <row r="5124" spans="1:3" s="79" customFormat="1" ht="19.149999999999999" customHeight="1" x14ac:dyDescent="0.2">
      <c r="A5124" s="81">
        <v>20050612</v>
      </c>
      <c r="B5124" s="80" t="s">
        <v>5467</v>
      </c>
      <c r="C5124" s="80" t="s">
        <v>10546</v>
      </c>
    </row>
    <row r="5125" spans="1:3" s="79" customFormat="1" ht="28.7" customHeight="1" x14ac:dyDescent="0.2">
      <c r="A5125" s="81">
        <v>20050613</v>
      </c>
      <c r="B5125" s="80" t="s">
        <v>5468</v>
      </c>
      <c r="C5125" s="80" t="s">
        <v>10547</v>
      </c>
    </row>
    <row r="5126" spans="1:3" s="79" customFormat="1" ht="19.149999999999999" customHeight="1" x14ac:dyDescent="0.2">
      <c r="A5126" s="81">
        <v>20050614</v>
      </c>
      <c r="B5126" s="80" t="s">
        <v>5469</v>
      </c>
      <c r="C5126" s="80" t="s">
        <v>10548</v>
      </c>
    </row>
    <row r="5127" spans="1:3" s="79" customFormat="1" ht="19.149999999999999" customHeight="1" x14ac:dyDescent="0.2">
      <c r="A5127" s="81">
        <v>20050615</v>
      </c>
      <c r="B5127" s="80" t="s">
        <v>5470</v>
      </c>
      <c r="C5127" s="80" t="s">
        <v>10549</v>
      </c>
    </row>
    <row r="5128" spans="1:3" s="79" customFormat="1" ht="19.149999999999999" customHeight="1" x14ac:dyDescent="0.2">
      <c r="A5128" s="81">
        <v>20050616</v>
      </c>
      <c r="B5128" s="80" t="s">
        <v>5471</v>
      </c>
      <c r="C5128" s="80" t="s">
        <v>10550</v>
      </c>
    </row>
    <row r="5129" spans="1:3" s="79" customFormat="1" ht="49.15" customHeight="1" x14ac:dyDescent="0.2">
      <c r="A5129" s="81">
        <v>20050617</v>
      </c>
      <c r="B5129" s="80" t="s">
        <v>5472</v>
      </c>
      <c r="C5129" s="80" t="s">
        <v>10551</v>
      </c>
    </row>
    <row r="5130" spans="1:3" s="79" customFormat="1" ht="19.149999999999999" customHeight="1" x14ac:dyDescent="0.2">
      <c r="A5130" s="81">
        <v>20050619</v>
      </c>
      <c r="B5130" s="80" t="s">
        <v>5473</v>
      </c>
      <c r="C5130" s="80" t="s">
        <v>10552</v>
      </c>
    </row>
    <row r="5131" spans="1:3" s="79" customFormat="1" ht="19.149999999999999" customHeight="1" x14ac:dyDescent="0.2">
      <c r="A5131" s="81">
        <v>20050620</v>
      </c>
      <c r="B5131" s="80" t="s">
        <v>5474</v>
      </c>
      <c r="C5131" s="80" t="s">
        <v>11051</v>
      </c>
    </row>
    <row r="5132" spans="1:3" s="79" customFormat="1" ht="19.149999999999999" customHeight="1" x14ac:dyDescent="0.2">
      <c r="A5132" s="81">
        <v>20050621</v>
      </c>
      <c r="B5132" s="80" t="s">
        <v>5475</v>
      </c>
      <c r="C5132" s="80" t="s">
        <v>10553</v>
      </c>
    </row>
    <row r="5133" spans="1:3" s="79" customFormat="1" ht="19.149999999999999" customHeight="1" x14ac:dyDescent="0.2">
      <c r="A5133" s="81">
        <v>20050622</v>
      </c>
      <c r="B5133" s="80" t="s">
        <v>5476</v>
      </c>
      <c r="C5133" s="80" t="s">
        <v>10554</v>
      </c>
    </row>
    <row r="5134" spans="1:3" s="79" customFormat="1" ht="19.149999999999999" customHeight="1" x14ac:dyDescent="0.2">
      <c r="A5134" s="81">
        <v>20050623</v>
      </c>
      <c r="B5134" s="80" t="s">
        <v>5477</v>
      </c>
      <c r="C5134" s="80" t="s">
        <v>11052</v>
      </c>
    </row>
    <row r="5135" spans="1:3" s="79" customFormat="1" ht="19.149999999999999" customHeight="1" x14ac:dyDescent="0.2">
      <c r="A5135" s="81">
        <v>20050624</v>
      </c>
      <c r="B5135" s="80" t="s">
        <v>5478</v>
      </c>
      <c r="C5135" s="82" t="s">
        <v>10555</v>
      </c>
    </row>
    <row r="5136" spans="1:3" s="79" customFormat="1" ht="19.149999999999999" customHeight="1" x14ac:dyDescent="0.2">
      <c r="A5136" s="81">
        <v>20050625</v>
      </c>
      <c r="B5136" s="80" t="s">
        <v>5479</v>
      </c>
      <c r="C5136" s="82" t="s">
        <v>10556</v>
      </c>
    </row>
    <row r="5137" spans="1:3" s="79" customFormat="1" ht="19.149999999999999" customHeight="1" x14ac:dyDescent="0.2">
      <c r="A5137" s="81">
        <v>20050626</v>
      </c>
      <c r="B5137" s="80" t="s">
        <v>5480</v>
      </c>
      <c r="C5137" s="82" t="s">
        <v>10557</v>
      </c>
    </row>
    <row r="5138" spans="1:3" s="79" customFormat="1" ht="19.149999999999999" customHeight="1" x14ac:dyDescent="0.2">
      <c r="A5138" s="81">
        <v>20050628</v>
      </c>
      <c r="B5138" s="80" t="s">
        <v>5481</v>
      </c>
      <c r="C5138" s="80" t="s">
        <v>10558</v>
      </c>
    </row>
    <row r="5139" spans="1:3" s="79" customFormat="1" ht="19.149999999999999" customHeight="1" x14ac:dyDescent="0.2">
      <c r="A5139" s="81">
        <v>20050629</v>
      </c>
      <c r="B5139" s="80" t="s">
        <v>5482</v>
      </c>
      <c r="C5139" s="80" t="s">
        <v>10559</v>
      </c>
    </row>
    <row r="5140" spans="1:3" s="79" customFormat="1" ht="19.149999999999999" customHeight="1" x14ac:dyDescent="0.2">
      <c r="A5140" s="81">
        <v>20050630</v>
      </c>
      <c r="B5140" s="80" t="s">
        <v>5483</v>
      </c>
      <c r="C5140" s="80" t="s">
        <v>10560</v>
      </c>
    </row>
    <row r="5141" spans="1:3" s="79" customFormat="1" ht="19.149999999999999" customHeight="1" x14ac:dyDescent="0.2">
      <c r="A5141" s="81">
        <v>20050631</v>
      </c>
      <c r="B5141" s="80" t="s">
        <v>5484</v>
      </c>
      <c r="C5141" s="80" t="s">
        <v>10561</v>
      </c>
    </row>
    <row r="5142" spans="1:3" s="79" customFormat="1" ht="19.149999999999999" customHeight="1" x14ac:dyDescent="0.2">
      <c r="A5142" s="81">
        <v>20050632</v>
      </c>
      <c r="B5142" s="80" t="s">
        <v>5485</v>
      </c>
      <c r="C5142" s="82" t="s">
        <v>10562</v>
      </c>
    </row>
    <row r="5143" spans="1:3" s="79" customFormat="1" ht="19.149999999999999" customHeight="1" x14ac:dyDescent="0.2">
      <c r="A5143" s="81">
        <v>20050633</v>
      </c>
      <c r="B5143" s="80" t="s">
        <v>5486</v>
      </c>
      <c r="C5143" s="82" t="s">
        <v>10563</v>
      </c>
    </row>
    <row r="5144" spans="1:3" s="79" customFormat="1" ht="38.85" customHeight="1" x14ac:dyDescent="0.2">
      <c r="A5144" s="81">
        <v>20050634</v>
      </c>
      <c r="B5144" s="80" t="s">
        <v>5487</v>
      </c>
      <c r="C5144" s="80" t="s">
        <v>10564</v>
      </c>
    </row>
    <row r="5145" spans="1:3" s="79" customFormat="1" ht="38.85" customHeight="1" x14ac:dyDescent="0.2">
      <c r="A5145" s="81">
        <v>20050635</v>
      </c>
      <c r="B5145" s="80" t="s">
        <v>5488</v>
      </c>
      <c r="C5145" s="80" t="s">
        <v>10565</v>
      </c>
    </row>
    <row r="5146" spans="1:3" s="79" customFormat="1" ht="38.85" customHeight="1" x14ac:dyDescent="0.2">
      <c r="A5146" s="81">
        <v>20050636</v>
      </c>
      <c r="B5146" s="80" t="s">
        <v>5489</v>
      </c>
      <c r="C5146" s="82" t="s">
        <v>10566</v>
      </c>
    </row>
    <row r="5147" spans="1:3" s="79" customFormat="1" ht="19.149999999999999" customHeight="1" x14ac:dyDescent="0.2">
      <c r="A5147" s="81">
        <v>20050637</v>
      </c>
      <c r="B5147" s="80" t="s">
        <v>5490</v>
      </c>
      <c r="C5147" s="82" t="s">
        <v>10567</v>
      </c>
    </row>
    <row r="5148" spans="1:3" s="79" customFormat="1" ht="19.149999999999999" customHeight="1" x14ac:dyDescent="0.2">
      <c r="A5148" s="81">
        <v>20050638</v>
      </c>
      <c r="B5148" s="80" t="s">
        <v>5491</v>
      </c>
      <c r="C5148" s="80" t="s">
        <v>11053</v>
      </c>
    </row>
    <row r="5149" spans="1:3" s="79" customFormat="1" ht="19.149999999999999" customHeight="1" x14ac:dyDescent="0.2">
      <c r="A5149" s="81">
        <v>20050639</v>
      </c>
      <c r="B5149" s="80" t="s">
        <v>5542</v>
      </c>
      <c r="C5149" s="80" t="s">
        <v>10568</v>
      </c>
    </row>
    <row r="5150" spans="1:3" s="79" customFormat="1" ht="19.149999999999999" customHeight="1" x14ac:dyDescent="0.2">
      <c r="A5150" s="81">
        <v>20050642</v>
      </c>
      <c r="B5150" s="80" t="s">
        <v>5496</v>
      </c>
      <c r="C5150" s="80" t="s">
        <v>10569</v>
      </c>
    </row>
    <row r="5151" spans="1:3" s="79" customFormat="1" ht="28.7" customHeight="1" x14ac:dyDescent="0.2">
      <c r="A5151" s="81">
        <v>20050643</v>
      </c>
      <c r="B5151" s="80" t="s">
        <v>5497</v>
      </c>
      <c r="C5151" s="80" t="s">
        <v>10570</v>
      </c>
    </row>
    <row r="5152" spans="1:3" s="79" customFormat="1" ht="28.7" customHeight="1" x14ac:dyDescent="0.2">
      <c r="A5152" s="81">
        <v>20050644</v>
      </c>
      <c r="B5152" s="80" t="s">
        <v>5498</v>
      </c>
      <c r="C5152" s="80" t="s">
        <v>10571</v>
      </c>
    </row>
    <row r="5153" spans="1:3" s="79" customFormat="1" ht="19.149999999999999" customHeight="1" x14ac:dyDescent="0.2">
      <c r="A5153" s="81">
        <v>20050645</v>
      </c>
      <c r="B5153" s="80" t="s">
        <v>5499</v>
      </c>
      <c r="C5153" s="80" t="s">
        <v>10572</v>
      </c>
    </row>
    <row r="5154" spans="1:3" s="79" customFormat="1" ht="19.149999999999999" customHeight="1" x14ac:dyDescent="0.2">
      <c r="A5154" s="81">
        <v>20050646</v>
      </c>
      <c r="B5154" s="80" t="s">
        <v>5500</v>
      </c>
      <c r="C5154" s="80" t="s">
        <v>10573</v>
      </c>
    </row>
    <row r="5155" spans="1:3" s="79" customFormat="1" ht="38.85" customHeight="1" x14ac:dyDescent="0.2">
      <c r="A5155" s="81">
        <v>20050647</v>
      </c>
      <c r="B5155" s="80" t="s">
        <v>5501</v>
      </c>
      <c r="C5155" s="80" t="s">
        <v>10574</v>
      </c>
    </row>
    <row r="5156" spans="1:3" s="79" customFormat="1" ht="28.7" customHeight="1" x14ac:dyDescent="0.2">
      <c r="A5156" s="81">
        <v>20050648</v>
      </c>
      <c r="B5156" s="80" t="s">
        <v>5502</v>
      </c>
      <c r="C5156" s="80" t="s">
        <v>10575</v>
      </c>
    </row>
    <row r="5157" spans="1:3" s="79" customFormat="1" ht="19.149999999999999" customHeight="1" x14ac:dyDescent="0.2">
      <c r="A5157" s="81">
        <v>20050649</v>
      </c>
      <c r="B5157" s="80" t="s">
        <v>5503</v>
      </c>
      <c r="C5157" s="80" t="s">
        <v>10576</v>
      </c>
    </row>
    <row r="5158" spans="1:3" s="79" customFormat="1" ht="19.149999999999999" customHeight="1" x14ac:dyDescent="0.2">
      <c r="A5158" s="81">
        <v>20050650</v>
      </c>
      <c r="B5158" s="80" t="s">
        <v>5504</v>
      </c>
      <c r="C5158" s="80" t="s">
        <v>10577</v>
      </c>
    </row>
    <row r="5159" spans="1:3" s="79" customFormat="1" ht="19.149999999999999" customHeight="1" x14ac:dyDescent="0.2">
      <c r="A5159" s="81">
        <v>20050651</v>
      </c>
      <c r="B5159" s="80" t="s">
        <v>5505</v>
      </c>
      <c r="C5159" s="80" t="s">
        <v>10578</v>
      </c>
    </row>
    <row r="5160" spans="1:3" s="79" customFormat="1" ht="19.149999999999999" customHeight="1" x14ac:dyDescent="0.2">
      <c r="A5160" s="81">
        <v>20050652</v>
      </c>
      <c r="B5160" s="80" t="s">
        <v>5506</v>
      </c>
      <c r="C5160" s="80" t="s">
        <v>10579</v>
      </c>
    </row>
    <row r="5161" spans="1:3" s="79" customFormat="1" ht="19.149999999999999" customHeight="1" x14ac:dyDescent="0.2">
      <c r="A5161" s="81">
        <v>20050653</v>
      </c>
      <c r="B5161" s="80" t="s">
        <v>5507</v>
      </c>
      <c r="C5161" s="80" t="s">
        <v>10580</v>
      </c>
    </row>
    <row r="5162" spans="1:3" s="79" customFormat="1" ht="19.149999999999999" customHeight="1" x14ac:dyDescent="0.2">
      <c r="A5162" s="81">
        <v>20050654</v>
      </c>
      <c r="B5162" s="80" t="s">
        <v>5508</v>
      </c>
      <c r="C5162" s="80" t="s">
        <v>10581</v>
      </c>
    </row>
    <row r="5163" spans="1:3" s="79" customFormat="1" ht="19.149999999999999" customHeight="1" x14ac:dyDescent="0.2">
      <c r="A5163" s="81">
        <v>20050655</v>
      </c>
      <c r="B5163" s="80" t="s">
        <v>5509</v>
      </c>
      <c r="C5163" s="80" t="s">
        <v>10582</v>
      </c>
    </row>
    <row r="5164" spans="1:3" s="79" customFormat="1" ht="19.149999999999999" customHeight="1" x14ac:dyDescent="0.2">
      <c r="A5164" s="81">
        <v>20050656</v>
      </c>
      <c r="B5164" s="80" t="s">
        <v>5510</v>
      </c>
      <c r="C5164" s="80" t="s">
        <v>10583</v>
      </c>
    </row>
    <row r="5165" spans="1:3" s="79" customFormat="1" ht="19.149999999999999" customHeight="1" x14ac:dyDescent="0.2">
      <c r="A5165" s="81">
        <v>20050657</v>
      </c>
      <c r="B5165" s="80" t="s">
        <v>5511</v>
      </c>
      <c r="C5165" s="80" t="s">
        <v>10584</v>
      </c>
    </row>
    <row r="5166" spans="1:3" s="79" customFormat="1" ht="19.149999999999999" customHeight="1" x14ac:dyDescent="0.2">
      <c r="A5166" s="81">
        <v>20050658</v>
      </c>
      <c r="B5166" s="80" t="s">
        <v>5512</v>
      </c>
      <c r="C5166" s="80" t="s">
        <v>10585</v>
      </c>
    </row>
    <row r="5167" spans="1:3" s="79" customFormat="1" ht="19.149999999999999" customHeight="1" x14ac:dyDescent="0.2">
      <c r="A5167" s="81">
        <v>20050659</v>
      </c>
      <c r="B5167" s="80" t="s">
        <v>5513</v>
      </c>
      <c r="C5167" s="80" t="s">
        <v>10586</v>
      </c>
    </row>
    <row r="5168" spans="1:3" s="79" customFormat="1" ht="19.149999999999999" customHeight="1" x14ac:dyDescent="0.2">
      <c r="A5168" s="81">
        <v>20050660</v>
      </c>
      <c r="B5168" s="80" t="s">
        <v>5514</v>
      </c>
      <c r="C5168" s="80" t="s">
        <v>10587</v>
      </c>
    </row>
    <row r="5169" spans="1:3" s="79" customFormat="1" ht="19.149999999999999" customHeight="1" x14ac:dyDescent="0.2">
      <c r="A5169" s="81">
        <v>20050661</v>
      </c>
      <c r="B5169" s="80" t="s">
        <v>5515</v>
      </c>
      <c r="C5169" s="80" t="s">
        <v>10588</v>
      </c>
    </row>
    <row r="5170" spans="1:3" s="79" customFormat="1" ht="19.149999999999999" customHeight="1" x14ac:dyDescent="0.2">
      <c r="A5170" s="81">
        <v>20050662</v>
      </c>
      <c r="B5170" s="80" t="s">
        <v>5516</v>
      </c>
      <c r="C5170" s="80" t="s">
        <v>10589</v>
      </c>
    </row>
    <row r="5171" spans="1:3" s="79" customFormat="1" ht="19.149999999999999" customHeight="1" x14ac:dyDescent="0.2">
      <c r="A5171" s="81">
        <v>20050663</v>
      </c>
      <c r="B5171" s="80" t="s">
        <v>5517</v>
      </c>
      <c r="C5171" s="80" t="s">
        <v>10590</v>
      </c>
    </row>
    <row r="5172" spans="1:3" s="79" customFormat="1" ht="19.149999999999999" customHeight="1" x14ac:dyDescent="0.2">
      <c r="A5172" s="81">
        <v>20050664</v>
      </c>
      <c r="B5172" s="80" t="s">
        <v>5518</v>
      </c>
      <c r="C5172" s="80" t="s">
        <v>10591</v>
      </c>
    </row>
    <row r="5173" spans="1:3" s="79" customFormat="1" ht="19.149999999999999" customHeight="1" x14ac:dyDescent="0.2">
      <c r="A5173" s="81">
        <v>20050665</v>
      </c>
      <c r="B5173" s="80" t="s">
        <v>5519</v>
      </c>
      <c r="C5173" s="80" t="s">
        <v>10592</v>
      </c>
    </row>
    <row r="5174" spans="1:3" s="79" customFormat="1" ht="19.149999999999999" customHeight="1" x14ac:dyDescent="0.2">
      <c r="A5174" s="81">
        <v>20050666</v>
      </c>
      <c r="B5174" s="80" t="s">
        <v>5520</v>
      </c>
      <c r="C5174" s="80" t="s">
        <v>5520</v>
      </c>
    </row>
    <row r="5175" spans="1:3" s="79" customFormat="1" ht="19.149999999999999" customHeight="1" x14ac:dyDescent="0.2">
      <c r="A5175" s="81">
        <v>20050667</v>
      </c>
      <c r="B5175" s="80" t="s">
        <v>5521</v>
      </c>
      <c r="C5175" s="80" t="s">
        <v>10593</v>
      </c>
    </row>
    <row r="5176" spans="1:3" s="79" customFormat="1" ht="19.149999999999999" customHeight="1" x14ac:dyDescent="0.2">
      <c r="A5176" s="81">
        <v>20050668</v>
      </c>
      <c r="B5176" s="80" t="s">
        <v>5522</v>
      </c>
      <c r="C5176" s="80" t="s">
        <v>10594</v>
      </c>
    </row>
    <row r="5177" spans="1:3" s="79" customFormat="1" ht="19.149999999999999" customHeight="1" x14ac:dyDescent="0.2">
      <c r="A5177" s="81">
        <v>20050669</v>
      </c>
      <c r="B5177" s="80" t="s">
        <v>5523</v>
      </c>
      <c r="C5177" s="80" t="s">
        <v>10595</v>
      </c>
    </row>
    <row r="5178" spans="1:3" s="79" customFormat="1" ht="19.149999999999999" customHeight="1" x14ac:dyDescent="0.2">
      <c r="A5178" s="81">
        <v>20050670</v>
      </c>
      <c r="B5178" s="80" t="s">
        <v>5524</v>
      </c>
      <c r="C5178" s="80" t="s">
        <v>10596</v>
      </c>
    </row>
    <row r="5179" spans="1:3" s="79" customFormat="1" ht="19.149999999999999" customHeight="1" x14ac:dyDescent="0.2">
      <c r="A5179" s="81">
        <v>20050672</v>
      </c>
      <c r="B5179" s="80" t="s">
        <v>5525</v>
      </c>
      <c r="C5179" s="80" t="s">
        <v>5525</v>
      </c>
    </row>
    <row r="5180" spans="1:3" s="79" customFormat="1" ht="19.149999999999999" customHeight="1" x14ac:dyDescent="0.2">
      <c r="A5180" s="81">
        <v>20050673</v>
      </c>
      <c r="B5180" s="80" t="s">
        <v>5526</v>
      </c>
      <c r="C5180" s="80" t="s">
        <v>10597</v>
      </c>
    </row>
    <row r="5181" spans="1:3" s="79" customFormat="1" ht="19.149999999999999" customHeight="1" x14ac:dyDescent="0.2">
      <c r="A5181" s="81">
        <v>20050674</v>
      </c>
      <c r="B5181" s="80" t="s">
        <v>5527</v>
      </c>
      <c r="C5181" s="80" t="s">
        <v>10598</v>
      </c>
    </row>
    <row r="5182" spans="1:3" s="79" customFormat="1" ht="19.149999999999999" customHeight="1" x14ac:dyDescent="0.2">
      <c r="A5182" s="81">
        <v>20050675</v>
      </c>
      <c r="B5182" s="80" t="s">
        <v>5528</v>
      </c>
      <c r="C5182" s="80" t="s">
        <v>10599</v>
      </c>
    </row>
    <row r="5183" spans="1:3" s="79" customFormat="1" ht="19.149999999999999" customHeight="1" x14ac:dyDescent="0.2">
      <c r="A5183" s="81">
        <v>20050676</v>
      </c>
      <c r="B5183" s="80" t="s">
        <v>5529</v>
      </c>
      <c r="C5183" s="80" t="s">
        <v>10600</v>
      </c>
    </row>
    <row r="5184" spans="1:3" s="79" customFormat="1" ht="19.149999999999999" customHeight="1" x14ac:dyDescent="0.2">
      <c r="A5184" s="81">
        <v>20050677</v>
      </c>
      <c r="B5184" s="80" t="s">
        <v>5530</v>
      </c>
      <c r="C5184" s="80" t="s">
        <v>10601</v>
      </c>
    </row>
    <row r="5185" spans="1:3" s="79" customFormat="1" ht="19.149999999999999" customHeight="1" x14ac:dyDescent="0.2">
      <c r="A5185" s="81">
        <v>20050678</v>
      </c>
      <c r="B5185" s="80" t="s">
        <v>5531</v>
      </c>
      <c r="C5185" s="80" t="s">
        <v>10602</v>
      </c>
    </row>
    <row r="5186" spans="1:3" s="79" customFormat="1" ht="19.149999999999999" customHeight="1" x14ac:dyDescent="0.2">
      <c r="A5186" s="81">
        <v>20050679</v>
      </c>
      <c r="B5186" s="80" t="s">
        <v>5532</v>
      </c>
      <c r="C5186" s="80" t="s">
        <v>10603</v>
      </c>
    </row>
    <row r="5187" spans="1:3" s="79" customFormat="1" ht="19.149999999999999" customHeight="1" x14ac:dyDescent="0.2">
      <c r="A5187" s="81">
        <v>20050680</v>
      </c>
      <c r="B5187" s="80" t="s">
        <v>5533</v>
      </c>
      <c r="C5187" s="80" t="s">
        <v>10604</v>
      </c>
    </row>
    <row r="5188" spans="1:3" s="79" customFormat="1" ht="19.149999999999999" customHeight="1" x14ac:dyDescent="0.2">
      <c r="A5188" s="81">
        <v>20050681</v>
      </c>
      <c r="B5188" s="80" t="s">
        <v>5534</v>
      </c>
      <c r="C5188" s="80" t="s">
        <v>10605</v>
      </c>
    </row>
    <row r="5189" spans="1:3" s="79" customFormat="1" ht="19.149999999999999" customHeight="1" x14ac:dyDescent="0.2">
      <c r="A5189" s="81">
        <v>20050682</v>
      </c>
      <c r="B5189" s="80" t="s">
        <v>5535</v>
      </c>
      <c r="C5189" s="80" t="s">
        <v>10606</v>
      </c>
    </row>
    <row r="5190" spans="1:3" s="79" customFormat="1" ht="19.149999999999999" customHeight="1" x14ac:dyDescent="0.2">
      <c r="A5190" s="81">
        <v>20050683</v>
      </c>
      <c r="B5190" s="80" t="s">
        <v>5536</v>
      </c>
      <c r="C5190" s="80" t="s">
        <v>10607</v>
      </c>
    </row>
    <row r="5191" spans="1:3" s="79" customFormat="1" ht="19.149999999999999" customHeight="1" x14ac:dyDescent="0.2">
      <c r="A5191" s="81">
        <v>20050684</v>
      </c>
      <c r="B5191" s="80" t="s">
        <v>5537</v>
      </c>
      <c r="C5191" s="80" t="s">
        <v>10608</v>
      </c>
    </row>
    <row r="5192" spans="1:3" s="79" customFormat="1" ht="19.149999999999999" customHeight="1" x14ac:dyDescent="0.2">
      <c r="A5192" s="81">
        <v>20050685</v>
      </c>
      <c r="B5192" s="80" t="s">
        <v>5538</v>
      </c>
      <c r="C5192" s="80" t="s">
        <v>10609</v>
      </c>
    </row>
    <row r="5193" spans="1:3" s="79" customFormat="1" ht="19.149999999999999" customHeight="1" x14ac:dyDescent="0.2">
      <c r="A5193" s="81">
        <v>20050686</v>
      </c>
      <c r="B5193" s="80" t="s">
        <v>5539</v>
      </c>
      <c r="C5193" s="80" t="s">
        <v>10610</v>
      </c>
    </row>
    <row r="5194" spans="1:3" s="79" customFormat="1" ht="19.149999999999999" customHeight="1" x14ac:dyDescent="0.2">
      <c r="A5194" s="81">
        <v>20050687</v>
      </c>
      <c r="B5194" s="80" t="s">
        <v>5540</v>
      </c>
      <c r="C5194" s="80" t="s">
        <v>10611</v>
      </c>
    </row>
    <row r="5195" spans="1:3" s="79" customFormat="1" ht="19.149999999999999" customHeight="1" x14ac:dyDescent="0.2">
      <c r="A5195" s="81">
        <v>20050688</v>
      </c>
      <c r="B5195" s="80" t="s">
        <v>5543</v>
      </c>
      <c r="C5195" s="82" t="s">
        <v>10612</v>
      </c>
    </row>
    <row r="5196" spans="1:3" s="79" customFormat="1" ht="19.149999999999999" customHeight="1" x14ac:dyDescent="0.2">
      <c r="A5196" s="81">
        <v>20050689</v>
      </c>
      <c r="B5196" s="80" t="s">
        <v>5544</v>
      </c>
      <c r="C5196" s="80" t="s">
        <v>5544</v>
      </c>
    </row>
    <row r="5197" spans="1:3" s="79" customFormat="1" ht="19.149999999999999" customHeight="1" x14ac:dyDescent="0.2">
      <c r="A5197" s="81">
        <v>20050690</v>
      </c>
      <c r="B5197" s="80" t="s">
        <v>5545</v>
      </c>
      <c r="C5197" s="80" t="s">
        <v>5545</v>
      </c>
    </row>
    <row r="5198" spans="1:3" s="79" customFormat="1" ht="19.149999999999999" customHeight="1" x14ac:dyDescent="0.2">
      <c r="A5198" s="81">
        <v>20050691</v>
      </c>
      <c r="B5198" s="80" t="s">
        <v>5546</v>
      </c>
      <c r="C5198" s="81" t="s">
        <v>10613</v>
      </c>
    </row>
    <row r="5199" spans="1:3" s="79" customFormat="1" ht="19.149999999999999" customHeight="1" x14ac:dyDescent="0.2">
      <c r="A5199" s="81">
        <v>20050692</v>
      </c>
      <c r="B5199" s="80" t="s">
        <v>5547</v>
      </c>
      <c r="C5199" s="80" t="s">
        <v>10614</v>
      </c>
    </row>
    <row r="5200" spans="1:3" s="79" customFormat="1" ht="19.149999999999999" customHeight="1" x14ac:dyDescent="0.2">
      <c r="A5200" s="81">
        <v>20050693</v>
      </c>
      <c r="B5200" s="80" t="s">
        <v>5549</v>
      </c>
      <c r="C5200" s="80" t="s">
        <v>10615</v>
      </c>
    </row>
    <row r="5201" spans="1:3" s="79" customFormat="1" ht="19.149999999999999" customHeight="1" x14ac:dyDescent="0.2">
      <c r="A5201" s="81">
        <v>20050694</v>
      </c>
      <c r="B5201" s="80" t="s">
        <v>11502</v>
      </c>
      <c r="C5201" s="80" t="s">
        <v>11619</v>
      </c>
    </row>
    <row r="5202" spans="1:3" s="79" customFormat="1" ht="19.149999999999999" customHeight="1" x14ac:dyDescent="0.2">
      <c r="A5202" s="107">
        <v>20050702</v>
      </c>
      <c r="B5202" s="106" t="s">
        <v>5551</v>
      </c>
      <c r="C5202" s="107" t="s">
        <v>10616</v>
      </c>
    </row>
    <row r="5203" spans="1:3" s="79" customFormat="1" ht="19.149999999999999" customHeight="1" x14ac:dyDescent="0.2">
      <c r="A5203" s="106"/>
      <c r="B5203" s="106"/>
      <c r="C5203" s="107"/>
    </row>
    <row r="5204" spans="1:3" s="79" customFormat="1" ht="28.7" customHeight="1" x14ac:dyDescent="0.2">
      <c r="A5204" s="81">
        <v>20050703</v>
      </c>
      <c r="B5204" s="80" t="s">
        <v>11701</v>
      </c>
      <c r="C5204" s="81" t="s">
        <v>10617</v>
      </c>
    </row>
    <row r="5205" spans="1:3" s="79" customFormat="1" ht="19.149999999999999" customHeight="1" x14ac:dyDescent="0.2">
      <c r="A5205" s="81">
        <v>20050704</v>
      </c>
      <c r="B5205" s="80" t="s">
        <v>5554</v>
      </c>
      <c r="C5205" s="82" t="s">
        <v>10618</v>
      </c>
    </row>
    <row r="5206" spans="1:3" s="79" customFormat="1" ht="19.149999999999999" customHeight="1" x14ac:dyDescent="0.2">
      <c r="A5206" s="81">
        <v>20050705</v>
      </c>
      <c r="B5206" s="80" t="s">
        <v>5555</v>
      </c>
      <c r="C5206" s="80" t="s">
        <v>10619</v>
      </c>
    </row>
    <row r="5207" spans="1:3" s="79" customFormat="1" ht="59.1" customHeight="1" x14ac:dyDescent="0.2">
      <c r="A5207" s="81">
        <v>20050706</v>
      </c>
      <c r="B5207" s="80" t="s">
        <v>5556</v>
      </c>
      <c r="C5207" s="80" t="s">
        <v>10620</v>
      </c>
    </row>
    <row r="5208" spans="1:3" s="79" customFormat="1" ht="19.149999999999999" customHeight="1" x14ac:dyDescent="0.2">
      <c r="A5208" s="81">
        <v>20050707</v>
      </c>
      <c r="B5208" s="80" t="s">
        <v>5557</v>
      </c>
      <c r="C5208" s="81" t="s">
        <v>10621</v>
      </c>
    </row>
    <row r="5209" spans="1:3" s="79" customFormat="1" ht="19.149999999999999" customHeight="1" x14ac:dyDescent="0.2">
      <c r="A5209" s="81">
        <v>20050708</v>
      </c>
      <c r="B5209" s="80" t="s">
        <v>5558</v>
      </c>
      <c r="C5209" s="81" t="s">
        <v>10622</v>
      </c>
    </row>
    <row r="5210" spans="1:3" s="79" customFormat="1" ht="19.149999999999999" customHeight="1" x14ac:dyDescent="0.2">
      <c r="A5210" s="81">
        <v>20050709</v>
      </c>
      <c r="B5210" s="80" t="s">
        <v>5559</v>
      </c>
      <c r="C5210" s="81" t="s">
        <v>10623</v>
      </c>
    </row>
    <row r="5211" spans="1:3" s="79" customFormat="1" ht="409.6" customHeight="1" x14ac:dyDescent="0.2">
      <c r="A5211" s="81">
        <v>20050710</v>
      </c>
      <c r="B5211" s="80" t="s">
        <v>5574</v>
      </c>
      <c r="C5211" s="82" t="s">
        <v>10624</v>
      </c>
    </row>
    <row r="5212" spans="1:3" s="79" customFormat="1" ht="250.15" customHeight="1" x14ac:dyDescent="0.2">
      <c r="A5212" s="81">
        <v>20050711</v>
      </c>
      <c r="B5212" s="80" t="s">
        <v>5595</v>
      </c>
      <c r="C5212" s="82" t="s">
        <v>10625</v>
      </c>
    </row>
    <row r="5213" spans="1:3" s="79" customFormat="1" ht="139.15" customHeight="1" x14ac:dyDescent="0.2">
      <c r="A5213" s="81">
        <v>20050712</v>
      </c>
      <c r="B5213" s="80" t="s">
        <v>11702</v>
      </c>
      <c r="C5213" s="81" t="s">
        <v>10626</v>
      </c>
    </row>
    <row r="5214" spans="1:3" s="79" customFormat="1" ht="38.85" customHeight="1" x14ac:dyDescent="0.2">
      <c r="A5214" s="81">
        <v>20050713</v>
      </c>
      <c r="B5214" s="80" t="s">
        <v>11703</v>
      </c>
      <c r="C5214" s="81" t="s">
        <v>10627</v>
      </c>
    </row>
    <row r="5215" spans="1:3" s="79" customFormat="1" ht="19.149999999999999" customHeight="1" x14ac:dyDescent="0.2">
      <c r="A5215" s="81">
        <v>20050714</v>
      </c>
      <c r="B5215" s="80" t="s">
        <v>5552</v>
      </c>
      <c r="C5215" s="80" t="s">
        <v>10628</v>
      </c>
    </row>
    <row r="5216" spans="1:3" s="79" customFormat="1" ht="19.149999999999999" customHeight="1" x14ac:dyDescent="0.2">
      <c r="A5216" s="81">
        <v>20050715</v>
      </c>
      <c r="B5216" s="80" t="s">
        <v>5560</v>
      </c>
      <c r="C5216" s="80" t="s">
        <v>10629</v>
      </c>
    </row>
    <row r="5217" spans="1:3" s="79" customFormat="1" ht="68.849999999999994" customHeight="1" x14ac:dyDescent="0.2">
      <c r="A5217" s="81">
        <v>20050716</v>
      </c>
      <c r="B5217" s="80" t="s">
        <v>5561</v>
      </c>
      <c r="C5217" s="81" t="s">
        <v>10630</v>
      </c>
    </row>
    <row r="5218" spans="1:3" s="79" customFormat="1" ht="68.849999999999994" customHeight="1" x14ac:dyDescent="0.2">
      <c r="A5218" s="81">
        <v>20050717</v>
      </c>
      <c r="B5218" s="80" t="s">
        <v>5562</v>
      </c>
      <c r="C5218" s="81" t="s">
        <v>10631</v>
      </c>
    </row>
    <row r="5219" spans="1:3" s="79" customFormat="1" ht="68.849999999999994" customHeight="1" x14ac:dyDescent="0.2">
      <c r="A5219" s="81">
        <v>20050718</v>
      </c>
      <c r="B5219" s="80" t="s">
        <v>5563</v>
      </c>
      <c r="C5219" s="82" t="s">
        <v>10632</v>
      </c>
    </row>
    <row r="5220" spans="1:3" s="79" customFormat="1" ht="68.849999999999994" customHeight="1" x14ac:dyDescent="0.2">
      <c r="A5220" s="81">
        <v>20050719</v>
      </c>
      <c r="B5220" s="80" t="s">
        <v>5564</v>
      </c>
      <c r="C5220" s="81" t="s">
        <v>10623</v>
      </c>
    </row>
    <row r="5221" spans="1:3" s="79" customFormat="1" ht="28.7" customHeight="1" x14ac:dyDescent="0.2">
      <c r="A5221" s="81">
        <v>20050720</v>
      </c>
      <c r="B5221" s="80" t="s">
        <v>5565</v>
      </c>
      <c r="C5221" s="81" t="s">
        <v>10633</v>
      </c>
    </row>
    <row r="5222" spans="1:3" s="79" customFormat="1" ht="139.15" customHeight="1" x14ac:dyDescent="0.2">
      <c r="A5222" s="81">
        <v>20050722</v>
      </c>
      <c r="B5222" s="80" t="s">
        <v>5553</v>
      </c>
      <c r="C5222" s="82" t="s">
        <v>10634</v>
      </c>
    </row>
    <row r="5223" spans="1:3" s="79" customFormat="1" ht="149.25" customHeight="1" x14ac:dyDescent="0.2">
      <c r="A5223" s="81">
        <v>20050723</v>
      </c>
      <c r="B5223" s="80" t="s">
        <v>5566</v>
      </c>
      <c r="C5223" s="81" t="s">
        <v>10635</v>
      </c>
    </row>
    <row r="5224" spans="1:3" s="79" customFormat="1" ht="19.149999999999999" customHeight="1" x14ac:dyDescent="0.2">
      <c r="A5224" s="81">
        <v>20050724</v>
      </c>
      <c r="B5224" s="80" t="s">
        <v>5567</v>
      </c>
      <c r="C5224" s="81" t="s">
        <v>10636</v>
      </c>
    </row>
    <row r="5225" spans="1:3" s="79" customFormat="1" ht="19.149999999999999" customHeight="1" x14ac:dyDescent="0.2">
      <c r="A5225" s="81">
        <v>20050725</v>
      </c>
      <c r="B5225" s="80" t="s">
        <v>5568</v>
      </c>
      <c r="C5225" s="81" t="s">
        <v>10637</v>
      </c>
    </row>
    <row r="5226" spans="1:3" s="79" customFormat="1" ht="68.849999999999994" customHeight="1" x14ac:dyDescent="0.2">
      <c r="A5226" s="81">
        <v>20050726</v>
      </c>
      <c r="B5226" s="80" t="s">
        <v>5569</v>
      </c>
      <c r="C5226" s="81" t="s">
        <v>10638</v>
      </c>
    </row>
    <row r="5227" spans="1:3" s="79" customFormat="1" ht="68.849999999999994" customHeight="1" x14ac:dyDescent="0.2">
      <c r="A5227" s="81">
        <v>20050727</v>
      </c>
      <c r="B5227" s="80" t="s">
        <v>5570</v>
      </c>
      <c r="C5227" s="82" t="s">
        <v>10639</v>
      </c>
    </row>
    <row r="5228" spans="1:3" s="79" customFormat="1" ht="68.849999999999994" customHeight="1" x14ac:dyDescent="0.2">
      <c r="A5228" s="81">
        <v>20050728</v>
      </c>
      <c r="B5228" s="80" t="s">
        <v>5575</v>
      </c>
      <c r="C5228" s="81" t="s">
        <v>10640</v>
      </c>
    </row>
    <row r="5229" spans="1:3" s="79" customFormat="1" ht="68.849999999999994" customHeight="1" x14ac:dyDescent="0.2">
      <c r="A5229" s="81">
        <v>20050729</v>
      </c>
      <c r="B5229" s="80" t="s">
        <v>5576</v>
      </c>
      <c r="C5229" s="81" t="s">
        <v>10641</v>
      </c>
    </row>
    <row r="5230" spans="1:3" s="79" customFormat="1" ht="68.849999999999994" customHeight="1" x14ac:dyDescent="0.2">
      <c r="A5230" s="81">
        <v>20050730</v>
      </c>
      <c r="B5230" s="80" t="s">
        <v>11399</v>
      </c>
      <c r="C5230" s="81" t="s">
        <v>10642</v>
      </c>
    </row>
    <row r="5231" spans="1:3" s="79" customFormat="1" ht="38.85" customHeight="1" x14ac:dyDescent="0.2">
      <c r="A5231" s="81">
        <v>20050731</v>
      </c>
      <c r="B5231" s="80" t="s">
        <v>11400</v>
      </c>
      <c r="C5231" s="81" t="s">
        <v>10643</v>
      </c>
    </row>
    <row r="5232" spans="1:3" s="79" customFormat="1" ht="68.849999999999994" customHeight="1" x14ac:dyDescent="0.2">
      <c r="A5232" s="81">
        <v>20050732</v>
      </c>
      <c r="B5232" s="80" t="s">
        <v>5571</v>
      </c>
      <c r="C5232" s="81" t="s">
        <v>10644</v>
      </c>
    </row>
    <row r="5233" spans="1:3" s="79" customFormat="1" ht="68.849999999999994" customHeight="1" x14ac:dyDescent="0.2">
      <c r="A5233" s="81">
        <v>20050733</v>
      </c>
      <c r="B5233" s="80" t="s">
        <v>5572</v>
      </c>
      <c r="C5233" s="81" t="s">
        <v>10645</v>
      </c>
    </row>
    <row r="5234" spans="1:3" s="79" customFormat="1" ht="68.849999999999994" customHeight="1" x14ac:dyDescent="0.2">
      <c r="A5234" s="81">
        <v>20050734</v>
      </c>
      <c r="B5234" s="80" t="s">
        <v>5573</v>
      </c>
      <c r="C5234" s="81" t="s">
        <v>10638</v>
      </c>
    </row>
    <row r="5235" spans="1:3" s="79" customFormat="1" ht="68.849999999999994" customHeight="1" x14ac:dyDescent="0.2">
      <c r="A5235" s="81">
        <v>20050735</v>
      </c>
      <c r="B5235" s="80" t="s">
        <v>5577</v>
      </c>
      <c r="C5235" s="82" t="s">
        <v>10646</v>
      </c>
    </row>
    <row r="5236" spans="1:3" s="79" customFormat="1" ht="68.849999999999994" customHeight="1" x14ac:dyDescent="0.2">
      <c r="A5236" s="81">
        <v>20050736</v>
      </c>
      <c r="B5236" s="80" t="s">
        <v>5594</v>
      </c>
      <c r="C5236" s="81" t="s">
        <v>10647</v>
      </c>
    </row>
    <row r="5237" spans="1:3" s="79" customFormat="1" ht="149.25" customHeight="1" x14ac:dyDescent="0.2">
      <c r="A5237" s="81">
        <v>20050742</v>
      </c>
      <c r="B5237" s="80" t="s">
        <v>11704</v>
      </c>
      <c r="C5237" s="81" t="s">
        <v>10648</v>
      </c>
    </row>
    <row r="5238" spans="1:3" s="79" customFormat="1" ht="139.15" customHeight="1" x14ac:dyDescent="0.2">
      <c r="A5238" s="81">
        <v>20050743</v>
      </c>
      <c r="B5238" s="80" t="s">
        <v>11705</v>
      </c>
      <c r="C5238" s="81" t="s">
        <v>10649</v>
      </c>
    </row>
    <row r="5239" spans="1:3" s="79" customFormat="1" ht="149.25" customHeight="1" x14ac:dyDescent="0.2">
      <c r="A5239" s="81">
        <v>20050744</v>
      </c>
      <c r="B5239" s="80" t="s">
        <v>11401</v>
      </c>
      <c r="C5239" s="81" t="s">
        <v>10650</v>
      </c>
    </row>
    <row r="5240" spans="1:3" s="79" customFormat="1" ht="149.25" customHeight="1" x14ac:dyDescent="0.2">
      <c r="A5240" s="81">
        <v>20050745</v>
      </c>
      <c r="B5240" s="80" t="s">
        <v>11706</v>
      </c>
      <c r="C5240" s="81" t="s">
        <v>10651</v>
      </c>
    </row>
    <row r="5241" spans="1:3" s="79" customFormat="1" ht="68.849999999999994" customHeight="1" x14ac:dyDescent="0.2">
      <c r="A5241" s="81">
        <v>20050746</v>
      </c>
      <c r="B5241" s="80" t="s">
        <v>5578</v>
      </c>
      <c r="C5241" s="82" t="s">
        <v>10652</v>
      </c>
    </row>
    <row r="5242" spans="1:3" s="79" customFormat="1" ht="68.849999999999994" customHeight="1" x14ac:dyDescent="0.2">
      <c r="A5242" s="81">
        <v>20050747</v>
      </c>
      <c r="B5242" s="80" t="s">
        <v>5579</v>
      </c>
      <c r="C5242" s="82" t="s">
        <v>10653</v>
      </c>
    </row>
    <row r="5243" spans="1:3" s="79" customFormat="1" ht="68.849999999999994" customHeight="1" x14ac:dyDescent="0.2">
      <c r="A5243" s="81">
        <v>20050748</v>
      </c>
      <c r="B5243" s="80" t="s">
        <v>5580</v>
      </c>
      <c r="C5243" s="80" t="s">
        <v>10654</v>
      </c>
    </row>
    <row r="5244" spans="1:3" s="79" customFormat="1" ht="78.95" customHeight="1" x14ac:dyDescent="0.2">
      <c r="A5244" s="81">
        <v>20050749</v>
      </c>
      <c r="B5244" s="80" t="s">
        <v>5581</v>
      </c>
      <c r="C5244" s="82" t="s">
        <v>10655</v>
      </c>
    </row>
    <row r="5245" spans="1:3" s="79" customFormat="1" ht="78.95" customHeight="1" x14ac:dyDescent="0.2">
      <c r="A5245" s="81">
        <v>20050750</v>
      </c>
      <c r="B5245" s="80" t="s">
        <v>5582</v>
      </c>
      <c r="C5245" s="80" t="s">
        <v>10656</v>
      </c>
    </row>
    <row r="5246" spans="1:3" s="79" customFormat="1" ht="149.25" customHeight="1" x14ac:dyDescent="0.2">
      <c r="A5246" s="81">
        <v>20050751</v>
      </c>
      <c r="B5246" s="80" t="s">
        <v>5583</v>
      </c>
      <c r="C5246" s="80" t="s">
        <v>10657</v>
      </c>
    </row>
    <row r="5247" spans="1:3" s="79" customFormat="1" ht="149.25" customHeight="1" x14ac:dyDescent="0.2">
      <c r="A5247" s="81">
        <v>20050752</v>
      </c>
      <c r="B5247" s="80" t="s">
        <v>5584</v>
      </c>
      <c r="C5247" s="82" t="s">
        <v>10658</v>
      </c>
    </row>
    <row r="5248" spans="1:3" s="79" customFormat="1" ht="149.25" customHeight="1" x14ac:dyDescent="0.2">
      <c r="A5248" s="81">
        <v>20050753</v>
      </c>
      <c r="B5248" s="80" t="s">
        <v>5585</v>
      </c>
      <c r="C5248" s="82" t="s">
        <v>10659</v>
      </c>
    </row>
    <row r="5249" spans="1:3" s="79" customFormat="1" ht="149.25" customHeight="1" x14ac:dyDescent="0.2">
      <c r="A5249" s="81">
        <v>20050754</v>
      </c>
      <c r="B5249" s="80" t="s">
        <v>5586</v>
      </c>
      <c r="C5249" s="80" t="s">
        <v>10660</v>
      </c>
    </row>
    <row r="5250" spans="1:3" s="79" customFormat="1" ht="28.7" customHeight="1" x14ac:dyDescent="0.2">
      <c r="A5250" s="81">
        <v>20050755</v>
      </c>
      <c r="B5250" s="80" t="s">
        <v>5587</v>
      </c>
      <c r="C5250" s="81" t="s">
        <v>10661</v>
      </c>
    </row>
    <row r="5251" spans="1:3" s="79" customFormat="1" ht="59.1" customHeight="1" x14ac:dyDescent="0.2">
      <c r="A5251" s="81">
        <v>20050756</v>
      </c>
      <c r="B5251" s="80" t="s">
        <v>5588</v>
      </c>
      <c r="C5251" s="82" t="s">
        <v>10662</v>
      </c>
    </row>
    <row r="5252" spans="1:3" s="79" customFormat="1" ht="19.149999999999999" customHeight="1" x14ac:dyDescent="0.2">
      <c r="A5252" s="81">
        <v>20050757</v>
      </c>
      <c r="B5252" s="80" t="s">
        <v>11402</v>
      </c>
      <c r="C5252" s="81" t="s">
        <v>11403</v>
      </c>
    </row>
    <row r="5253" spans="1:3" s="79" customFormat="1" ht="49.15" customHeight="1" x14ac:dyDescent="0.2">
      <c r="A5253" s="81">
        <v>20050758</v>
      </c>
      <c r="B5253" s="80" t="s">
        <v>5589</v>
      </c>
      <c r="C5253" s="80" t="s">
        <v>10663</v>
      </c>
    </row>
    <row r="5254" spans="1:3" s="79" customFormat="1" ht="19.149999999999999" customHeight="1" x14ac:dyDescent="0.2">
      <c r="A5254" s="81">
        <v>20050759</v>
      </c>
      <c r="B5254" s="80" t="s">
        <v>5590</v>
      </c>
      <c r="C5254" s="80" t="s">
        <v>10664</v>
      </c>
    </row>
    <row r="5255" spans="1:3" s="79" customFormat="1" ht="19.149999999999999" customHeight="1" x14ac:dyDescent="0.2">
      <c r="A5255" s="81">
        <v>20050760</v>
      </c>
      <c r="B5255" s="80" t="s">
        <v>5591</v>
      </c>
      <c r="C5255" s="82" t="s">
        <v>10665</v>
      </c>
    </row>
    <row r="5256" spans="1:3" s="79" customFormat="1" ht="28.7" customHeight="1" x14ac:dyDescent="0.2">
      <c r="A5256" s="81">
        <v>20050761</v>
      </c>
      <c r="B5256" s="80" t="s">
        <v>5593</v>
      </c>
      <c r="C5256" s="80" t="s">
        <v>10666</v>
      </c>
    </row>
    <row r="5257" spans="1:3" s="79" customFormat="1" ht="28.7" customHeight="1" x14ac:dyDescent="0.2">
      <c r="A5257" s="81">
        <v>20050762</v>
      </c>
      <c r="B5257" s="80" t="s">
        <v>11267</v>
      </c>
      <c r="C5257" s="82" t="s">
        <v>10927</v>
      </c>
    </row>
    <row r="5258" spans="1:3" s="79" customFormat="1" ht="19.149999999999999" customHeight="1" x14ac:dyDescent="0.2">
      <c r="A5258" s="81">
        <v>20050763</v>
      </c>
      <c r="B5258" s="80" t="s">
        <v>11268</v>
      </c>
      <c r="C5258" s="82" t="s">
        <v>11269</v>
      </c>
    </row>
    <row r="5259" spans="1:3" s="79" customFormat="1" ht="89.1" customHeight="1" x14ac:dyDescent="0.2">
      <c r="A5259" s="81">
        <v>20050764</v>
      </c>
      <c r="B5259" s="80" t="s">
        <v>11270</v>
      </c>
      <c r="C5259" s="81" t="s">
        <v>11271</v>
      </c>
    </row>
    <row r="5260" spans="1:3" s="79" customFormat="1" ht="68.849999999999994" customHeight="1" x14ac:dyDescent="0.2">
      <c r="A5260" s="81">
        <v>20050765</v>
      </c>
      <c r="B5260" s="80" t="s">
        <v>11272</v>
      </c>
      <c r="C5260" s="81" t="s">
        <v>11273</v>
      </c>
    </row>
    <row r="5261" spans="1:3" s="79" customFormat="1" ht="129" customHeight="1" x14ac:dyDescent="0.2">
      <c r="A5261" s="81">
        <v>20050766</v>
      </c>
      <c r="B5261" s="80" t="s">
        <v>11274</v>
      </c>
      <c r="C5261" s="81" t="s">
        <v>11275</v>
      </c>
    </row>
    <row r="5262" spans="1:3" s="79" customFormat="1" ht="19.149999999999999" customHeight="1" x14ac:dyDescent="0.2">
      <c r="A5262" s="81">
        <v>20050767</v>
      </c>
      <c r="B5262" s="80" t="s">
        <v>11276</v>
      </c>
      <c r="C5262" s="81" t="s">
        <v>11277</v>
      </c>
    </row>
    <row r="5263" spans="1:3" s="79" customFormat="1" ht="19.149999999999999" customHeight="1" x14ac:dyDescent="0.2">
      <c r="A5263" s="81">
        <v>20050768</v>
      </c>
      <c r="B5263" s="80" t="s">
        <v>11278</v>
      </c>
      <c r="C5263" s="81" t="s">
        <v>11279</v>
      </c>
    </row>
    <row r="5264" spans="1:3" s="79" customFormat="1" ht="28.7" customHeight="1" x14ac:dyDescent="0.2">
      <c r="A5264" s="81">
        <v>20050769</v>
      </c>
      <c r="B5264" s="80" t="s">
        <v>11280</v>
      </c>
      <c r="C5264" s="81" t="s">
        <v>11281</v>
      </c>
    </row>
    <row r="5265" spans="1:3" s="79" customFormat="1" ht="19.149999999999999" customHeight="1" x14ac:dyDescent="0.2">
      <c r="A5265" s="81">
        <v>20050772</v>
      </c>
      <c r="B5265" s="80" t="s">
        <v>5596</v>
      </c>
      <c r="C5265" s="82" t="s">
        <v>10667</v>
      </c>
    </row>
    <row r="5266" spans="1:3" s="79" customFormat="1" ht="38.85" customHeight="1" x14ac:dyDescent="0.2">
      <c r="A5266" s="81">
        <v>20050782</v>
      </c>
      <c r="B5266" s="80" t="s">
        <v>5597</v>
      </c>
      <c r="C5266" s="82" t="s">
        <v>10668</v>
      </c>
    </row>
    <row r="5267" spans="1:3" s="79" customFormat="1" ht="28.7" customHeight="1" x14ac:dyDescent="0.2">
      <c r="A5267" s="81">
        <v>20050783</v>
      </c>
      <c r="B5267" s="80" t="s">
        <v>5602</v>
      </c>
      <c r="C5267" s="82" t="s">
        <v>10669</v>
      </c>
    </row>
    <row r="5268" spans="1:3" s="79" customFormat="1" ht="89.1" customHeight="1" x14ac:dyDescent="0.2">
      <c r="A5268" s="81">
        <v>20050792</v>
      </c>
      <c r="B5268" s="80" t="s">
        <v>5598</v>
      </c>
      <c r="C5268" s="80" t="s">
        <v>10670</v>
      </c>
    </row>
    <row r="5269" spans="1:3" s="79" customFormat="1" ht="139.15" customHeight="1" x14ac:dyDescent="0.2">
      <c r="A5269" s="81">
        <v>20050793</v>
      </c>
      <c r="B5269" s="80" t="s">
        <v>5599</v>
      </c>
      <c r="C5269" s="80" t="s">
        <v>10671</v>
      </c>
    </row>
    <row r="5270" spans="1:3" s="79" customFormat="1" ht="89.1" customHeight="1" x14ac:dyDescent="0.2">
      <c r="A5270" s="81">
        <v>20050794</v>
      </c>
      <c r="B5270" s="80" t="s">
        <v>5603</v>
      </c>
      <c r="C5270" s="80" t="s">
        <v>10672</v>
      </c>
    </row>
    <row r="5271" spans="1:3" s="79" customFormat="1" ht="78.95" customHeight="1" x14ac:dyDescent="0.2">
      <c r="A5271" s="81">
        <v>20050795</v>
      </c>
      <c r="B5271" s="80" t="s">
        <v>5608</v>
      </c>
      <c r="C5271" s="80" t="s">
        <v>10673</v>
      </c>
    </row>
    <row r="5272" spans="1:3" s="79" customFormat="1" ht="118.9" customHeight="1" x14ac:dyDescent="0.2">
      <c r="A5272" s="81">
        <v>20050796</v>
      </c>
      <c r="B5272" s="80" t="s">
        <v>5610</v>
      </c>
      <c r="C5272" s="80"/>
    </row>
    <row r="5273" spans="1:3" s="79" customFormat="1" ht="89.1" customHeight="1" x14ac:dyDescent="0.2">
      <c r="A5273" s="81">
        <v>20050802</v>
      </c>
      <c r="B5273" s="80" t="s">
        <v>5600</v>
      </c>
      <c r="C5273" s="82" t="s">
        <v>10674</v>
      </c>
    </row>
    <row r="5274" spans="1:3" s="79" customFormat="1" ht="28.7" customHeight="1" x14ac:dyDescent="0.2">
      <c r="A5274" s="81">
        <v>20050803</v>
      </c>
      <c r="B5274" s="80" t="s">
        <v>5604</v>
      </c>
      <c r="C5274" s="82" t="s">
        <v>10675</v>
      </c>
    </row>
    <row r="5275" spans="1:3" s="79" customFormat="1" ht="38.85" customHeight="1" x14ac:dyDescent="0.2">
      <c r="A5275" s="81">
        <v>20050804</v>
      </c>
      <c r="B5275" s="80" t="s">
        <v>5607</v>
      </c>
      <c r="C5275" s="80" t="s">
        <v>10676</v>
      </c>
    </row>
    <row r="5276" spans="1:3" s="79" customFormat="1" ht="28.7" customHeight="1" x14ac:dyDescent="0.2">
      <c r="A5276" s="81">
        <v>20050805</v>
      </c>
      <c r="B5276" s="80" t="s">
        <v>10928</v>
      </c>
      <c r="C5276" s="82" t="s">
        <v>10929</v>
      </c>
    </row>
    <row r="5277" spans="1:3" s="79" customFormat="1" ht="19.149999999999999" customHeight="1" x14ac:dyDescent="0.2">
      <c r="A5277" s="81">
        <v>20050806</v>
      </c>
      <c r="B5277" s="80" t="s">
        <v>10930</v>
      </c>
      <c r="C5277" s="80" t="s">
        <v>10930</v>
      </c>
    </row>
    <row r="5278" spans="1:3" s="79" customFormat="1" ht="19.149999999999999" customHeight="1" x14ac:dyDescent="0.2">
      <c r="A5278" s="81">
        <v>20050812</v>
      </c>
      <c r="B5278" s="80" t="s">
        <v>5601</v>
      </c>
      <c r="C5278" s="82" t="s">
        <v>10677</v>
      </c>
    </row>
    <row r="5279" spans="1:3" s="79" customFormat="1" ht="19.149999999999999" customHeight="1" x14ac:dyDescent="0.2">
      <c r="A5279" s="81">
        <v>20050813</v>
      </c>
      <c r="B5279" s="80" t="s">
        <v>5606</v>
      </c>
      <c r="C5279" s="80" t="s">
        <v>10678</v>
      </c>
    </row>
    <row r="5280" spans="1:3" s="79" customFormat="1" ht="19.149999999999999" customHeight="1" x14ac:dyDescent="0.2">
      <c r="A5280" s="81">
        <v>20050814</v>
      </c>
      <c r="B5280" s="80" t="s">
        <v>11215</v>
      </c>
      <c r="C5280" s="80" t="s">
        <v>10679</v>
      </c>
    </row>
    <row r="5281" spans="1:3" s="79" customFormat="1" ht="19.149999999999999" customHeight="1" x14ac:dyDescent="0.2">
      <c r="A5281" s="81">
        <v>20050815</v>
      </c>
      <c r="B5281" s="80" t="s">
        <v>5609</v>
      </c>
      <c r="C5281" s="82" t="s">
        <v>10680</v>
      </c>
    </row>
    <row r="5282" spans="1:3" s="79" customFormat="1" ht="49.15" customHeight="1" x14ac:dyDescent="0.2">
      <c r="A5282" s="81">
        <v>20050822</v>
      </c>
      <c r="B5282" s="80" t="s">
        <v>10931</v>
      </c>
      <c r="C5282" s="80" t="s">
        <v>10932</v>
      </c>
    </row>
    <row r="5283" spans="1:3" s="79" customFormat="1" ht="38.85" customHeight="1" x14ac:dyDescent="0.2">
      <c r="A5283" s="81">
        <v>20050824</v>
      </c>
      <c r="B5283" s="80" t="s">
        <v>10964</v>
      </c>
      <c r="C5283" s="82" t="s">
        <v>10965</v>
      </c>
    </row>
    <row r="5284" spans="1:3" s="79" customFormat="1" ht="19.149999999999999" customHeight="1" x14ac:dyDescent="0.2">
      <c r="A5284" s="81">
        <v>20050825</v>
      </c>
      <c r="B5284" s="80" t="s">
        <v>11707</v>
      </c>
      <c r="C5284" s="82" t="s">
        <v>11459</v>
      </c>
    </row>
    <row r="5285" spans="1:3" s="79" customFormat="1" ht="28.7" customHeight="1" x14ac:dyDescent="0.2">
      <c r="A5285" s="81">
        <v>20050832</v>
      </c>
      <c r="B5285" s="80" t="s">
        <v>10933</v>
      </c>
      <c r="C5285" s="80" t="s">
        <v>10934</v>
      </c>
    </row>
    <row r="5286" spans="1:3" s="79" customFormat="1" ht="19.149999999999999" customHeight="1" x14ac:dyDescent="0.2">
      <c r="A5286" s="81">
        <v>20050833</v>
      </c>
      <c r="B5286" s="80" t="s">
        <v>10967</v>
      </c>
      <c r="C5286" s="81" t="s">
        <v>10968</v>
      </c>
    </row>
    <row r="5287" spans="1:3" s="79" customFormat="1" ht="28.7" customHeight="1" x14ac:dyDescent="0.2">
      <c r="A5287" s="81">
        <v>20050834</v>
      </c>
      <c r="B5287" s="80" t="s">
        <v>10969</v>
      </c>
      <c r="C5287" s="80" t="s">
        <v>10970</v>
      </c>
    </row>
    <row r="5288" spans="1:3" s="79" customFormat="1" ht="19.149999999999999" customHeight="1" x14ac:dyDescent="0.2">
      <c r="A5288" s="81">
        <v>20050835</v>
      </c>
      <c r="B5288" s="80" t="s">
        <v>10971</v>
      </c>
      <c r="C5288" s="82" t="s">
        <v>10972</v>
      </c>
    </row>
    <row r="5289" spans="1:3" s="79" customFormat="1" ht="19.149999999999999" customHeight="1" x14ac:dyDescent="0.2">
      <c r="A5289" s="81">
        <v>20050836</v>
      </c>
      <c r="B5289" s="80" t="s">
        <v>10973</v>
      </c>
      <c r="C5289" s="82" t="s">
        <v>10974</v>
      </c>
    </row>
    <row r="5290" spans="1:3" s="79" customFormat="1" ht="19.149999999999999" customHeight="1" x14ac:dyDescent="0.2">
      <c r="A5290" s="81">
        <v>20050842</v>
      </c>
      <c r="B5290" s="80" t="s">
        <v>10975</v>
      </c>
      <c r="C5290" s="82" t="s">
        <v>10976</v>
      </c>
    </row>
    <row r="5291" spans="1:3" s="79" customFormat="1" ht="19.149999999999999" customHeight="1" x14ac:dyDescent="0.2">
      <c r="A5291" s="81">
        <v>20050843</v>
      </c>
      <c r="B5291" s="80" t="s">
        <v>10977</v>
      </c>
      <c r="C5291" s="81" t="s">
        <v>10978</v>
      </c>
    </row>
    <row r="5292" spans="1:3" s="79" customFormat="1" ht="89.1" customHeight="1" x14ac:dyDescent="0.2">
      <c r="A5292" s="81">
        <v>20050852</v>
      </c>
      <c r="B5292" s="80" t="s">
        <v>11525</v>
      </c>
      <c r="C5292" s="82" t="s">
        <v>10980</v>
      </c>
    </row>
    <row r="5293" spans="1:3" s="79" customFormat="1" ht="49.15" customHeight="1" x14ac:dyDescent="0.2">
      <c r="A5293" s="81">
        <v>20050862</v>
      </c>
      <c r="B5293" s="80" t="s">
        <v>10981</v>
      </c>
      <c r="C5293" s="80" t="s">
        <v>10981</v>
      </c>
    </row>
    <row r="5294" spans="1:3" s="79" customFormat="1" ht="19.149999999999999" customHeight="1" x14ac:dyDescent="0.2">
      <c r="A5294" s="81">
        <v>20050863</v>
      </c>
      <c r="B5294" s="80" t="s">
        <v>11054</v>
      </c>
      <c r="C5294" s="81" t="s">
        <v>11055</v>
      </c>
    </row>
    <row r="5295" spans="1:3" s="79" customFormat="1" ht="209.1" customHeight="1" x14ac:dyDescent="0.2">
      <c r="A5295" s="81">
        <v>20050864</v>
      </c>
      <c r="B5295" s="80" t="s">
        <v>11056</v>
      </c>
      <c r="C5295" s="82" t="s">
        <v>11057</v>
      </c>
    </row>
    <row r="5296" spans="1:3" s="79" customFormat="1" ht="19.149999999999999" customHeight="1" x14ac:dyDescent="0.2">
      <c r="A5296" s="81">
        <v>20050865</v>
      </c>
      <c r="B5296" s="80" t="s">
        <v>11058</v>
      </c>
      <c r="C5296" s="82" t="s">
        <v>11059</v>
      </c>
    </row>
    <row r="5297" spans="1:3" s="79" customFormat="1" ht="89.1" customHeight="1" x14ac:dyDescent="0.2">
      <c r="A5297" s="81">
        <v>20050866</v>
      </c>
      <c r="B5297" s="80" t="s">
        <v>11060</v>
      </c>
      <c r="C5297" s="80" t="s">
        <v>11061</v>
      </c>
    </row>
    <row r="5298" spans="1:3" s="79" customFormat="1" ht="89.1" customHeight="1" x14ac:dyDescent="0.2">
      <c r="A5298" s="81">
        <v>20050867</v>
      </c>
      <c r="B5298" s="80" t="s">
        <v>11062</v>
      </c>
      <c r="C5298" s="80" t="s">
        <v>11063</v>
      </c>
    </row>
    <row r="5299" spans="1:3" s="79" customFormat="1" ht="89.1" customHeight="1" x14ac:dyDescent="0.2">
      <c r="A5299" s="81">
        <v>20050868</v>
      </c>
      <c r="B5299" s="80" t="s">
        <v>11064</v>
      </c>
      <c r="C5299" s="80" t="s">
        <v>11065</v>
      </c>
    </row>
    <row r="5300" spans="1:3" s="79" customFormat="1" ht="59.1" customHeight="1" x14ac:dyDescent="0.2">
      <c r="A5300" s="81">
        <v>20050869</v>
      </c>
      <c r="B5300" s="80" t="s">
        <v>11620</v>
      </c>
      <c r="C5300" s="80" t="s">
        <v>11621</v>
      </c>
    </row>
    <row r="5301" spans="1:3" s="79" customFormat="1" ht="38.85" customHeight="1" x14ac:dyDescent="0.2">
      <c r="A5301" s="81">
        <v>20050870</v>
      </c>
      <c r="B5301" s="80" t="s">
        <v>11066</v>
      </c>
      <c r="C5301" s="80" t="s">
        <v>11067</v>
      </c>
    </row>
    <row r="5302" spans="1:3" s="79" customFormat="1" ht="19.149999999999999" customHeight="1" x14ac:dyDescent="0.2">
      <c r="A5302" s="81">
        <v>20050871</v>
      </c>
      <c r="B5302" s="80" t="s">
        <v>11404</v>
      </c>
      <c r="C5302" s="80" t="s">
        <v>11068</v>
      </c>
    </row>
    <row r="5303" spans="1:3" s="79" customFormat="1" ht="78.95" customHeight="1" x14ac:dyDescent="0.2">
      <c r="A5303" s="81">
        <v>20050872</v>
      </c>
      <c r="B5303" s="80" t="s">
        <v>10982</v>
      </c>
      <c r="C5303" s="82" t="s">
        <v>10983</v>
      </c>
    </row>
    <row r="5304" spans="1:3" s="79" customFormat="1" ht="28.7" customHeight="1" x14ac:dyDescent="0.2">
      <c r="A5304" s="81">
        <v>20050873</v>
      </c>
      <c r="B5304" s="80" t="s">
        <v>11216</v>
      </c>
      <c r="C5304" s="80" t="s">
        <v>11069</v>
      </c>
    </row>
    <row r="5305" spans="1:3" s="79" customFormat="1" ht="28.7" customHeight="1" x14ac:dyDescent="0.2">
      <c r="A5305" s="81">
        <v>20050874</v>
      </c>
      <c r="B5305" s="80" t="s">
        <v>11282</v>
      </c>
      <c r="C5305" s="80" t="s">
        <v>11070</v>
      </c>
    </row>
    <row r="5306" spans="1:3" s="79" customFormat="1" ht="19.149999999999999" customHeight="1" x14ac:dyDescent="0.2">
      <c r="A5306" s="81">
        <v>20050875</v>
      </c>
      <c r="B5306" s="80" t="s">
        <v>11071</v>
      </c>
      <c r="C5306" s="80" t="s">
        <v>11072</v>
      </c>
    </row>
    <row r="5307" spans="1:3" s="79" customFormat="1" ht="19.149999999999999" customHeight="1" x14ac:dyDescent="0.2">
      <c r="A5307" s="81">
        <v>20050876</v>
      </c>
      <c r="B5307" s="80" t="s">
        <v>11073</v>
      </c>
      <c r="C5307" s="80" t="s">
        <v>11074</v>
      </c>
    </row>
    <row r="5308" spans="1:3" s="79" customFormat="1" ht="19.149999999999999" customHeight="1" x14ac:dyDescent="0.2">
      <c r="A5308" s="81">
        <v>20050877</v>
      </c>
      <c r="B5308" s="80" t="s">
        <v>11075</v>
      </c>
      <c r="C5308" s="80" t="s">
        <v>11075</v>
      </c>
    </row>
    <row r="5309" spans="1:3" s="79" customFormat="1" ht="19.149999999999999" customHeight="1" x14ac:dyDescent="0.2">
      <c r="A5309" s="81">
        <v>20050878</v>
      </c>
      <c r="B5309" s="80" t="s">
        <v>11076</v>
      </c>
      <c r="C5309" s="80" t="s">
        <v>11077</v>
      </c>
    </row>
    <row r="5310" spans="1:3" s="79" customFormat="1" ht="19.149999999999999" customHeight="1" x14ac:dyDescent="0.2">
      <c r="A5310" s="81">
        <v>20050879</v>
      </c>
      <c r="B5310" s="80" t="s">
        <v>11078</v>
      </c>
      <c r="C5310" s="80" t="s">
        <v>11079</v>
      </c>
    </row>
    <row r="5311" spans="1:3" s="79" customFormat="1" ht="19.149999999999999" customHeight="1" x14ac:dyDescent="0.2">
      <c r="A5311" s="81">
        <v>20050880</v>
      </c>
      <c r="B5311" s="80" t="s">
        <v>11080</v>
      </c>
      <c r="C5311" s="80" t="s">
        <v>11081</v>
      </c>
    </row>
    <row r="5312" spans="1:3" s="79" customFormat="1" ht="49.15" customHeight="1" x14ac:dyDescent="0.2">
      <c r="A5312" s="81">
        <v>20050881</v>
      </c>
      <c r="B5312" s="80" t="s">
        <v>11622</v>
      </c>
      <c r="C5312" s="82" t="s">
        <v>11217</v>
      </c>
    </row>
    <row r="5313" spans="1:3" s="79" customFormat="1" ht="19.149999999999999" customHeight="1" x14ac:dyDescent="0.2">
      <c r="A5313" s="81">
        <v>20050882</v>
      </c>
      <c r="B5313" s="80" t="s">
        <v>11283</v>
      </c>
      <c r="C5313" s="80" t="s">
        <v>11082</v>
      </c>
    </row>
    <row r="5314" spans="1:3" s="79" customFormat="1" ht="19.149999999999999" customHeight="1" x14ac:dyDescent="0.2">
      <c r="A5314" s="81">
        <v>20050883</v>
      </c>
      <c r="B5314" s="80" t="s">
        <v>11083</v>
      </c>
      <c r="C5314" s="82" t="s">
        <v>11084</v>
      </c>
    </row>
    <row r="5315" spans="1:3" s="79" customFormat="1" ht="19.149999999999999" customHeight="1" x14ac:dyDescent="0.2">
      <c r="A5315" s="81">
        <v>20050884</v>
      </c>
      <c r="B5315" s="80" t="s">
        <v>11085</v>
      </c>
      <c r="C5315" s="82" t="s">
        <v>11086</v>
      </c>
    </row>
    <row r="5316" spans="1:3" s="79" customFormat="1" ht="19.149999999999999" customHeight="1" x14ac:dyDescent="0.2">
      <c r="A5316" s="81">
        <v>20050885</v>
      </c>
      <c r="B5316" s="80" t="s">
        <v>11087</v>
      </c>
      <c r="C5316" s="82" t="s">
        <v>11088</v>
      </c>
    </row>
    <row r="5317" spans="1:3" s="79" customFormat="1" ht="19.149999999999999" customHeight="1" x14ac:dyDescent="0.2">
      <c r="A5317" s="81">
        <v>20050886</v>
      </c>
      <c r="B5317" s="80" t="s">
        <v>11526</v>
      </c>
      <c r="C5317" s="82" t="s">
        <v>11219</v>
      </c>
    </row>
    <row r="5318" spans="1:3" s="79" customFormat="1" ht="19.149999999999999" customHeight="1" x14ac:dyDescent="0.2">
      <c r="A5318" s="81">
        <v>20050887</v>
      </c>
      <c r="B5318" s="80" t="s">
        <v>11527</v>
      </c>
      <c r="C5318" s="82" t="s">
        <v>11220</v>
      </c>
    </row>
    <row r="5319" spans="1:3" s="79" customFormat="1" ht="19.149999999999999" customHeight="1" x14ac:dyDescent="0.2">
      <c r="A5319" s="81">
        <v>20050892</v>
      </c>
      <c r="B5319" s="80" t="s">
        <v>11089</v>
      </c>
      <c r="C5319" s="80" t="s">
        <v>11090</v>
      </c>
    </row>
    <row r="5320" spans="1:3" s="79" customFormat="1" ht="19.149999999999999" customHeight="1" x14ac:dyDescent="0.2">
      <c r="A5320" s="81">
        <v>20050893</v>
      </c>
      <c r="B5320" s="80" t="s">
        <v>11091</v>
      </c>
      <c r="C5320" s="80" t="s">
        <v>11092</v>
      </c>
    </row>
    <row r="5321" spans="1:3" s="79" customFormat="1" ht="28.7" customHeight="1" x14ac:dyDescent="0.2">
      <c r="A5321" s="81">
        <v>20050894</v>
      </c>
      <c r="B5321" s="80" t="s">
        <v>11093</v>
      </c>
      <c r="C5321" s="80" t="s">
        <v>11094</v>
      </c>
    </row>
    <row r="5322" spans="1:3" s="79" customFormat="1" ht="19.149999999999999" customHeight="1" x14ac:dyDescent="0.2">
      <c r="A5322" s="81">
        <v>20050895</v>
      </c>
      <c r="B5322" s="80" t="s">
        <v>11095</v>
      </c>
      <c r="C5322" s="80" t="s">
        <v>11096</v>
      </c>
    </row>
    <row r="5323" spans="1:3" s="79" customFormat="1" ht="28.7" customHeight="1" x14ac:dyDescent="0.2">
      <c r="A5323" s="81">
        <v>20050896</v>
      </c>
      <c r="B5323" s="80" t="s">
        <v>11097</v>
      </c>
      <c r="C5323" s="80" t="s">
        <v>11098</v>
      </c>
    </row>
    <row r="5324" spans="1:3" s="79" customFormat="1" ht="38.85" customHeight="1" x14ac:dyDescent="0.2">
      <c r="A5324" s="81">
        <v>20050897</v>
      </c>
      <c r="B5324" s="80" t="s">
        <v>11099</v>
      </c>
      <c r="C5324" s="80" t="s">
        <v>11100</v>
      </c>
    </row>
    <row r="5325" spans="1:3" s="79" customFormat="1" ht="28.7" customHeight="1" x14ac:dyDescent="0.2">
      <c r="A5325" s="81">
        <v>20050898</v>
      </c>
      <c r="B5325" s="80" t="s">
        <v>11101</v>
      </c>
      <c r="C5325" s="80" t="s">
        <v>11102</v>
      </c>
    </row>
    <row r="5326" spans="1:3" s="79" customFormat="1" ht="49.15" customHeight="1" x14ac:dyDescent="0.2">
      <c r="A5326" s="81">
        <v>20050899</v>
      </c>
      <c r="B5326" s="80" t="s">
        <v>11103</v>
      </c>
      <c r="C5326" s="80" t="s">
        <v>11104</v>
      </c>
    </row>
    <row r="5327" spans="1:3" s="79" customFormat="1" ht="38.85" customHeight="1" x14ac:dyDescent="0.2">
      <c r="A5327" s="81">
        <v>20050900</v>
      </c>
      <c r="B5327" s="80" t="s">
        <v>11105</v>
      </c>
      <c r="C5327" s="80" t="s">
        <v>11106</v>
      </c>
    </row>
    <row r="5328" spans="1:3" s="79" customFormat="1" ht="19.149999999999999" customHeight="1" x14ac:dyDescent="0.2">
      <c r="A5328" s="81">
        <v>20050901</v>
      </c>
      <c r="B5328" s="80" t="s">
        <v>11107</v>
      </c>
      <c r="C5328" s="80" t="s">
        <v>11108</v>
      </c>
    </row>
    <row r="5329" spans="1:3" s="79" customFormat="1" ht="19.149999999999999" customHeight="1" x14ac:dyDescent="0.2">
      <c r="A5329" s="81">
        <v>20050902</v>
      </c>
      <c r="B5329" s="80" t="s">
        <v>11109</v>
      </c>
      <c r="C5329" s="80" t="s">
        <v>11110</v>
      </c>
    </row>
    <row r="5330" spans="1:3" s="79" customFormat="1" ht="19.149999999999999" customHeight="1" x14ac:dyDescent="0.2">
      <c r="A5330" s="81">
        <v>20050903</v>
      </c>
      <c r="B5330" s="80" t="s">
        <v>11111</v>
      </c>
      <c r="C5330" s="80" t="s">
        <v>11112</v>
      </c>
    </row>
    <row r="5331" spans="1:3" s="79" customFormat="1" ht="19.149999999999999" customHeight="1" x14ac:dyDescent="0.2">
      <c r="A5331" s="81">
        <v>20050904</v>
      </c>
      <c r="B5331" s="80" t="s">
        <v>11113</v>
      </c>
      <c r="C5331" s="80" t="s">
        <v>11114</v>
      </c>
    </row>
    <row r="5332" spans="1:3" s="79" customFormat="1" ht="19.149999999999999" customHeight="1" x14ac:dyDescent="0.2">
      <c r="A5332" s="81">
        <v>20050905</v>
      </c>
      <c r="B5332" s="80" t="s">
        <v>11115</v>
      </c>
      <c r="C5332" s="80" t="s">
        <v>11116</v>
      </c>
    </row>
    <row r="5333" spans="1:3" s="79" customFormat="1" ht="19.149999999999999" customHeight="1" x14ac:dyDescent="0.2">
      <c r="A5333" s="81">
        <v>20050906</v>
      </c>
      <c r="B5333" s="80" t="s">
        <v>11117</v>
      </c>
      <c r="C5333" s="80" t="s">
        <v>11118</v>
      </c>
    </row>
    <row r="5334" spans="1:3" s="79" customFormat="1" ht="19.149999999999999" customHeight="1" x14ac:dyDescent="0.2">
      <c r="A5334" s="81">
        <v>20050907</v>
      </c>
      <c r="B5334" s="80" t="s">
        <v>11119</v>
      </c>
      <c r="C5334" s="80" t="s">
        <v>11120</v>
      </c>
    </row>
    <row r="5335" spans="1:3" s="79" customFormat="1" ht="19.149999999999999" customHeight="1" x14ac:dyDescent="0.2">
      <c r="A5335" s="81">
        <v>20050908</v>
      </c>
      <c r="B5335" s="80" t="s">
        <v>11121</v>
      </c>
      <c r="C5335" s="80" t="s">
        <v>11122</v>
      </c>
    </row>
    <row r="5336" spans="1:3" s="79" customFormat="1" ht="19.149999999999999" customHeight="1" x14ac:dyDescent="0.2">
      <c r="A5336" s="81">
        <v>20050909</v>
      </c>
      <c r="B5336" s="80" t="s">
        <v>11123</v>
      </c>
      <c r="C5336" s="80" t="s">
        <v>11124</v>
      </c>
    </row>
    <row r="5337" spans="1:3" s="79" customFormat="1" ht="19.149999999999999" customHeight="1" x14ac:dyDescent="0.2">
      <c r="A5337" s="81">
        <v>20050910</v>
      </c>
      <c r="B5337" s="80" t="s">
        <v>11125</v>
      </c>
      <c r="C5337" s="80" t="s">
        <v>11126</v>
      </c>
    </row>
    <row r="5338" spans="1:3" s="79" customFormat="1" ht="19.149999999999999" customHeight="1" x14ac:dyDescent="0.2">
      <c r="A5338" s="81">
        <v>20050911</v>
      </c>
      <c r="B5338" s="80" t="s">
        <v>11127</v>
      </c>
      <c r="C5338" s="80" t="s">
        <v>11128</v>
      </c>
    </row>
    <row r="5339" spans="1:3" s="79" customFormat="1" ht="19.149999999999999" customHeight="1" x14ac:dyDescent="0.2">
      <c r="A5339" s="81">
        <v>20050912</v>
      </c>
      <c r="B5339" s="80" t="s">
        <v>11129</v>
      </c>
      <c r="C5339" s="80" t="s">
        <v>11130</v>
      </c>
    </row>
    <row r="5340" spans="1:3" s="79" customFormat="1" ht="19.149999999999999" customHeight="1" x14ac:dyDescent="0.2">
      <c r="A5340" s="81">
        <v>20050913</v>
      </c>
      <c r="B5340" s="80" t="s">
        <v>11131</v>
      </c>
      <c r="C5340" s="80" t="s">
        <v>11132</v>
      </c>
    </row>
    <row r="5341" spans="1:3" s="79" customFormat="1" ht="19.149999999999999" customHeight="1" x14ac:dyDescent="0.2">
      <c r="A5341" s="81">
        <v>20050914</v>
      </c>
      <c r="B5341" s="80" t="s">
        <v>11133</v>
      </c>
      <c r="C5341" s="80" t="s">
        <v>11134</v>
      </c>
    </row>
    <row r="5342" spans="1:3" s="79" customFormat="1" ht="19.149999999999999" customHeight="1" x14ac:dyDescent="0.2">
      <c r="A5342" s="81">
        <v>20050915</v>
      </c>
      <c r="B5342" s="80" t="s">
        <v>11135</v>
      </c>
      <c r="C5342" s="80" t="s">
        <v>11136</v>
      </c>
    </row>
    <row r="5343" spans="1:3" s="79" customFormat="1" ht="19.149999999999999" customHeight="1" x14ac:dyDescent="0.2">
      <c r="A5343" s="81">
        <v>20050916</v>
      </c>
      <c r="B5343" s="80" t="s">
        <v>11137</v>
      </c>
      <c r="C5343" s="80" t="s">
        <v>11138</v>
      </c>
    </row>
    <row r="5344" spans="1:3" s="79" customFormat="1" ht="19.149999999999999" customHeight="1" x14ac:dyDescent="0.2">
      <c r="A5344" s="81">
        <v>20050917</v>
      </c>
      <c r="B5344" s="80" t="s">
        <v>11139</v>
      </c>
      <c r="C5344" s="80" t="s">
        <v>11140</v>
      </c>
    </row>
    <row r="5345" spans="1:3" s="79" customFormat="1" ht="19.149999999999999" customHeight="1" x14ac:dyDescent="0.2">
      <c r="A5345" s="81">
        <v>20050918</v>
      </c>
      <c r="B5345" s="80" t="s">
        <v>11141</v>
      </c>
      <c r="C5345" s="80" t="s">
        <v>11142</v>
      </c>
    </row>
    <row r="5346" spans="1:3" s="79" customFormat="1" ht="19.149999999999999" customHeight="1" x14ac:dyDescent="0.2">
      <c r="A5346" s="81">
        <v>20050919</v>
      </c>
      <c r="B5346" s="80" t="s">
        <v>11143</v>
      </c>
      <c r="C5346" s="80" t="s">
        <v>11144</v>
      </c>
    </row>
    <row r="5347" spans="1:3" s="79" customFormat="1" ht="19.149999999999999" customHeight="1" x14ac:dyDescent="0.2">
      <c r="A5347" s="81">
        <v>20050920</v>
      </c>
      <c r="B5347" s="80" t="s">
        <v>11145</v>
      </c>
      <c r="C5347" s="80" t="s">
        <v>11146</v>
      </c>
    </row>
    <row r="5348" spans="1:3" s="79" customFormat="1" ht="19.149999999999999" customHeight="1" x14ac:dyDescent="0.2">
      <c r="A5348" s="81">
        <v>20050921</v>
      </c>
      <c r="B5348" s="80" t="s">
        <v>11147</v>
      </c>
      <c r="C5348" s="80" t="s">
        <v>11148</v>
      </c>
    </row>
    <row r="5349" spans="1:3" s="79" customFormat="1" ht="19.149999999999999" customHeight="1" x14ac:dyDescent="0.2">
      <c r="A5349" s="81">
        <v>20050922</v>
      </c>
      <c r="B5349" s="80" t="s">
        <v>11149</v>
      </c>
      <c r="C5349" s="80" t="s">
        <v>11150</v>
      </c>
    </row>
    <row r="5350" spans="1:3" s="79" customFormat="1" ht="19.149999999999999" customHeight="1" x14ac:dyDescent="0.2">
      <c r="A5350" s="81">
        <v>20050923</v>
      </c>
      <c r="B5350" s="80" t="s">
        <v>11151</v>
      </c>
      <c r="C5350" s="80" t="s">
        <v>11152</v>
      </c>
    </row>
    <row r="5351" spans="1:3" s="79" customFormat="1" ht="19.149999999999999" customHeight="1" x14ac:dyDescent="0.2">
      <c r="A5351" s="81">
        <v>20050924</v>
      </c>
      <c r="B5351" s="80" t="s">
        <v>11153</v>
      </c>
      <c r="C5351" s="80" t="s">
        <v>11154</v>
      </c>
    </row>
    <row r="5352" spans="1:3" s="79" customFormat="1" ht="19.149999999999999" customHeight="1" x14ac:dyDescent="0.2">
      <c r="A5352" s="81">
        <v>20050925</v>
      </c>
      <c r="B5352" s="80" t="s">
        <v>11155</v>
      </c>
      <c r="C5352" s="80" t="s">
        <v>11156</v>
      </c>
    </row>
    <row r="5353" spans="1:3" s="79" customFormat="1" ht="19.149999999999999" customHeight="1" x14ac:dyDescent="0.2">
      <c r="A5353" s="81">
        <v>20050926</v>
      </c>
      <c r="B5353" s="80" t="s">
        <v>11157</v>
      </c>
      <c r="C5353" s="80" t="s">
        <v>11158</v>
      </c>
    </row>
    <row r="5354" spans="1:3" s="79" customFormat="1" ht="19.149999999999999" customHeight="1" x14ac:dyDescent="0.2">
      <c r="A5354" s="81">
        <v>20050927</v>
      </c>
      <c r="B5354" s="80" t="s">
        <v>11159</v>
      </c>
      <c r="C5354" s="80" t="s">
        <v>11160</v>
      </c>
    </row>
    <row r="5355" spans="1:3" s="79" customFormat="1" ht="19.149999999999999" customHeight="1" x14ac:dyDescent="0.2">
      <c r="A5355" s="81">
        <v>20050928</v>
      </c>
      <c r="B5355" s="80" t="s">
        <v>11161</v>
      </c>
      <c r="C5355" s="80" t="s">
        <v>11162</v>
      </c>
    </row>
    <row r="5356" spans="1:3" s="79" customFormat="1" ht="19.149999999999999" customHeight="1" x14ac:dyDescent="0.2">
      <c r="A5356" s="81">
        <v>20050929</v>
      </c>
      <c r="B5356" s="80" t="s">
        <v>11163</v>
      </c>
      <c r="C5356" s="80" t="s">
        <v>11164</v>
      </c>
    </row>
    <row r="5357" spans="1:3" s="79" customFormat="1" ht="19.149999999999999" customHeight="1" x14ac:dyDescent="0.2">
      <c r="A5357" s="81">
        <v>20050930</v>
      </c>
      <c r="B5357" s="80" t="s">
        <v>11165</v>
      </c>
      <c r="C5357" s="80" t="s">
        <v>11166</v>
      </c>
    </row>
    <row r="5358" spans="1:3" s="79" customFormat="1" ht="19.149999999999999" customHeight="1" x14ac:dyDescent="0.2">
      <c r="A5358" s="81">
        <v>20050931</v>
      </c>
      <c r="B5358" s="80" t="s">
        <v>11167</v>
      </c>
      <c r="C5358" s="80" t="s">
        <v>11168</v>
      </c>
    </row>
    <row r="5359" spans="1:3" s="79" customFormat="1" ht="19.149999999999999" customHeight="1" x14ac:dyDescent="0.2">
      <c r="A5359" s="81">
        <v>20050932</v>
      </c>
      <c r="B5359" s="80" t="s">
        <v>11169</v>
      </c>
      <c r="C5359" s="80" t="s">
        <v>11170</v>
      </c>
    </row>
    <row r="5360" spans="1:3" s="79" customFormat="1" ht="19.149999999999999" customHeight="1" x14ac:dyDescent="0.2">
      <c r="A5360" s="81">
        <v>20050933</v>
      </c>
      <c r="B5360" s="80" t="s">
        <v>11171</v>
      </c>
      <c r="C5360" s="80" t="s">
        <v>11172</v>
      </c>
    </row>
    <row r="5361" spans="1:3" s="79" customFormat="1" ht="19.149999999999999" customHeight="1" x14ac:dyDescent="0.2">
      <c r="A5361" s="81">
        <v>20050934</v>
      </c>
      <c r="B5361" s="80" t="s">
        <v>11173</v>
      </c>
      <c r="C5361" s="80" t="s">
        <v>11174</v>
      </c>
    </row>
    <row r="5362" spans="1:3" s="79" customFormat="1" ht="19.149999999999999" customHeight="1" x14ac:dyDescent="0.2">
      <c r="A5362" s="81">
        <v>20050935</v>
      </c>
      <c r="B5362" s="80" t="s">
        <v>11175</v>
      </c>
      <c r="C5362" s="80" t="s">
        <v>11176</v>
      </c>
    </row>
    <row r="5363" spans="1:3" s="79" customFormat="1" ht="19.149999999999999" customHeight="1" x14ac:dyDescent="0.2">
      <c r="A5363" s="81">
        <v>20050936</v>
      </c>
      <c r="B5363" s="80" t="s">
        <v>11177</v>
      </c>
      <c r="C5363" s="80" t="s">
        <v>11178</v>
      </c>
    </row>
    <row r="5364" spans="1:3" s="79" customFormat="1" ht="19.149999999999999" customHeight="1" x14ac:dyDescent="0.2">
      <c r="A5364" s="81">
        <v>20050937</v>
      </c>
      <c r="B5364" s="80" t="s">
        <v>11179</v>
      </c>
      <c r="C5364" s="80" t="s">
        <v>11180</v>
      </c>
    </row>
    <row r="5365" spans="1:3" s="79" customFormat="1" ht="19.149999999999999" customHeight="1" x14ac:dyDescent="0.2">
      <c r="A5365" s="81">
        <v>20050938</v>
      </c>
      <c r="B5365" s="80" t="s">
        <v>11181</v>
      </c>
      <c r="C5365" s="80" t="s">
        <v>11182</v>
      </c>
    </row>
    <row r="5366" spans="1:3" s="79" customFormat="1" ht="19.149999999999999" customHeight="1" x14ac:dyDescent="0.2">
      <c r="A5366" s="81">
        <v>20050939</v>
      </c>
      <c r="B5366" s="80" t="s">
        <v>11183</v>
      </c>
      <c r="C5366" s="80" t="s">
        <v>11184</v>
      </c>
    </row>
    <row r="5367" spans="1:3" s="79" customFormat="1" ht="19.149999999999999" customHeight="1" x14ac:dyDescent="0.2">
      <c r="A5367" s="81">
        <v>20050940</v>
      </c>
      <c r="B5367" s="80" t="s">
        <v>11185</v>
      </c>
      <c r="C5367" s="80" t="s">
        <v>11186</v>
      </c>
    </row>
    <row r="5368" spans="1:3" s="79" customFormat="1" ht="19.149999999999999" customHeight="1" x14ac:dyDescent="0.2">
      <c r="A5368" s="81">
        <v>20050941</v>
      </c>
      <c r="B5368" s="80" t="s">
        <v>11187</v>
      </c>
      <c r="C5368" s="80" t="s">
        <v>11188</v>
      </c>
    </row>
    <row r="5369" spans="1:3" s="79" customFormat="1" ht="19.149999999999999" customHeight="1" x14ac:dyDescent="0.2">
      <c r="A5369" s="81">
        <v>20050942</v>
      </c>
      <c r="B5369" s="80" t="s">
        <v>11189</v>
      </c>
      <c r="C5369" s="80" t="s">
        <v>11190</v>
      </c>
    </row>
    <row r="5370" spans="1:3" s="79" customFormat="1" ht="19.149999999999999" customHeight="1" x14ac:dyDescent="0.2">
      <c r="A5370" s="81">
        <v>20050943</v>
      </c>
      <c r="B5370" s="80" t="s">
        <v>11191</v>
      </c>
      <c r="C5370" s="80" t="s">
        <v>11192</v>
      </c>
    </row>
    <row r="5371" spans="1:3" s="79" customFormat="1" ht="19.149999999999999" customHeight="1" x14ac:dyDescent="0.2">
      <c r="A5371" s="81">
        <v>20050944</v>
      </c>
      <c r="B5371" s="80" t="s">
        <v>11623</v>
      </c>
      <c r="C5371" s="82" t="s">
        <v>11221</v>
      </c>
    </row>
    <row r="5372" spans="1:3" s="79" customFormat="1" ht="19.149999999999999" customHeight="1" x14ac:dyDescent="0.2">
      <c r="A5372" s="81">
        <v>20050945</v>
      </c>
      <c r="B5372" s="80" t="s">
        <v>11624</v>
      </c>
      <c r="C5372" s="82" t="s">
        <v>11222</v>
      </c>
    </row>
    <row r="5373" spans="1:3" s="79" customFormat="1" ht="19.149999999999999" customHeight="1" x14ac:dyDescent="0.2">
      <c r="A5373" s="81">
        <v>20050946</v>
      </c>
      <c r="B5373" s="80" t="s">
        <v>11625</v>
      </c>
      <c r="C5373" s="82" t="s">
        <v>11223</v>
      </c>
    </row>
    <row r="5374" spans="1:3" s="79" customFormat="1" ht="19.149999999999999" customHeight="1" x14ac:dyDescent="0.2">
      <c r="A5374" s="81">
        <v>20050947</v>
      </c>
      <c r="B5374" s="80" t="s">
        <v>11626</v>
      </c>
      <c r="C5374" s="82" t="s">
        <v>11224</v>
      </c>
    </row>
    <row r="5375" spans="1:3" s="79" customFormat="1" ht="19.149999999999999" customHeight="1" x14ac:dyDescent="0.2">
      <c r="A5375" s="81">
        <v>20050952</v>
      </c>
      <c r="B5375" s="80" t="s">
        <v>11193</v>
      </c>
      <c r="C5375" s="82" t="s">
        <v>11194</v>
      </c>
    </row>
    <row r="5376" spans="1:3" s="79" customFormat="1" ht="19.149999999999999" customHeight="1" x14ac:dyDescent="0.2">
      <c r="A5376" s="81">
        <v>20050953</v>
      </c>
      <c r="B5376" s="80" t="s">
        <v>11195</v>
      </c>
      <c r="C5376" s="82" t="s">
        <v>11196</v>
      </c>
    </row>
    <row r="5377" spans="1:3" s="79" customFormat="1" ht="19.149999999999999" customHeight="1" x14ac:dyDescent="0.2">
      <c r="A5377" s="81">
        <v>20050954</v>
      </c>
      <c r="B5377" s="80" t="s">
        <v>11197</v>
      </c>
      <c r="C5377" s="82" t="s">
        <v>11198</v>
      </c>
    </row>
    <row r="5378" spans="1:3" s="79" customFormat="1" ht="19.149999999999999" customHeight="1" x14ac:dyDescent="0.2">
      <c r="A5378" s="81">
        <v>20050955</v>
      </c>
      <c r="B5378" s="80" t="s">
        <v>11343</v>
      </c>
      <c r="C5378" s="81" t="s">
        <v>11200</v>
      </c>
    </row>
    <row r="5379" spans="1:3" s="79" customFormat="1" ht="19.149999999999999" customHeight="1" x14ac:dyDescent="0.2">
      <c r="A5379" s="81">
        <v>20050956</v>
      </c>
      <c r="B5379" s="80" t="s">
        <v>11627</v>
      </c>
      <c r="C5379" s="82" t="s">
        <v>11225</v>
      </c>
    </row>
    <row r="5380" spans="1:3" s="79" customFormat="1" ht="28.7" customHeight="1" x14ac:dyDescent="0.2">
      <c r="A5380" s="81">
        <v>20050957</v>
      </c>
      <c r="B5380" s="80" t="s">
        <v>11528</v>
      </c>
      <c r="C5380" s="82" t="s">
        <v>11227</v>
      </c>
    </row>
    <row r="5381" spans="1:3" s="79" customFormat="1" ht="28.7" customHeight="1" x14ac:dyDescent="0.2">
      <c r="A5381" s="81">
        <v>20050958</v>
      </c>
      <c r="B5381" s="80" t="s">
        <v>11529</v>
      </c>
      <c r="C5381" s="82" t="s">
        <v>11229</v>
      </c>
    </row>
    <row r="5382" spans="1:3" s="79" customFormat="1" ht="28.7" customHeight="1" x14ac:dyDescent="0.2">
      <c r="A5382" s="81">
        <v>20050959</v>
      </c>
      <c r="B5382" s="80" t="s">
        <v>11530</v>
      </c>
      <c r="C5382" s="82" t="s">
        <v>11231</v>
      </c>
    </row>
    <row r="5383" spans="1:3" s="79" customFormat="1" ht="28.7" customHeight="1" x14ac:dyDescent="0.2">
      <c r="A5383" s="81">
        <v>20050960</v>
      </c>
      <c r="B5383" s="80" t="s">
        <v>11531</v>
      </c>
      <c r="C5383" s="82" t="s">
        <v>11233</v>
      </c>
    </row>
    <row r="5384" spans="1:3" s="79" customFormat="1" ht="28.7" customHeight="1" x14ac:dyDescent="0.2">
      <c r="A5384" s="81">
        <v>20050961</v>
      </c>
      <c r="B5384" s="80" t="s">
        <v>11532</v>
      </c>
      <c r="C5384" s="82" t="s">
        <v>11235</v>
      </c>
    </row>
    <row r="5385" spans="1:3" s="79" customFormat="1" ht="28.7" customHeight="1" x14ac:dyDescent="0.2">
      <c r="A5385" s="81">
        <v>20050962</v>
      </c>
      <c r="B5385" s="80" t="s">
        <v>11533</v>
      </c>
      <c r="C5385" s="82" t="s">
        <v>11460</v>
      </c>
    </row>
    <row r="5386" spans="1:3" s="79" customFormat="1" ht="28.7" customHeight="1" x14ac:dyDescent="0.2">
      <c r="A5386" s="81">
        <v>20050963</v>
      </c>
      <c r="B5386" s="80" t="s">
        <v>11237</v>
      </c>
      <c r="C5386" s="82" t="s">
        <v>11238</v>
      </c>
    </row>
    <row r="5387" spans="1:3" s="79" customFormat="1" ht="179.1" customHeight="1" x14ac:dyDescent="0.2">
      <c r="A5387" s="81">
        <v>20050964</v>
      </c>
      <c r="B5387" s="80" t="s">
        <v>11534</v>
      </c>
      <c r="C5387" s="82" t="s">
        <v>11240</v>
      </c>
    </row>
    <row r="5388" spans="1:3" s="79" customFormat="1" ht="28.7" customHeight="1" x14ac:dyDescent="0.2">
      <c r="A5388" s="81">
        <v>20050965</v>
      </c>
      <c r="B5388" s="80" t="s">
        <v>11535</v>
      </c>
      <c r="C5388" s="82" t="s">
        <v>11242</v>
      </c>
    </row>
    <row r="5389" spans="1:3" s="79" customFormat="1" ht="49.15" customHeight="1" x14ac:dyDescent="0.2">
      <c r="A5389" s="81">
        <v>20050972</v>
      </c>
      <c r="B5389" s="80" t="s">
        <v>11461</v>
      </c>
      <c r="C5389" s="80" t="s">
        <v>11284</v>
      </c>
    </row>
    <row r="5390" spans="1:3" s="79" customFormat="1" ht="38.85" customHeight="1" x14ac:dyDescent="0.2">
      <c r="A5390" s="81">
        <v>20050973</v>
      </c>
      <c r="B5390" s="80" t="s">
        <v>11285</v>
      </c>
      <c r="C5390" s="82" t="s">
        <v>11286</v>
      </c>
    </row>
    <row r="5391" spans="1:3" s="79" customFormat="1" ht="49.15" customHeight="1" x14ac:dyDescent="0.2">
      <c r="A5391" s="81">
        <v>20050974</v>
      </c>
      <c r="B5391" s="80" t="s">
        <v>11628</v>
      </c>
      <c r="C5391" s="82" t="s">
        <v>11287</v>
      </c>
    </row>
    <row r="5392" spans="1:3" s="79" customFormat="1" ht="49.15" customHeight="1" x14ac:dyDescent="0.2">
      <c r="A5392" s="81">
        <v>20050975</v>
      </c>
      <c r="B5392" s="80" t="s">
        <v>11288</v>
      </c>
      <c r="C5392" s="82" t="s">
        <v>11289</v>
      </c>
    </row>
    <row r="5393" spans="1:3" s="79" customFormat="1" ht="49.15" customHeight="1" x14ac:dyDescent="0.2">
      <c r="A5393" s="81">
        <v>20050976</v>
      </c>
      <c r="B5393" s="80" t="s">
        <v>11629</v>
      </c>
      <c r="C5393" s="82" t="s">
        <v>11290</v>
      </c>
    </row>
    <row r="5394" spans="1:3" s="79" customFormat="1" ht="59.1" customHeight="1" x14ac:dyDescent="0.2">
      <c r="A5394" s="81">
        <v>20050977</v>
      </c>
      <c r="B5394" s="80" t="s">
        <v>11363</v>
      </c>
      <c r="C5394" s="80" t="s">
        <v>11364</v>
      </c>
    </row>
    <row r="5395" spans="1:3" s="79" customFormat="1" ht="38.85" customHeight="1" x14ac:dyDescent="0.2">
      <c r="A5395" s="81">
        <v>20050978</v>
      </c>
      <c r="B5395" s="80" t="s">
        <v>11346</v>
      </c>
      <c r="C5395" s="80" t="s">
        <v>11347</v>
      </c>
    </row>
    <row r="5396" spans="1:3" s="79" customFormat="1" ht="49.15" customHeight="1" x14ac:dyDescent="0.2">
      <c r="A5396" s="81">
        <v>20050982</v>
      </c>
      <c r="B5396" s="80" t="s">
        <v>11462</v>
      </c>
      <c r="C5396" s="80" t="s">
        <v>11291</v>
      </c>
    </row>
    <row r="5397" spans="1:3" s="79" customFormat="1" ht="49.15" customHeight="1" x14ac:dyDescent="0.2">
      <c r="A5397" s="81">
        <v>20050983</v>
      </c>
      <c r="B5397" s="80" t="s">
        <v>11292</v>
      </c>
      <c r="C5397" s="82" t="s">
        <v>11293</v>
      </c>
    </row>
    <row r="5398" spans="1:3" s="79" customFormat="1" ht="19.149999999999999" customHeight="1" x14ac:dyDescent="0.2">
      <c r="A5398" s="81">
        <v>20050984</v>
      </c>
      <c r="B5398" s="80" t="s">
        <v>11294</v>
      </c>
      <c r="C5398" s="82" t="s">
        <v>11295</v>
      </c>
    </row>
    <row r="5399" spans="1:3" s="79" customFormat="1" ht="28.7" customHeight="1" x14ac:dyDescent="0.2">
      <c r="A5399" s="81">
        <v>20050985</v>
      </c>
      <c r="B5399" s="80" t="s">
        <v>11405</v>
      </c>
      <c r="C5399" s="81" t="s">
        <v>11296</v>
      </c>
    </row>
    <row r="5400" spans="1:3" s="79" customFormat="1" ht="38.85" customHeight="1" x14ac:dyDescent="0.2">
      <c r="A5400" s="81">
        <v>20050986</v>
      </c>
      <c r="B5400" s="80" t="s">
        <v>11630</v>
      </c>
      <c r="C5400" s="82" t="s">
        <v>11297</v>
      </c>
    </row>
    <row r="5401" spans="1:3" s="79" customFormat="1" ht="38.85" customHeight="1" x14ac:dyDescent="0.2">
      <c r="A5401" s="81">
        <v>20050987</v>
      </c>
      <c r="B5401" s="80" t="s">
        <v>11631</v>
      </c>
      <c r="C5401" s="82" t="s">
        <v>11298</v>
      </c>
    </row>
    <row r="5402" spans="1:3" s="79" customFormat="1" ht="38.85" customHeight="1" x14ac:dyDescent="0.2">
      <c r="A5402" s="81">
        <v>20050988</v>
      </c>
      <c r="B5402" s="80" t="s">
        <v>11348</v>
      </c>
      <c r="C5402" s="80" t="s">
        <v>11349</v>
      </c>
    </row>
    <row r="5403" spans="1:3" s="79" customFormat="1" ht="19.149999999999999" customHeight="1" x14ac:dyDescent="0.2">
      <c r="A5403" s="81">
        <v>20050989</v>
      </c>
      <c r="B5403" s="80" t="s">
        <v>11350</v>
      </c>
      <c r="C5403" s="82" t="s">
        <v>11351</v>
      </c>
    </row>
    <row r="5404" spans="1:3" s="79" customFormat="1" ht="19.149999999999999" customHeight="1" x14ac:dyDescent="0.2">
      <c r="A5404" s="81">
        <v>20050992</v>
      </c>
      <c r="B5404" s="80" t="s">
        <v>11299</v>
      </c>
      <c r="C5404" s="81" t="s">
        <v>11300</v>
      </c>
    </row>
    <row r="5405" spans="1:3" s="79" customFormat="1" ht="19.149999999999999" customHeight="1" x14ac:dyDescent="0.2">
      <c r="A5405" s="81">
        <v>20050993</v>
      </c>
      <c r="B5405" s="80" t="s">
        <v>11632</v>
      </c>
      <c r="C5405" s="82" t="s">
        <v>11301</v>
      </c>
    </row>
    <row r="5406" spans="1:3" s="79" customFormat="1" ht="28.7" customHeight="1" x14ac:dyDescent="0.2">
      <c r="A5406" s="81">
        <v>20050994</v>
      </c>
      <c r="B5406" s="80" t="s">
        <v>11302</v>
      </c>
      <c r="C5406" s="82" t="s">
        <v>11303</v>
      </c>
    </row>
    <row r="5407" spans="1:3" s="79" customFormat="1" ht="28.7" customHeight="1" x14ac:dyDescent="0.2">
      <c r="A5407" s="81">
        <v>20050995</v>
      </c>
      <c r="B5407" s="80" t="s">
        <v>11352</v>
      </c>
      <c r="C5407" s="80" t="s">
        <v>11353</v>
      </c>
    </row>
    <row r="5408" spans="1:3" s="79" customFormat="1" ht="249" customHeight="1" x14ac:dyDescent="0.2">
      <c r="A5408" s="81">
        <v>20050996</v>
      </c>
      <c r="B5408" s="80" t="s">
        <v>11354</v>
      </c>
      <c r="C5408" s="82" t="s">
        <v>11355</v>
      </c>
    </row>
    <row r="5409" spans="1:3" s="79" customFormat="1" ht="38.85" customHeight="1" x14ac:dyDescent="0.2">
      <c r="A5409" s="81">
        <v>20050997</v>
      </c>
      <c r="B5409" s="80" t="s">
        <v>11356</v>
      </c>
      <c r="C5409" s="82" t="s">
        <v>11357</v>
      </c>
    </row>
    <row r="5410" spans="1:3" s="79" customFormat="1" ht="38.85" customHeight="1" x14ac:dyDescent="0.2">
      <c r="A5410" s="81">
        <v>20050998</v>
      </c>
      <c r="B5410" s="80" t="s">
        <v>11358</v>
      </c>
      <c r="C5410" s="80" t="s">
        <v>11359</v>
      </c>
    </row>
    <row r="5411" spans="1:3" s="79" customFormat="1" ht="19.149999999999999" customHeight="1" x14ac:dyDescent="0.2">
      <c r="A5411" s="81">
        <v>20051002</v>
      </c>
      <c r="B5411" s="80" t="s">
        <v>11633</v>
      </c>
      <c r="C5411" s="82" t="s">
        <v>11360</v>
      </c>
    </row>
    <row r="5412" spans="1:3" s="79" customFormat="1" ht="28.7" customHeight="1" x14ac:dyDescent="0.2">
      <c r="A5412" s="81">
        <v>20051003</v>
      </c>
      <c r="B5412" s="80" t="s">
        <v>11304</v>
      </c>
      <c r="C5412" s="82" t="s">
        <v>11305</v>
      </c>
    </row>
    <row r="5413" spans="1:3" s="79" customFormat="1" ht="68.849999999999994" customHeight="1" x14ac:dyDescent="0.2">
      <c r="A5413" s="81">
        <v>20051004</v>
      </c>
      <c r="B5413" s="80" t="s">
        <v>11634</v>
      </c>
      <c r="C5413" s="82" t="s">
        <v>11306</v>
      </c>
    </row>
    <row r="5414" spans="1:3" s="79" customFormat="1" ht="38.85" customHeight="1" x14ac:dyDescent="0.2">
      <c r="A5414" s="81">
        <v>20051005</v>
      </c>
      <c r="B5414" s="80" t="s">
        <v>11361</v>
      </c>
      <c r="C5414" s="81" t="s">
        <v>11362</v>
      </c>
    </row>
    <row r="5415" spans="1:3" s="79" customFormat="1" ht="38.85" customHeight="1" x14ac:dyDescent="0.2">
      <c r="A5415" s="81">
        <v>20051006</v>
      </c>
      <c r="B5415" s="80" t="s">
        <v>11344</v>
      </c>
      <c r="C5415" s="80" t="s">
        <v>11345</v>
      </c>
    </row>
    <row r="5416" spans="1:3" s="79" customFormat="1" ht="19.149999999999999" customHeight="1" x14ac:dyDescent="0.2">
      <c r="A5416" s="81">
        <v>20051012</v>
      </c>
      <c r="B5416" s="80" t="s">
        <v>11365</v>
      </c>
      <c r="C5416" s="82" t="s">
        <v>11366</v>
      </c>
    </row>
    <row r="5417" spans="1:3" s="79" customFormat="1" ht="59.1" customHeight="1" x14ac:dyDescent="0.2">
      <c r="A5417" s="81">
        <v>20051022</v>
      </c>
      <c r="B5417" s="80" t="s">
        <v>11406</v>
      </c>
      <c r="C5417" s="80" t="s">
        <v>11407</v>
      </c>
    </row>
    <row r="5418" spans="1:3" s="79" customFormat="1" ht="59.1" customHeight="1" x14ac:dyDescent="0.2">
      <c r="A5418" s="81">
        <v>20051023</v>
      </c>
      <c r="B5418" s="80" t="s">
        <v>11408</v>
      </c>
      <c r="C5418" s="82" t="s">
        <v>11409</v>
      </c>
    </row>
    <row r="5419" spans="1:3" s="79" customFormat="1" ht="19.149999999999999" customHeight="1" x14ac:dyDescent="0.2">
      <c r="A5419" s="81">
        <v>20051024</v>
      </c>
      <c r="B5419" s="80" t="s">
        <v>11708</v>
      </c>
      <c r="C5419" s="81" t="s">
        <v>11463</v>
      </c>
    </row>
    <row r="5420" spans="1:3" s="79" customFormat="1" ht="28.7" customHeight="1" x14ac:dyDescent="0.2">
      <c r="A5420" s="81">
        <v>20051025</v>
      </c>
      <c r="B5420" s="80" t="s">
        <v>11551</v>
      </c>
      <c r="C5420" s="81" t="s">
        <v>11464</v>
      </c>
    </row>
    <row r="5421" spans="1:3" s="79" customFormat="1" ht="38.85" customHeight="1" x14ac:dyDescent="0.2">
      <c r="A5421" s="81">
        <v>20051027</v>
      </c>
      <c r="B5421" s="80" t="s">
        <v>11465</v>
      </c>
      <c r="C5421" s="82" t="s">
        <v>11466</v>
      </c>
    </row>
    <row r="5422" spans="1:3" s="79" customFormat="1" ht="49.15" customHeight="1" x14ac:dyDescent="0.2">
      <c r="A5422" s="81">
        <v>20051028</v>
      </c>
      <c r="B5422" s="80" t="s">
        <v>11467</v>
      </c>
      <c r="C5422" s="82" t="s">
        <v>11468</v>
      </c>
    </row>
    <row r="5423" spans="1:3" s="79" customFormat="1" ht="179.1" customHeight="1" x14ac:dyDescent="0.2">
      <c r="A5423" s="81">
        <v>20051029</v>
      </c>
      <c r="B5423" s="80" t="s">
        <v>11469</v>
      </c>
      <c r="C5423" s="80" t="s">
        <v>11470</v>
      </c>
    </row>
    <row r="5424" spans="1:3" s="79" customFormat="1" ht="19.149999999999999" customHeight="1" x14ac:dyDescent="0.2">
      <c r="A5424" s="81">
        <v>20051032</v>
      </c>
      <c r="B5424" s="80" t="s">
        <v>11410</v>
      </c>
      <c r="C5424" s="82" t="s">
        <v>11411</v>
      </c>
    </row>
    <row r="5425" spans="1:3" s="79" customFormat="1" ht="28.7" customHeight="1" x14ac:dyDescent="0.2">
      <c r="A5425" s="81">
        <v>20051033</v>
      </c>
      <c r="B5425" s="80" t="s">
        <v>11552</v>
      </c>
      <c r="C5425" s="81" t="s">
        <v>11553</v>
      </c>
    </row>
    <row r="5426" spans="1:3" s="79" customFormat="1" ht="19.149999999999999" customHeight="1" x14ac:dyDescent="0.2">
      <c r="A5426" s="81">
        <v>20051034</v>
      </c>
      <c r="B5426" s="80" t="s">
        <v>11554</v>
      </c>
      <c r="C5426" s="81" t="s">
        <v>11471</v>
      </c>
    </row>
    <row r="5427" spans="1:3" s="79" customFormat="1" ht="49.15" customHeight="1" x14ac:dyDescent="0.2">
      <c r="A5427" s="81">
        <v>20051035</v>
      </c>
      <c r="B5427" s="80" t="s">
        <v>11555</v>
      </c>
      <c r="C5427" s="80" t="s">
        <v>11472</v>
      </c>
    </row>
    <row r="5428" spans="1:3" s="79" customFormat="1" ht="169.15" customHeight="1" x14ac:dyDescent="0.2">
      <c r="A5428" s="81">
        <v>20051036</v>
      </c>
      <c r="B5428" s="80" t="s">
        <v>11473</v>
      </c>
      <c r="C5428" s="82" t="s">
        <v>11474</v>
      </c>
    </row>
    <row r="5429" spans="1:3" s="79" customFormat="1" ht="198.95" customHeight="1" x14ac:dyDescent="0.2">
      <c r="A5429" s="81">
        <v>20051037</v>
      </c>
      <c r="B5429" s="80" t="s">
        <v>11475</v>
      </c>
      <c r="C5429" s="82" t="s">
        <v>11476</v>
      </c>
    </row>
    <row r="5430" spans="1:3" s="79" customFormat="1" ht="28.7" customHeight="1" x14ac:dyDescent="0.2">
      <c r="A5430" s="81">
        <v>20051038</v>
      </c>
      <c r="B5430" s="80" t="s">
        <v>11536</v>
      </c>
      <c r="C5430" s="82" t="s">
        <v>11537</v>
      </c>
    </row>
    <row r="5431" spans="1:3" s="79" customFormat="1" ht="68.849999999999994" customHeight="1" x14ac:dyDescent="0.2">
      <c r="A5431" s="81">
        <v>20051042</v>
      </c>
      <c r="B5431" s="80" t="s">
        <v>11477</v>
      </c>
      <c r="C5431" s="81" t="s">
        <v>11556</v>
      </c>
    </row>
    <row r="5432" spans="1:3" s="79" customFormat="1" ht="19.149999999999999" customHeight="1" x14ac:dyDescent="0.2">
      <c r="A5432" s="81">
        <v>20051043</v>
      </c>
      <c r="B5432" s="80" t="s">
        <v>11557</v>
      </c>
      <c r="C5432" s="80" t="s">
        <v>11478</v>
      </c>
    </row>
    <row r="5433" spans="1:3" s="79" customFormat="1" ht="49.15" customHeight="1" x14ac:dyDescent="0.2">
      <c r="A5433" s="81">
        <v>20051044</v>
      </c>
      <c r="B5433" s="80" t="s">
        <v>11479</v>
      </c>
      <c r="C5433" s="81" t="s">
        <v>11480</v>
      </c>
    </row>
    <row r="5434" spans="1:3" s="79" customFormat="1" ht="198.95" customHeight="1" x14ac:dyDescent="0.2">
      <c r="A5434" s="81">
        <v>20051045</v>
      </c>
      <c r="B5434" s="80" t="s">
        <v>11481</v>
      </c>
      <c r="C5434" s="82" t="s">
        <v>11482</v>
      </c>
    </row>
    <row r="5435" spans="1:3" s="79" customFormat="1" ht="198.95" customHeight="1" x14ac:dyDescent="0.2">
      <c r="A5435" s="81">
        <v>20051046</v>
      </c>
      <c r="B5435" s="80" t="s">
        <v>11483</v>
      </c>
      <c r="C5435" s="82" t="s">
        <v>11484</v>
      </c>
    </row>
    <row r="5436" spans="1:3" s="79" customFormat="1" ht="19.149999999999999" customHeight="1" x14ac:dyDescent="0.2">
      <c r="A5436" s="81">
        <v>20051052</v>
      </c>
      <c r="B5436" s="80" t="s">
        <v>11485</v>
      </c>
      <c r="C5436" s="81" t="s">
        <v>11558</v>
      </c>
    </row>
    <row r="5437" spans="1:3" s="79" customFormat="1" ht="38.85" customHeight="1" x14ac:dyDescent="0.2">
      <c r="A5437" s="81">
        <v>20051053</v>
      </c>
      <c r="B5437" s="80" t="s">
        <v>11709</v>
      </c>
      <c r="C5437" s="81" t="s">
        <v>11486</v>
      </c>
    </row>
    <row r="5438" spans="1:3" s="79" customFormat="1" ht="28.7" customHeight="1" x14ac:dyDescent="0.2">
      <c r="A5438" s="81">
        <v>20051054</v>
      </c>
      <c r="B5438" s="80" t="s">
        <v>11487</v>
      </c>
      <c r="C5438" s="81" t="s">
        <v>11488</v>
      </c>
    </row>
    <row r="5439" spans="1:3" s="79" customFormat="1" ht="68.849999999999994" customHeight="1" x14ac:dyDescent="0.2">
      <c r="A5439" s="81">
        <v>20051055</v>
      </c>
      <c r="B5439" s="80" t="s">
        <v>11489</v>
      </c>
      <c r="C5439" s="82" t="s">
        <v>11490</v>
      </c>
    </row>
    <row r="5440" spans="1:3" s="79" customFormat="1" ht="169.15" customHeight="1" x14ac:dyDescent="0.2">
      <c r="A5440" s="81">
        <v>20051056</v>
      </c>
      <c r="B5440" s="80" t="s">
        <v>11491</v>
      </c>
      <c r="C5440" s="82" t="s">
        <v>11492</v>
      </c>
    </row>
    <row r="5441" spans="1:3" s="79" customFormat="1" ht="19.149999999999999" customHeight="1" x14ac:dyDescent="0.2">
      <c r="A5441" s="81">
        <v>20051057</v>
      </c>
      <c r="B5441" s="80" t="s">
        <v>11493</v>
      </c>
      <c r="C5441" s="82" t="s">
        <v>11494</v>
      </c>
    </row>
    <row r="5442" spans="1:3" s="79" customFormat="1" ht="99.2" customHeight="1" x14ac:dyDescent="0.2">
      <c r="A5442" s="81">
        <v>20051058</v>
      </c>
      <c r="B5442" s="80" t="s">
        <v>11495</v>
      </c>
      <c r="C5442" s="82" t="s">
        <v>11496</v>
      </c>
    </row>
    <row r="5443" spans="1:3" s="79" customFormat="1" ht="28.7" customHeight="1" x14ac:dyDescent="0.2">
      <c r="A5443" s="81">
        <v>20051062</v>
      </c>
      <c r="B5443" s="80" t="s">
        <v>11538</v>
      </c>
      <c r="C5443" s="81" t="s">
        <v>11539</v>
      </c>
    </row>
    <row r="5444" spans="1:3" s="79" customFormat="1" ht="28.7" customHeight="1" x14ac:dyDescent="0.2">
      <c r="A5444" s="81">
        <v>20051063</v>
      </c>
      <c r="B5444" s="80" t="s">
        <v>11559</v>
      </c>
      <c r="C5444" s="80" t="s">
        <v>11560</v>
      </c>
    </row>
    <row r="5445" spans="1:3" s="79" customFormat="1" ht="169.15" customHeight="1" x14ac:dyDescent="0.2">
      <c r="A5445" s="81">
        <v>20051064</v>
      </c>
      <c r="B5445" s="80" t="s">
        <v>11561</v>
      </c>
      <c r="C5445" s="82" t="s">
        <v>11562</v>
      </c>
    </row>
    <row r="5446" spans="1:3" s="79" customFormat="1" ht="169.15" customHeight="1" x14ac:dyDescent="0.2">
      <c r="A5446" s="81">
        <v>20051065</v>
      </c>
      <c r="B5446" s="80" t="s">
        <v>11635</v>
      </c>
      <c r="C5446" s="82" t="s">
        <v>11636</v>
      </c>
    </row>
    <row r="5447" spans="1:3" s="79" customFormat="1" ht="109.35" customHeight="1" x14ac:dyDescent="0.2">
      <c r="A5447" s="81">
        <v>20051066</v>
      </c>
      <c r="B5447" s="80" t="s">
        <v>11637</v>
      </c>
      <c r="C5447" s="80" t="s">
        <v>11638</v>
      </c>
    </row>
    <row r="5448" spans="1:3" s="79" customFormat="1" ht="38.85" customHeight="1" x14ac:dyDescent="0.2">
      <c r="A5448" s="81">
        <v>20051067</v>
      </c>
      <c r="B5448" s="80" t="s">
        <v>11639</v>
      </c>
      <c r="C5448" s="80" t="s">
        <v>11640</v>
      </c>
    </row>
    <row r="5449" spans="1:3" s="79" customFormat="1" ht="38.85" customHeight="1" x14ac:dyDescent="0.2">
      <c r="A5449" s="81">
        <v>20051072</v>
      </c>
      <c r="B5449" s="80" t="s">
        <v>11641</v>
      </c>
      <c r="C5449" s="81" t="s">
        <v>11642</v>
      </c>
    </row>
    <row r="5450" spans="1:3" s="79" customFormat="1" ht="28.7" customHeight="1" x14ac:dyDescent="0.2">
      <c r="A5450" s="81">
        <v>20051073</v>
      </c>
      <c r="B5450" s="80" t="s">
        <v>11643</v>
      </c>
      <c r="C5450" s="82" t="s">
        <v>9502</v>
      </c>
    </row>
    <row r="5451" spans="1:3" s="79" customFormat="1" ht="28.7" customHeight="1" x14ac:dyDescent="0.2">
      <c r="A5451" s="81">
        <v>20051074</v>
      </c>
      <c r="B5451" s="80" t="s">
        <v>11645</v>
      </c>
      <c r="C5451" s="82" t="s">
        <v>11646</v>
      </c>
    </row>
    <row r="5452" spans="1:3" s="79" customFormat="1" ht="229.35" customHeight="1" x14ac:dyDescent="0.2">
      <c r="A5452" s="81">
        <v>20051075</v>
      </c>
      <c r="B5452" s="80" t="s">
        <v>11647</v>
      </c>
      <c r="C5452" s="81" t="s">
        <v>11648</v>
      </c>
    </row>
    <row r="5453" spans="1:3" s="79" customFormat="1" ht="19.149999999999999" customHeight="1" x14ac:dyDescent="0.2">
      <c r="A5453" s="81">
        <v>20051082</v>
      </c>
      <c r="B5453" s="80" t="s">
        <v>11649</v>
      </c>
      <c r="C5453" s="80" t="s">
        <v>11650</v>
      </c>
    </row>
    <row r="5454" spans="1:3" s="79" customFormat="1" ht="49.15" customHeight="1" x14ac:dyDescent="0.2">
      <c r="A5454" s="81">
        <v>20051083</v>
      </c>
      <c r="B5454" s="80" t="s">
        <v>11652</v>
      </c>
      <c r="C5454" s="82" t="s">
        <v>11653</v>
      </c>
    </row>
    <row r="5455" spans="1:3" s="79" customFormat="1" ht="28.7" customHeight="1" x14ac:dyDescent="0.2">
      <c r="A5455" s="81">
        <v>20051084</v>
      </c>
      <c r="B5455" s="80" t="s">
        <v>11654</v>
      </c>
      <c r="C5455" s="82" t="s">
        <v>11655</v>
      </c>
    </row>
    <row r="5456" spans="1:3" s="79" customFormat="1" ht="19.149999999999999" customHeight="1" x14ac:dyDescent="0.2">
      <c r="A5456" s="81">
        <v>20051092</v>
      </c>
      <c r="B5456" s="80" t="s">
        <v>11656</v>
      </c>
      <c r="C5456" s="82" t="s">
        <v>11657</v>
      </c>
    </row>
    <row r="5457" spans="1:3" s="79" customFormat="1" ht="19.149999999999999" customHeight="1" x14ac:dyDescent="0.2">
      <c r="A5457" s="81">
        <v>20051093</v>
      </c>
      <c r="B5457" s="80" t="s">
        <v>11710</v>
      </c>
      <c r="C5457" s="82" t="s">
        <v>11711</v>
      </c>
    </row>
    <row r="5458" spans="1:3" s="79" customFormat="1" ht="179.1" customHeight="1" x14ac:dyDescent="0.2">
      <c r="A5458" s="81">
        <v>20051094</v>
      </c>
      <c r="B5458" s="80" t="s">
        <v>11712</v>
      </c>
      <c r="C5458" s="80" t="s">
        <v>11713</v>
      </c>
    </row>
    <row r="5459" spans="1:3" s="79" customFormat="1" ht="28.7" customHeight="1" x14ac:dyDescent="0.2">
      <c r="A5459" s="81">
        <v>20051096</v>
      </c>
      <c r="B5459" s="80" t="s">
        <v>11714</v>
      </c>
      <c r="C5459" s="80" t="s">
        <v>11715</v>
      </c>
    </row>
    <row r="5460" spans="1:3" s="79" customFormat="1" ht="49.15" customHeight="1" x14ac:dyDescent="0.2">
      <c r="A5460" s="81">
        <v>20051102</v>
      </c>
      <c r="B5460" s="80" t="s">
        <v>11658</v>
      </c>
      <c r="C5460" s="80" t="s">
        <v>11659</v>
      </c>
    </row>
    <row r="5461" spans="1:3" s="79" customFormat="1" ht="279.39999999999998" customHeight="1" x14ac:dyDescent="0.2">
      <c r="A5461" s="81">
        <v>20051103</v>
      </c>
      <c r="B5461" s="80" t="s">
        <v>11716</v>
      </c>
      <c r="C5461" s="82" t="s">
        <v>11717</v>
      </c>
    </row>
    <row r="5462" spans="1:3" s="79" customFormat="1" ht="19.149999999999999" customHeight="1" x14ac:dyDescent="0.2">
      <c r="A5462" s="81">
        <v>20051104</v>
      </c>
      <c r="B5462" s="80" t="s">
        <v>11718</v>
      </c>
      <c r="C5462" s="81" t="s">
        <v>11719</v>
      </c>
    </row>
    <row r="5463" spans="1:3" s="79" customFormat="1" ht="38.85" customHeight="1" x14ac:dyDescent="0.2">
      <c r="A5463" s="81">
        <v>20051105</v>
      </c>
      <c r="B5463" s="80" t="s">
        <v>11720</v>
      </c>
      <c r="C5463" s="80" t="s">
        <v>11721</v>
      </c>
    </row>
    <row r="5464" spans="1:3" s="79" customFormat="1" ht="38.85" customHeight="1" x14ac:dyDescent="0.2">
      <c r="A5464" s="81">
        <v>20051112</v>
      </c>
      <c r="B5464" s="80" t="s">
        <v>11722</v>
      </c>
      <c r="C5464" s="82" t="s">
        <v>11723</v>
      </c>
    </row>
    <row r="5465" spans="1:3" s="79" customFormat="1" ht="28.7" customHeight="1" x14ac:dyDescent="0.2">
      <c r="A5465" s="81">
        <v>20051113</v>
      </c>
      <c r="B5465" s="80" t="s">
        <v>11724</v>
      </c>
      <c r="C5465" s="82" t="s">
        <v>11725</v>
      </c>
    </row>
    <row r="5466" spans="1:3" s="79" customFormat="1" ht="19.149999999999999" customHeight="1" x14ac:dyDescent="0.2">
      <c r="A5466" s="81">
        <v>20051114</v>
      </c>
      <c r="B5466" s="80" t="s">
        <v>11726</v>
      </c>
      <c r="C5466" s="82" t="s">
        <v>11727</v>
      </c>
    </row>
    <row r="5467" spans="1:3" s="79" customFormat="1" ht="239.45" customHeight="1" x14ac:dyDescent="0.2">
      <c r="A5467" s="81">
        <v>20051122</v>
      </c>
      <c r="B5467" s="80" t="s">
        <v>11728</v>
      </c>
      <c r="C5467" s="82" t="s">
        <v>11729</v>
      </c>
    </row>
    <row r="5468" spans="1:3" s="79" customFormat="1" ht="229.35" customHeight="1" x14ac:dyDescent="0.2">
      <c r="A5468" s="81">
        <v>20051123</v>
      </c>
      <c r="B5468" s="80" t="s">
        <v>11730</v>
      </c>
      <c r="C5468" s="81" t="s">
        <v>11731</v>
      </c>
    </row>
    <row r="5469" spans="1:3" s="79" customFormat="1" ht="179.1" customHeight="1" x14ac:dyDescent="0.2">
      <c r="A5469" s="81">
        <v>20051132</v>
      </c>
      <c r="B5469" s="80" t="s">
        <v>11732</v>
      </c>
      <c r="C5469" s="80" t="s">
        <v>11733</v>
      </c>
    </row>
    <row r="5470" spans="1:3" s="79" customFormat="1" ht="59.1" customHeight="1" x14ac:dyDescent="0.2">
      <c r="A5470" s="81">
        <v>20051142</v>
      </c>
      <c r="B5470" s="80" t="s">
        <v>11734</v>
      </c>
      <c r="C5470" s="80" t="s">
        <v>11735</v>
      </c>
    </row>
    <row r="5471" spans="1:3" s="79" customFormat="1" ht="68.849999999999994" customHeight="1" x14ac:dyDescent="0.2">
      <c r="A5471" s="81">
        <v>20051152</v>
      </c>
      <c r="B5471" s="80" t="s">
        <v>11736</v>
      </c>
      <c r="C5471" s="82" t="s">
        <v>11737</v>
      </c>
    </row>
    <row r="5472" spans="1:3" s="79" customFormat="1" ht="129" customHeight="1" x14ac:dyDescent="0.2">
      <c r="A5472" s="81">
        <v>26000080</v>
      </c>
      <c r="B5472" s="80" t="s">
        <v>2878</v>
      </c>
      <c r="C5472" s="81" t="s">
        <v>10681</v>
      </c>
    </row>
    <row r="5473" spans="1:3" s="79" customFormat="1" ht="68.849999999999994" customHeight="1" x14ac:dyDescent="0.2">
      <c r="A5473" s="81">
        <v>26000085</v>
      </c>
      <c r="B5473" s="80" t="s">
        <v>2879</v>
      </c>
      <c r="C5473" s="81" t="s">
        <v>10682</v>
      </c>
    </row>
    <row r="5474" spans="1:3" s="79" customFormat="1" ht="99.2" customHeight="1" x14ac:dyDescent="0.2">
      <c r="A5474" s="81">
        <v>26000095</v>
      </c>
      <c r="B5474" s="80" t="s">
        <v>2880</v>
      </c>
      <c r="C5474" s="81" t="s">
        <v>10683</v>
      </c>
    </row>
    <row r="5475" spans="1:3" s="79" customFormat="1" ht="209.1" customHeight="1" x14ac:dyDescent="0.2">
      <c r="A5475" s="81">
        <v>26000130</v>
      </c>
      <c r="B5475" s="80" t="s">
        <v>2881</v>
      </c>
      <c r="C5475" s="82" t="s">
        <v>10684</v>
      </c>
    </row>
    <row r="5476" spans="1:3" s="79" customFormat="1" ht="189.4" customHeight="1" x14ac:dyDescent="0.2">
      <c r="A5476" s="81">
        <v>26000140</v>
      </c>
      <c r="B5476" s="80" t="s">
        <v>4923</v>
      </c>
      <c r="C5476" s="81" t="s">
        <v>10685</v>
      </c>
    </row>
    <row r="5477" spans="1:3" s="79" customFormat="1" ht="89.1" customHeight="1" x14ac:dyDescent="0.2">
      <c r="A5477" s="81">
        <v>26000150</v>
      </c>
      <c r="B5477" s="80" t="s">
        <v>3968</v>
      </c>
      <c r="C5477" s="81" t="s">
        <v>10686</v>
      </c>
    </row>
    <row r="5478" spans="1:3" s="79" customFormat="1" ht="99.2" customHeight="1" x14ac:dyDescent="0.2">
      <c r="A5478" s="81">
        <v>26000160</v>
      </c>
      <c r="B5478" s="80" t="s">
        <v>4924</v>
      </c>
      <c r="C5478" s="81" t="s">
        <v>10687</v>
      </c>
    </row>
    <row r="5479" spans="1:3" s="79" customFormat="1" ht="89.1" customHeight="1" x14ac:dyDescent="0.2">
      <c r="A5479" s="81">
        <v>26000276</v>
      </c>
      <c r="B5479" s="80" t="s">
        <v>4864</v>
      </c>
      <c r="C5479" s="81" t="s">
        <v>10688</v>
      </c>
    </row>
    <row r="5480" spans="1:3" s="79" customFormat="1" ht="118.9" customHeight="1" x14ac:dyDescent="0.2">
      <c r="A5480" s="81">
        <v>26000277</v>
      </c>
      <c r="B5480" s="80" t="s">
        <v>4865</v>
      </c>
      <c r="C5480" s="81" t="s">
        <v>10689</v>
      </c>
    </row>
    <row r="5481" spans="1:3" s="79" customFormat="1" ht="49.15" customHeight="1" x14ac:dyDescent="0.2">
      <c r="A5481" s="81">
        <v>26000280</v>
      </c>
      <c r="B5481" s="80" t="s">
        <v>4866</v>
      </c>
      <c r="C5481" s="81" t="s">
        <v>10690</v>
      </c>
    </row>
    <row r="5482" spans="1:3" s="79" customFormat="1" ht="49.15" customHeight="1" x14ac:dyDescent="0.2">
      <c r="A5482" s="81">
        <v>26000281</v>
      </c>
      <c r="B5482" s="80" t="s">
        <v>4867</v>
      </c>
      <c r="C5482" s="81" t="s">
        <v>10691</v>
      </c>
    </row>
    <row r="5483" spans="1:3" s="79" customFormat="1" ht="59.1" customHeight="1" x14ac:dyDescent="0.2">
      <c r="A5483" s="81">
        <v>26000282</v>
      </c>
      <c r="B5483" s="80" t="s">
        <v>4868</v>
      </c>
      <c r="C5483" s="81" t="s">
        <v>10692</v>
      </c>
    </row>
    <row r="5484" spans="1:3" s="79" customFormat="1" ht="68.849999999999994" customHeight="1" x14ac:dyDescent="0.2">
      <c r="A5484" s="81">
        <v>26000283</v>
      </c>
      <c r="B5484" s="80" t="s">
        <v>4869</v>
      </c>
      <c r="C5484" s="81" t="s">
        <v>10693</v>
      </c>
    </row>
    <row r="5485" spans="1:3" s="79" customFormat="1" ht="59.1" customHeight="1" x14ac:dyDescent="0.2">
      <c r="A5485" s="81">
        <v>26000284</v>
      </c>
      <c r="B5485" s="80" t="s">
        <v>4870</v>
      </c>
      <c r="C5485" s="81" t="s">
        <v>10694</v>
      </c>
    </row>
    <row r="5486" spans="1:3" s="79" customFormat="1" ht="59.1" customHeight="1" x14ac:dyDescent="0.2">
      <c r="A5486" s="81">
        <v>26000414</v>
      </c>
      <c r="B5486" s="80" t="s">
        <v>4539</v>
      </c>
      <c r="C5486" s="82" t="s">
        <v>10695</v>
      </c>
    </row>
    <row r="5487" spans="1:3" s="79" customFormat="1" ht="68.849999999999994" customHeight="1" x14ac:dyDescent="0.2">
      <c r="A5487" s="81">
        <v>26000417</v>
      </c>
      <c r="B5487" s="80" t="s">
        <v>4540</v>
      </c>
      <c r="C5487" s="82" t="s">
        <v>10696</v>
      </c>
    </row>
    <row r="5488" spans="1:3" s="79" customFormat="1" ht="59.1" customHeight="1" x14ac:dyDescent="0.2">
      <c r="A5488" s="81">
        <v>26000421</v>
      </c>
      <c r="B5488" s="80" t="s">
        <v>4541</v>
      </c>
      <c r="C5488" s="82" t="s">
        <v>10697</v>
      </c>
    </row>
    <row r="5489" spans="1:3" s="79" customFormat="1" ht="89.1" customHeight="1" x14ac:dyDescent="0.2">
      <c r="A5489" s="81">
        <v>26000422</v>
      </c>
      <c r="B5489" s="80" t="s">
        <v>4542</v>
      </c>
      <c r="C5489" s="82" t="s">
        <v>10698</v>
      </c>
    </row>
    <row r="5490" spans="1:3" s="79" customFormat="1" ht="99.2" customHeight="1" x14ac:dyDescent="0.2">
      <c r="A5490" s="81">
        <v>26000500</v>
      </c>
      <c r="B5490" s="80" t="s">
        <v>4280</v>
      </c>
      <c r="C5490" s="82" t="s">
        <v>10699</v>
      </c>
    </row>
    <row r="5491" spans="1:3" s="79" customFormat="1" ht="129" customHeight="1" x14ac:dyDescent="0.2">
      <c r="A5491" s="81">
        <v>26000505</v>
      </c>
      <c r="B5491" s="80" t="s">
        <v>4282</v>
      </c>
      <c r="C5491" s="82" t="s">
        <v>10700</v>
      </c>
    </row>
    <row r="5492" spans="1:3" s="79" customFormat="1" ht="129" customHeight="1" x14ac:dyDescent="0.2">
      <c r="A5492" s="81">
        <v>26000601</v>
      </c>
      <c r="B5492" s="80" t="s">
        <v>4543</v>
      </c>
      <c r="C5492" s="82" t="s">
        <v>10701</v>
      </c>
    </row>
    <row r="5493" spans="1:3" s="79" customFormat="1" ht="49.15" customHeight="1" x14ac:dyDescent="0.2">
      <c r="A5493" s="81">
        <v>26000602</v>
      </c>
      <c r="B5493" s="80" t="s">
        <v>4544</v>
      </c>
      <c r="C5493" s="82" t="s">
        <v>10702</v>
      </c>
    </row>
    <row r="5494" spans="1:3" s="79" customFormat="1" ht="38.85" customHeight="1" x14ac:dyDescent="0.2">
      <c r="A5494" s="81">
        <v>26000620</v>
      </c>
      <c r="B5494" s="80" t="s">
        <v>4945</v>
      </c>
      <c r="C5494" s="81" t="s">
        <v>10703</v>
      </c>
    </row>
    <row r="5495" spans="1:3" s="79" customFormat="1" ht="89.1" customHeight="1" x14ac:dyDescent="0.2">
      <c r="A5495" s="81">
        <v>26000621</v>
      </c>
      <c r="B5495" s="80" t="s">
        <v>4946</v>
      </c>
      <c r="C5495" s="81" t="s">
        <v>10704</v>
      </c>
    </row>
    <row r="5496" spans="1:3" s="79" customFormat="1" ht="38.85" customHeight="1" x14ac:dyDescent="0.2">
      <c r="A5496" s="81">
        <v>26000622</v>
      </c>
      <c r="B5496" s="80" t="s">
        <v>4947</v>
      </c>
      <c r="C5496" s="81" t="s">
        <v>10705</v>
      </c>
    </row>
    <row r="5497" spans="1:3" s="79" customFormat="1" ht="38.85" customHeight="1" x14ac:dyDescent="0.2">
      <c r="A5497" s="81">
        <v>26000623</v>
      </c>
      <c r="B5497" s="80" t="s">
        <v>4948</v>
      </c>
      <c r="C5497" s="81" t="s">
        <v>10706</v>
      </c>
    </row>
    <row r="5498" spans="1:3" s="79" customFormat="1" ht="38.85" customHeight="1" x14ac:dyDescent="0.2">
      <c r="A5498" s="81">
        <v>26000637</v>
      </c>
      <c r="B5498" s="80" t="s">
        <v>4832</v>
      </c>
      <c r="C5498" s="81" t="s">
        <v>10707</v>
      </c>
    </row>
    <row r="5499" spans="1:3" s="79" customFormat="1" ht="38.85" customHeight="1" x14ac:dyDescent="0.2">
      <c r="A5499" s="81">
        <v>26000638</v>
      </c>
      <c r="B5499" s="80" t="s">
        <v>11563</v>
      </c>
      <c r="C5499" s="82" t="s">
        <v>11564</v>
      </c>
    </row>
    <row r="5500" spans="1:3" s="79" customFormat="1" ht="38.85" customHeight="1" x14ac:dyDescent="0.2">
      <c r="A5500" s="81">
        <v>26000639</v>
      </c>
      <c r="B5500" s="80" t="s">
        <v>11661</v>
      </c>
      <c r="C5500" s="81" t="s">
        <v>11738</v>
      </c>
    </row>
    <row r="5501" spans="1:3" s="79" customFormat="1" ht="38.85" customHeight="1" x14ac:dyDescent="0.2">
      <c r="A5501" s="81">
        <v>26000640</v>
      </c>
      <c r="B5501" s="80" t="s">
        <v>11565</v>
      </c>
      <c r="C5501" s="81" t="s">
        <v>10708</v>
      </c>
    </row>
    <row r="5502" spans="1:3" s="79" customFormat="1" ht="38.85" customHeight="1" x14ac:dyDescent="0.2">
      <c r="A5502" s="81">
        <v>26000641</v>
      </c>
      <c r="B5502" s="80" t="s">
        <v>11739</v>
      </c>
      <c r="C5502" s="82" t="s">
        <v>11566</v>
      </c>
    </row>
    <row r="5503" spans="1:3" s="79" customFormat="1" ht="38.85" customHeight="1" x14ac:dyDescent="0.2">
      <c r="A5503" s="81">
        <v>26000642</v>
      </c>
      <c r="B5503" s="80" t="s">
        <v>11740</v>
      </c>
      <c r="C5503" s="82" t="s">
        <v>11307</v>
      </c>
    </row>
    <row r="5504" spans="1:3" s="79" customFormat="1" ht="38.85" customHeight="1" x14ac:dyDescent="0.2">
      <c r="A5504" s="81">
        <v>26000643</v>
      </c>
      <c r="B5504" s="80" t="s">
        <v>11741</v>
      </c>
      <c r="C5504" s="82" t="s">
        <v>11566</v>
      </c>
    </row>
    <row r="5505" spans="1:3" s="79" customFormat="1" ht="38.85" customHeight="1" x14ac:dyDescent="0.2">
      <c r="A5505" s="81">
        <v>26000644</v>
      </c>
      <c r="B5505" s="80" t="s">
        <v>11742</v>
      </c>
      <c r="C5505" s="82" t="s">
        <v>11307</v>
      </c>
    </row>
    <row r="5506" spans="1:3" s="79" customFormat="1" ht="38.85" customHeight="1" x14ac:dyDescent="0.2">
      <c r="A5506" s="81">
        <v>26000645</v>
      </c>
      <c r="B5506" s="80" t="s">
        <v>11743</v>
      </c>
      <c r="C5506" s="82" t="s">
        <v>11566</v>
      </c>
    </row>
    <row r="5507" spans="1:3" s="79" customFormat="1" ht="38.85" customHeight="1" x14ac:dyDescent="0.2">
      <c r="A5507" s="81">
        <v>26000646</v>
      </c>
      <c r="B5507" s="80" t="s">
        <v>11744</v>
      </c>
      <c r="C5507" s="82" t="s">
        <v>11307</v>
      </c>
    </row>
    <row r="5508" spans="1:3" s="79" customFormat="1" ht="38.85" customHeight="1" x14ac:dyDescent="0.2">
      <c r="A5508" s="81">
        <v>26000647</v>
      </c>
      <c r="B5508" s="80" t="s">
        <v>11745</v>
      </c>
      <c r="C5508" s="82" t="s">
        <v>11746</v>
      </c>
    </row>
    <row r="5509" spans="1:3" s="79" customFormat="1" ht="38.85" customHeight="1" x14ac:dyDescent="0.2">
      <c r="A5509" s="81">
        <v>26000648</v>
      </c>
      <c r="B5509" s="80" t="s">
        <v>11747</v>
      </c>
      <c r="C5509" s="82" t="s">
        <v>11748</v>
      </c>
    </row>
    <row r="5510" spans="1:3" s="79" customFormat="1" ht="38.85" customHeight="1" x14ac:dyDescent="0.2">
      <c r="A5510" s="81">
        <v>26000649</v>
      </c>
      <c r="B5510" s="80" t="s">
        <v>11749</v>
      </c>
      <c r="C5510" s="82" t="s">
        <v>10709</v>
      </c>
    </row>
    <row r="5511" spans="1:3" s="79" customFormat="1" ht="38.85" customHeight="1" x14ac:dyDescent="0.2">
      <c r="A5511" s="81">
        <v>26000650</v>
      </c>
      <c r="B5511" s="80" t="s">
        <v>11750</v>
      </c>
      <c r="C5511" s="82" t="s">
        <v>10710</v>
      </c>
    </row>
    <row r="5512" spans="1:3" s="79" customFormat="1" ht="49.15" customHeight="1" x14ac:dyDescent="0.2">
      <c r="A5512" s="81">
        <v>26000651</v>
      </c>
      <c r="B5512" s="80" t="s">
        <v>11751</v>
      </c>
      <c r="C5512" s="82" t="s">
        <v>11752</v>
      </c>
    </row>
    <row r="5513" spans="1:3" s="79" customFormat="1" ht="38.85" customHeight="1" x14ac:dyDescent="0.2">
      <c r="A5513" s="81">
        <v>26000652</v>
      </c>
      <c r="B5513" s="80" t="s">
        <v>11753</v>
      </c>
      <c r="C5513" s="82" t="s">
        <v>11754</v>
      </c>
    </row>
    <row r="5514" spans="1:3" s="79" customFormat="1" ht="59.1" customHeight="1" x14ac:dyDescent="0.2">
      <c r="A5514" s="81">
        <v>26000653</v>
      </c>
      <c r="B5514" s="80" t="s">
        <v>11755</v>
      </c>
      <c r="C5514" s="82" t="s">
        <v>11566</v>
      </c>
    </row>
    <row r="5515" spans="1:3" s="79" customFormat="1" ht="38.85" customHeight="1" x14ac:dyDescent="0.2">
      <c r="A5515" s="81">
        <v>26000654</v>
      </c>
      <c r="B5515" s="80" t="s">
        <v>11756</v>
      </c>
      <c r="C5515" s="82" t="s">
        <v>11568</v>
      </c>
    </row>
    <row r="5516" spans="1:3" s="79" customFormat="1" ht="59.1" customHeight="1" x14ac:dyDescent="0.2">
      <c r="A5516" s="81">
        <v>26000655</v>
      </c>
      <c r="B5516" s="80" t="s">
        <v>11757</v>
      </c>
      <c r="C5516" s="82" t="s">
        <v>11566</v>
      </c>
    </row>
    <row r="5517" spans="1:3" s="79" customFormat="1" ht="38.85" customHeight="1" x14ac:dyDescent="0.2">
      <c r="A5517" s="81">
        <v>26000656</v>
      </c>
      <c r="B5517" s="80" t="s">
        <v>4758</v>
      </c>
      <c r="C5517" s="82" t="s">
        <v>10711</v>
      </c>
    </row>
    <row r="5518" spans="1:3" s="79" customFormat="1" ht="59.1" customHeight="1" x14ac:dyDescent="0.2">
      <c r="A5518" s="81">
        <v>26000657</v>
      </c>
      <c r="B5518" s="80" t="s">
        <v>11758</v>
      </c>
      <c r="C5518" s="82" t="s">
        <v>11759</v>
      </c>
    </row>
    <row r="5519" spans="1:3" s="79" customFormat="1" ht="38.85" customHeight="1" x14ac:dyDescent="0.2">
      <c r="A5519" s="81">
        <v>26000658</v>
      </c>
      <c r="B5519" s="80" t="s">
        <v>11760</v>
      </c>
      <c r="C5519" s="82" t="s">
        <v>11568</v>
      </c>
    </row>
    <row r="5520" spans="1:3" s="79" customFormat="1" ht="59.1" customHeight="1" x14ac:dyDescent="0.2">
      <c r="A5520" s="81">
        <v>26000659</v>
      </c>
      <c r="B5520" s="80" t="s">
        <v>11761</v>
      </c>
      <c r="C5520" s="82" t="s">
        <v>10712</v>
      </c>
    </row>
    <row r="5521" spans="1:3" s="79" customFormat="1" ht="38.85" customHeight="1" x14ac:dyDescent="0.2">
      <c r="A5521" s="81">
        <v>26000660</v>
      </c>
      <c r="B5521" s="80" t="s">
        <v>11762</v>
      </c>
      <c r="C5521" s="82" t="s">
        <v>10713</v>
      </c>
    </row>
    <row r="5522" spans="1:3" s="79" customFormat="1" ht="59.1" customHeight="1" x14ac:dyDescent="0.2">
      <c r="A5522" s="81">
        <v>26000661</v>
      </c>
      <c r="B5522" s="80" t="s">
        <v>11763</v>
      </c>
      <c r="C5522" s="82" t="s">
        <v>11498</v>
      </c>
    </row>
    <row r="5523" spans="1:3" s="79" customFormat="1" ht="38.85" customHeight="1" x14ac:dyDescent="0.2">
      <c r="A5523" s="81">
        <v>26000662</v>
      </c>
      <c r="B5523" s="80" t="s">
        <v>11764</v>
      </c>
      <c r="C5523" s="82" t="s">
        <v>11568</v>
      </c>
    </row>
    <row r="5524" spans="1:3" s="79" customFormat="1" ht="89.1" customHeight="1" x14ac:dyDescent="0.2">
      <c r="A5524" s="81">
        <v>26000663</v>
      </c>
      <c r="B5524" s="80" t="s">
        <v>11497</v>
      </c>
      <c r="C5524" s="82" t="s">
        <v>11498</v>
      </c>
    </row>
    <row r="5525" spans="1:3" s="79" customFormat="1" ht="78.95" customHeight="1" x14ac:dyDescent="0.2">
      <c r="A5525" s="81">
        <v>26000664</v>
      </c>
      <c r="B5525" s="80" t="s">
        <v>11567</v>
      </c>
      <c r="C5525" s="82" t="s">
        <v>11568</v>
      </c>
    </row>
    <row r="5526" spans="1:3" s="79" customFormat="1" ht="49.15" customHeight="1" x14ac:dyDescent="0.2">
      <c r="A5526" s="81">
        <v>26000665</v>
      </c>
      <c r="B5526" s="80" t="s">
        <v>11765</v>
      </c>
      <c r="C5526" s="82" t="s">
        <v>11766</v>
      </c>
    </row>
    <row r="5527" spans="1:3" s="79" customFormat="1" ht="89.1" customHeight="1" x14ac:dyDescent="0.2">
      <c r="A5527" s="81">
        <v>26000666</v>
      </c>
      <c r="B5527" s="80" t="s">
        <v>11767</v>
      </c>
      <c r="C5527" s="82" t="s">
        <v>11768</v>
      </c>
    </row>
    <row r="5528" spans="1:3" s="79" customFormat="1" ht="59.1" customHeight="1" x14ac:dyDescent="0.2">
      <c r="A5528" s="81">
        <v>26000667</v>
      </c>
      <c r="B5528" s="80" t="s">
        <v>11769</v>
      </c>
      <c r="C5528" s="82" t="s">
        <v>11770</v>
      </c>
    </row>
    <row r="5529" spans="1:3" s="79" customFormat="1" ht="68.849999999999994" customHeight="1" x14ac:dyDescent="0.2">
      <c r="A5529" s="81">
        <v>26000668</v>
      </c>
      <c r="B5529" s="80" t="s">
        <v>11771</v>
      </c>
      <c r="C5529" s="82" t="s">
        <v>11772</v>
      </c>
    </row>
    <row r="5530" spans="1:3" s="79" customFormat="1" ht="38.85" customHeight="1" x14ac:dyDescent="0.2">
      <c r="A5530" s="81">
        <v>26000679</v>
      </c>
      <c r="B5530" s="80" t="s">
        <v>4553</v>
      </c>
      <c r="C5530" s="82" t="s">
        <v>10714</v>
      </c>
    </row>
    <row r="5531" spans="1:3" s="79" customFormat="1" ht="99.2" customHeight="1" x14ac:dyDescent="0.2">
      <c r="A5531" s="81">
        <v>26000680</v>
      </c>
      <c r="B5531" s="80" t="s">
        <v>11773</v>
      </c>
      <c r="C5531" s="82" t="s">
        <v>11774</v>
      </c>
    </row>
    <row r="5532" spans="1:3" s="79" customFormat="1" ht="38.85" customHeight="1" x14ac:dyDescent="0.2">
      <c r="A5532" s="81">
        <v>26000681</v>
      </c>
      <c r="B5532" s="80" t="s">
        <v>4554</v>
      </c>
      <c r="C5532" s="82" t="s">
        <v>10715</v>
      </c>
    </row>
    <row r="5533" spans="1:3" s="79" customFormat="1" ht="59.1" customHeight="1" x14ac:dyDescent="0.2">
      <c r="A5533" s="81">
        <v>26000682</v>
      </c>
      <c r="B5533" s="80" t="s">
        <v>4555</v>
      </c>
      <c r="C5533" s="82" t="s">
        <v>10716</v>
      </c>
    </row>
    <row r="5534" spans="1:3" s="79" customFormat="1" ht="38.85" customHeight="1" x14ac:dyDescent="0.2">
      <c r="A5534" s="81">
        <v>26000685</v>
      </c>
      <c r="B5534" s="80" t="s">
        <v>4556</v>
      </c>
      <c r="C5534" s="82" t="s">
        <v>10717</v>
      </c>
    </row>
    <row r="5535" spans="1:3" s="79" customFormat="1" ht="59.1" customHeight="1" x14ac:dyDescent="0.2">
      <c r="A5535" s="81">
        <v>26000686</v>
      </c>
      <c r="B5535" s="80" t="s">
        <v>4557</v>
      </c>
      <c r="C5535" s="82" t="s">
        <v>10718</v>
      </c>
    </row>
    <row r="5536" spans="1:3" s="79" customFormat="1" ht="59.1" customHeight="1" x14ac:dyDescent="0.2">
      <c r="A5536" s="81">
        <v>26000687</v>
      </c>
      <c r="B5536" s="80" t="s">
        <v>4558</v>
      </c>
      <c r="C5536" s="82" t="s">
        <v>10719</v>
      </c>
    </row>
    <row r="5537" spans="1:3" s="79" customFormat="1" ht="38.85" customHeight="1" x14ac:dyDescent="0.2">
      <c r="A5537" s="81">
        <v>26000688</v>
      </c>
      <c r="B5537" s="80" t="s">
        <v>4559</v>
      </c>
      <c r="C5537" s="82" t="s">
        <v>10720</v>
      </c>
    </row>
    <row r="5538" spans="1:3" s="79" customFormat="1" ht="59.1" customHeight="1" x14ac:dyDescent="0.2">
      <c r="A5538" s="81">
        <v>26000689</v>
      </c>
      <c r="B5538" s="80" t="s">
        <v>4560</v>
      </c>
      <c r="C5538" s="82" t="s">
        <v>10721</v>
      </c>
    </row>
    <row r="5539" spans="1:3" s="79" customFormat="1" ht="38.85" customHeight="1" x14ac:dyDescent="0.2">
      <c r="A5539" s="81">
        <v>26000720</v>
      </c>
      <c r="B5539" s="80" t="s">
        <v>11775</v>
      </c>
      <c r="C5539" s="82" t="s">
        <v>10722</v>
      </c>
    </row>
    <row r="5540" spans="1:3" s="79" customFormat="1" ht="59.1" customHeight="1" x14ac:dyDescent="0.2">
      <c r="A5540" s="81">
        <v>26000721</v>
      </c>
      <c r="B5540" s="80" t="s">
        <v>11776</v>
      </c>
      <c r="C5540" s="82" t="s">
        <v>10723</v>
      </c>
    </row>
    <row r="5541" spans="1:3" s="79" customFormat="1" ht="38.85" customHeight="1" x14ac:dyDescent="0.2">
      <c r="A5541" s="81">
        <v>26000724</v>
      </c>
      <c r="B5541" s="80" t="s">
        <v>11777</v>
      </c>
      <c r="C5541" s="82" t="s">
        <v>10724</v>
      </c>
    </row>
    <row r="5542" spans="1:3" s="79" customFormat="1" ht="59.1" customHeight="1" x14ac:dyDescent="0.2">
      <c r="A5542" s="81">
        <v>26000725</v>
      </c>
      <c r="B5542" s="80" t="s">
        <v>11778</v>
      </c>
      <c r="C5542" s="82" t="s">
        <v>10725</v>
      </c>
    </row>
    <row r="5543" spans="1:3" s="79" customFormat="1" ht="38.85" customHeight="1" x14ac:dyDescent="0.2">
      <c r="A5543" s="81">
        <v>26000729</v>
      </c>
      <c r="B5543" s="80" t="s">
        <v>11308</v>
      </c>
      <c r="C5543" s="82" t="s">
        <v>10726</v>
      </c>
    </row>
    <row r="5544" spans="1:3" s="79" customFormat="1" ht="59.1" customHeight="1" x14ac:dyDescent="0.2">
      <c r="A5544" s="81">
        <v>26000732</v>
      </c>
      <c r="B5544" s="80" t="s">
        <v>11779</v>
      </c>
      <c r="C5544" s="82" t="s">
        <v>10727</v>
      </c>
    </row>
    <row r="5545" spans="1:3" s="79" customFormat="1" ht="59.1" customHeight="1" x14ac:dyDescent="0.2">
      <c r="A5545" s="81">
        <v>26000733</v>
      </c>
      <c r="B5545" s="80" t="s">
        <v>11780</v>
      </c>
      <c r="C5545" s="82" t="s">
        <v>10728</v>
      </c>
    </row>
    <row r="5546" spans="1:3" s="79" customFormat="1" ht="38.85" customHeight="1" x14ac:dyDescent="0.2">
      <c r="A5546" s="81">
        <v>26000736</v>
      </c>
      <c r="B5546" s="80" t="s">
        <v>11781</v>
      </c>
      <c r="C5546" s="82" t="s">
        <v>10729</v>
      </c>
    </row>
    <row r="5547" spans="1:3" s="79" customFormat="1" ht="59.1" customHeight="1" x14ac:dyDescent="0.2">
      <c r="A5547" s="81">
        <v>26000737</v>
      </c>
      <c r="B5547" s="80" t="s">
        <v>11782</v>
      </c>
      <c r="C5547" s="82" t="s">
        <v>10730</v>
      </c>
    </row>
    <row r="5548" spans="1:3" s="79" customFormat="1" ht="38.85" customHeight="1" x14ac:dyDescent="0.2">
      <c r="A5548" s="81">
        <v>26000740</v>
      </c>
      <c r="B5548" s="80" t="s">
        <v>11783</v>
      </c>
      <c r="C5548" s="82" t="s">
        <v>11784</v>
      </c>
    </row>
    <row r="5549" spans="1:3" s="79" customFormat="1" ht="78.95" customHeight="1" x14ac:dyDescent="0.2">
      <c r="A5549" s="81">
        <v>26000741</v>
      </c>
      <c r="B5549" s="80" t="s">
        <v>11785</v>
      </c>
      <c r="C5549" s="82" t="s">
        <v>11786</v>
      </c>
    </row>
    <row r="5550" spans="1:3" s="79" customFormat="1" ht="99.2" customHeight="1" x14ac:dyDescent="0.2">
      <c r="A5550" s="81">
        <v>26000744</v>
      </c>
      <c r="B5550" s="80" t="s">
        <v>11787</v>
      </c>
      <c r="C5550" s="82" t="s">
        <v>10731</v>
      </c>
    </row>
    <row r="5551" spans="1:3" s="79" customFormat="1" ht="49.15" customHeight="1" x14ac:dyDescent="0.2">
      <c r="A5551" s="81">
        <v>26000745</v>
      </c>
      <c r="B5551" s="80" t="s">
        <v>11788</v>
      </c>
      <c r="C5551" s="82" t="s">
        <v>10732</v>
      </c>
    </row>
    <row r="5552" spans="1:3" s="79" customFormat="1" ht="68.849999999999994" customHeight="1" x14ac:dyDescent="0.2">
      <c r="A5552" s="81">
        <v>26000749</v>
      </c>
      <c r="B5552" s="80" t="s">
        <v>4369</v>
      </c>
      <c r="C5552" s="82" t="s">
        <v>10733</v>
      </c>
    </row>
    <row r="5553" spans="1:3" s="79" customFormat="1" ht="118.9" customHeight="1" x14ac:dyDescent="0.2">
      <c r="A5553" s="81">
        <v>26000752</v>
      </c>
      <c r="B5553" s="80" t="s">
        <v>11789</v>
      </c>
      <c r="C5553" s="82" t="s">
        <v>10734</v>
      </c>
    </row>
    <row r="5554" spans="1:3" s="79" customFormat="1" ht="198.95" customHeight="1" x14ac:dyDescent="0.2">
      <c r="A5554" s="81">
        <v>26000753</v>
      </c>
      <c r="B5554" s="80" t="s">
        <v>11790</v>
      </c>
      <c r="C5554" s="82" t="s">
        <v>10735</v>
      </c>
    </row>
    <row r="5555" spans="1:3" s="79" customFormat="1" ht="129" customHeight="1" x14ac:dyDescent="0.2">
      <c r="A5555" s="81">
        <v>26000754</v>
      </c>
      <c r="B5555" s="80" t="s">
        <v>4323</v>
      </c>
      <c r="C5555" s="82" t="s">
        <v>10736</v>
      </c>
    </row>
    <row r="5556" spans="1:3" s="79" customFormat="1" ht="68.849999999999994" customHeight="1" x14ac:dyDescent="0.2">
      <c r="A5556" s="81">
        <v>26000756</v>
      </c>
      <c r="B5556" s="80" t="s">
        <v>4587</v>
      </c>
      <c r="C5556" s="82" t="s">
        <v>10737</v>
      </c>
    </row>
    <row r="5557" spans="1:3" s="79" customFormat="1" ht="68.849999999999994" customHeight="1" x14ac:dyDescent="0.2">
      <c r="A5557" s="81">
        <v>26000757</v>
      </c>
      <c r="B5557" s="80" t="s">
        <v>4369</v>
      </c>
      <c r="C5557" s="82" t="s">
        <v>10738</v>
      </c>
    </row>
    <row r="5558" spans="1:3" s="79" customFormat="1" ht="99.2" customHeight="1" x14ac:dyDescent="0.2">
      <c r="A5558" s="81">
        <v>26000758</v>
      </c>
      <c r="B5558" s="80" t="s">
        <v>4588</v>
      </c>
      <c r="C5558" s="82" t="s">
        <v>10739</v>
      </c>
    </row>
    <row r="5559" spans="1:3" s="79" customFormat="1" ht="68.849999999999994" customHeight="1" x14ac:dyDescent="0.2">
      <c r="A5559" s="81">
        <v>26000759</v>
      </c>
      <c r="B5559" s="80" t="s">
        <v>11791</v>
      </c>
      <c r="C5559" s="82" t="s">
        <v>10740</v>
      </c>
    </row>
    <row r="5560" spans="1:3" s="79" customFormat="1" ht="68.849999999999994" customHeight="1" x14ac:dyDescent="0.2">
      <c r="A5560" s="81">
        <v>26000850</v>
      </c>
      <c r="B5560" s="80" t="s">
        <v>4345</v>
      </c>
      <c r="C5560" s="81" t="s">
        <v>10741</v>
      </c>
    </row>
    <row r="5561" spans="1:3" s="79" customFormat="1" ht="99.2" customHeight="1" x14ac:dyDescent="0.2">
      <c r="A5561" s="81">
        <v>26000851</v>
      </c>
      <c r="B5561" s="80" t="s">
        <v>4926</v>
      </c>
      <c r="C5561" s="81" t="s">
        <v>10742</v>
      </c>
    </row>
    <row r="5562" spans="1:3" s="79" customFormat="1" ht="68.849999999999994" customHeight="1" x14ac:dyDescent="0.2">
      <c r="A5562" s="81">
        <v>26000860</v>
      </c>
      <c r="B5562" s="80" t="s">
        <v>11309</v>
      </c>
      <c r="C5562" s="81" t="s">
        <v>10743</v>
      </c>
    </row>
    <row r="5563" spans="1:3" s="79" customFormat="1" ht="59.1" customHeight="1" x14ac:dyDescent="0.2">
      <c r="A5563" s="81">
        <v>26001000</v>
      </c>
      <c r="B5563" s="80" t="s">
        <v>2882</v>
      </c>
      <c r="C5563" s="82" t="s">
        <v>10744</v>
      </c>
    </row>
    <row r="5564" spans="1:3" s="79" customFormat="1" ht="68.849999999999994" customHeight="1" x14ac:dyDescent="0.2">
      <c r="A5564" s="81">
        <v>26001005</v>
      </c>
      <c r="B5564" s="80" t="s">
        <v>2883</v>
      </c>
      <c r="C5564" s="82" t="s">
        <v>10745</v>
      </c>
    </row>
    <row r="5565" spans="1:3" s="79" customFormat="1" ht="68.849999999999994" customHeight="1" x14ac:dyDescent="0.2">
      <c r="A5565" s="81">
        <v>26001010</v>
      </c>
      <c r="B5565" s="80" t="s">
        <v>2884</v>
      </c>
      <c r="C5565" s="81" t="s">
        <v>10746</v>
      </c>
    </row>
    <row r="5566" spans="1:3" s="79" customFormat="1" ht="68.849999999999994" customHeight="1" x14ac:dyDescent="0.2">
      <c r="A5566" s="81">
        <v>26001030</v>
      </c>
      <c r="B5566" s="80" t="s">
        <v>2885</v>
      </c>
      <c r="C5566" s="82" t="s">
        <v>10747</v>
      </c>
    </row>
    <row r="5567" spans="1:3" s="79" customFormat="1" ht="68.849999999999994" customHeight="1" x14ac:dyDescent="0.2">
      <c r="A5567" s="81">
        <v>26001035</v>
      </c>
      <c r="B5567" s="80" t="s">
        <v>2886</v>
      </c>
      <c r="C5567" s="82" t="s">
        <v>10748</v>
      </c>
    </row>
    <row r="5568" spans="1:3" s="79" customFormat="1" ht="59.1" customHeight="1" x14ac:dyDescent="0.2">
      <c r="A5568" s="81">
        <v>26001040</v>
      </c>
      <c r="B5568" s="80" t="s">
        <v>2887</v>
      </c>
      <c r="C5568" s="81" t="s">
        <v>10749</v>
      </c>
    </row>
    <row r="5569" spans="1:3" s="79" customFormat="1" ht="68.849999999999994" customHeight="1" x14ac:dyDescent="0.2">
      <c r="A5569" s="81">
        <v>26001055</v>
      </c>
      <c r="B5569" s="80" t="s">
        <v>4740</v>
      </c>
      <c r="C5569" s="82" t="s">
        <v>10750</v>
      </c>
    </row>
    <row r="5570" spans="1:3" s="79" customFormat="1" ht="68.849999999999994" customHeight="1" x14ac:dyDescent="0.2">
      <c r="A5570" s="81">
        <v>26001060</v>
      </c>
      <c r="B5570" s="80" t="s">
        <v>4741</v>
      </c>
      <c r="C5570" s="82" t="s">
        <v>10751</v>
      </c>
    </row>
    <row r="5571" spans="1:3" s="79" customFormat="1" ht="68.849999999999994" customHeight="1" x14ac:dyDescent="0.2">
      <c r="A5571" s="81">
        <v>26001065</v>
      </c>
      <c r="B5571" s="80" t="s">
        <v>4742</v>
      </c>
      <c r="C5571" s="82" t="s">
        <v>10752</v>
      </c>
    </row>
    <row r="5572" spans="1:3" s="79" customFormat="1" ht="68.849999999999994" customHeight="1" x14ac:dyDescent="0.2">
      <c r="A5572" s="81">
        <v>26001070</v>
      </c>
      <c r="B5572" s="80" t="s">
        <v>4744</v>
      </c>
      <c r="C5572" s="82" t="s">
        <v>10753</v>
      </c>
    </row>
    <row r="5573" spans="1:3" s="79" customFormat="1" ht="59.1" customHeight="1" x14ac:dyDescent="0.2">
      <c r="A5573" s="81">
        <v>26001090</v>
      </c>
      <c r="B5573" s="80" t="s">
        <v>2888</v>
      </c>
      <c r="C5573" s="82" t="s">
        <v>10754</v>
      </c>
    </row>
    <row r="5574" spans="1:3" s="79" customFormat="1" ht="68.849999999999994" customHeight="1" x14ac:dyDescent="0.2">
      <c r="A5574" s="81">
        <v>26001095</v>
      </c>
      <c r="B5574" s="80" t="s">
        <v>2889</v>
      </c>
      <c r="C5574" s="82" t="s">
        <v>10755</v>
      </c>
    </row>
    <row r="5575" spans="1:3" s="79" customFormat="1" ht="68.849999999999994" customHeight="1" x14ac:dyDescent="0.2">
      <c r="A5575" s="81">
        <v>26001100</v>
      </c>
      <c r="B5575" s="80" t="s">
        <v>2890</v>
      </c>
      <c r="C5575" s="82" t="s">
        <v>10756</v>
      </c>
    </row>
    <row r="5576" spans="1:3" s="79" customFormat="1" ht="109.35" customHeight="1" x14ac:dyDescent="0.2">
      <c r="A5576" s="81">
        <v>26001105</v>
      </c>
      <c r="B5576" s="80" t="s">
        <v>2891</v>
      </c>
      <c r="C5576" s="82" t="s">
        <v>10757</v>
      </c>
    </row>
    <row r="5577" spans="1:3" s="79" customFormat="1" ht="78.95" customHeight="1" x14ac:dyDescent="0.2">
      <c r="A5577" s="81">
        <v>26001110</v>
      </c>
      <c r="B5577" s="80" t="s">
        <v>2892</v>
      </c>
      <c r="C5577" s="82" t="s">
        <v>10758</v>
      </c>
    </row>
    <row r="5578" spans="1:3" s="79" customFormat="1" ht="78.95" customHeight="1" x14ac:dyDescent="0.2">
      <c r="A5578" s="81">
        <v>26001113</v>
      </c>
      <c r="B5578" s="80" t="s">
        <v>4745</v>
      </c>
      <c r="C5578" s="82" t="s">
        <v>10759</v>
      </c>
    </row>
    <row r="5579" spans="1:3" s="79" customFormat="1" ht="78.95" customHeight="1" x14ac:dyDescent="0.2">
      <c r="A5579" s="81">
        <v>26001114</v>
      </c>
      <c r="B5579" s="80" t="s">
        <v>4746</v>
      </c>
      <c r="C5579" s="82" t="s">
        <v>10760</v>
      </c>
    </row>
    <row r="5580" spans="1:3" s="79" customFormat="1" ht="68.849999999999994" customHeight="1" x14ac:dyDescent="0.2">
      <c r="A5580" s="81">
        <v>26001115</v>
      </c>
      <c r="B5580" s="80" t="s">
        <v>4747</v>
      </c>
      <c r="C5580" s="82" t="s">
        <v>10761</v>
      </c>
    </row>
    <row r="5581" spans="1:3" s="79" customFormat="1" ht="68.849999999999994" customHeight="1" x14ac:dyDescent="0.2">
      <c r="A5581" s="81">
        <v>26001116</v>
      </c>
      <c r="B5581" s="80" t="s">
        <v>4748</v>
      </c>
      <c r="C5581" s="82" t="s">
        <v>10762</v>
      </c>
    </row>
    <row r="5582" spans="1:3" s="79" customFormat="1" ht="68.849999999999994" customHeight="1" x14ac:dyDescent="0.2">
      <c r="A5582" s="81">
        <v>26001120</v>
      </c>
      <c r="B5582" s="80" t="s">
        <v>2893</v>
      </c>
      <c r="C5582" s="82" t="s">
        <v>10763</v>
      </c>
    </row>
    <row r="5583" spans="1:3" s="79" customFormat="1" ht="68.849999999999994" customHeight="1" x14ac:dyDescent="0.2">
      <c r="A5583" s="81">
        <v>26001122</v>
      </c>
      <c r="B5583" s="80" t="s">
        <v>4743</v>
      </c>
      <c r="C5583" s="81" t="s">
        <v>10764</v>
      </c>
    </row>
    <row r="5584" spans="1:3" s="79" customFormat="1" ht="78.95" customHeight="1" x14ac:dyDescent="0.2">
      <c r="A5584" s="81">
        <v>26001125</v>
      </c>
      <c r="B5584" s="80" t="s">
        <v>2894</v>
      </c>
      <c r="C5584" s="81" t="s">
        <v>10765</v>
      </c>
    </row>
    <row r="5585" spans="1:3" s="79" customFormat="1" ht="68.849999999999994" customHeight="1" x14ac:dyDescent="0.2">
      <c r="A5585" s="81">
        <v>26001130</v>
      </c>
      <c r="B5585" s="80" t="s">
        <v>2895</v>
      </c>
      <c r="C5585" s="82" t="s">
        <v>10766</v>
      </c>
    </row>
    <row r="5586" spans="1:3" s="79" customFormat="1" ht="68.849999999999994" customHeight="1" x14ac:dyDescent="0.2">
      <c r="A5586" s="81">
        <v>26001131</v>
      </c>
      <c r="B5586" s="80" t="s">
        <v>4601</v>
      </c>
      <c r="C5586" s="82" t="s">
        <v>10767</v>
      </c>
    </row>
    <row r="5587" spans="1:3" s="79" customFormat="1" ht="89.1" customHeight="1" x14ac:dyDescent="0.2">
      <c r="A5587" s="81">
        <v>26001135</v>
      </c>
      <c r="B5587" s="80" t="s">
        <v>2896</v>
      </c>
      <c r="C5587" s="82" t="s">
        <v>10768</v>
      </c>
    </row>
    <row r="5588" spans="1:3" s="79" customFormat="1" ht="78.95" customHeight="1" x14ac:dyDescent="0.2">
      <c r="A5588" s="81">
        <v>26001140</v>
      </c>
      <c r="B5588" s="80" t="s">
        <v>2897</v>
      </c>
      <c r="C5588" s="82" t="s">
        <v>10769</v>
      </c>
    </row>
    <row r="5589" spans="1:3" s="79" customFormat="1" ht="78.95" customHeight="1" x14ac:dyDescent="0.2">
      <c r="A5589" s="81">
        <v>26001150</v>
      </c>
      <c r="B5589" s="80" t="s">
        <v>2898</v>
      </c>
      <c r="C5589" s="82" t="s">
        <v>10770</v>
      </c>
    </row>
    <row r="5590" spans="1:3" s="79" customFormat="1" ht="68.849999999999994" customHeight="1" x14ac:dyDescent="0.2">
      <c r="A5590" s="81">
        <v>26001155</v>
      </c>
      <c r="B5590" s="80" t="s">
        <v>2899</v>
      </c>
      <c r="C5590" s="82" t="s">
        <v>10771</v>
      </c>
    </row>
    <row r="5591" spans="1:3" s="79" customFormat="1" ht="68.849999999999994" customHeight="1" x14ac:dyDescent="0.2">
      <c r="A5591" s="81">
        <v>26001160</v>
      </c>
      <c r="B5591" s="80" t="s">
        <v>2900</v>
      </c>
      <c r="C5591" s="82" t="s">
        <v>10772</v>
      </c>
    </row>
    <row r="5592" spans="1:3" s="79" customFormat="1" ht="68.849999999999994" customHeight="1" x14ac:dyDescent="0.2">
      <c r="A5592" s="81">
        <v>26001165</v>
      </c>
      <c r="B5592" s="80" t="s">
        <v>2901</v>
      </c>
      <c r="C5592" s="82" t="s">
        <v>10773</v>
      </c>
    </row>
    <row r="5593" spans="1:3" s="79" customFormat="1" ht="68.849999999999994" customHeight="1" x14ac:dyDescent="0.2">
      <c r="A5593" s="81">
        <v>26001170</v>
      </c>
      <c r="B5593" s="80" t="s">
        <v>2902</v>
      </c>
      <c r="C5593" s="82" t="s">
        <v>10774</v>
      </c>
    </row>
    <row r="5594" spans="1:3" s="79" customFormat="1" ht="68.849999999999994" customHeight="1" x14ac:dyDescent="0.2">
      <c r="A5594" s="81">
        <v>26001180</v>
      </c>
      <c r="B5594" s="80" t="s">
        <v>2903</v>
      </c>
      <c r="C5594" s="81" t="s">
        <v>10775</v>
      </c>
    </row>
    <row r="5595" spans="1:3" s="79" customFormat="1" ht="68.849999999999994" customHeight="1" x14ac:dyDescent="0.2">
      <c r="A5595" s="81">
        <v>26001185</v>
      </c>
      <c r="B5595" s="80" t="s">
        <v>2904</v>
      </c>
      <c r="C5595" s="82" t="s">
        <v>10776</v>
      </c>
    </row>
    <row r="5596" spans="1:3" s="79" customFormat="1" ht="68.849999999999994" customHeight="1" x14ac:dyDescent="0.2">
      <c r="A5596" s="81">
        <v>26001190</v>
      </c>
      <c r="B5596" s="80" t="s">
        <v>2905</v>
      </c>
      <c r="C5596" s="82" t="s">
        <v>10777</v>
      </c>
    </row>
    <row r="5597" spans="1:3" s="79" customFormat="1" ht="68.849999999999994" customHeight="1" x14ac:dyDescent="0.2">
      <c r="A5597" s="81">
        <v>26001195</v>
      </c>
      <c r="B5597" s="80" t="s">
        <v>2906</v>
      </c>
      <c r="C5597" s="82" t="s">
        <v>10778</v>
      </c>
    </row>
    <row r="5598" spans="1:3" s="79" customFormat="1" ht="38.85" customHeight="1" x14ac:dyDescent="0.2">
      <c r="A5598" s="81">
        <v>26001200</v>
      </c>
      <c r="B5598" s="80" t="s">
        <v>2907</v>
      </c>
      <c r="C5598" s="82" t="s">
        <v>10779</v>
      </c>
    </row>
    <row r="5599" spans="1:3" s="79" customFormat="1" ht="109.35" customHeight="1" x14ac:dyDescent="0.2">
      <c r="A5599" s="81">
        <v>26001240</v>
      </c>
      <c r="B5599" s="80" t="s">
        <v>2908</v>
      </c>
      <c r="C5599" s="82" t="s">
        <v>10780</v>
      </c>
    </row>
    <row r="5600" spans="1:3" s="79" customFormat="1" ht="118.9" customHeight="1" x14ac:dyDescent="0.2">
      <c r="A5600" s="81">
        <v>26001245</v>
      </c>
      <c r="B5600" s="80" t="s">
        <v>2909</v>
      </c>
      <c r="C5600" s="82" t="s">
        <v>10781</v>
      </c>
    </row>
    <row r="5601" spans="1:3" s="79" customFormat="1" ht="118.9" customHeight="1" x14ac:dyDescent="0.2">
      <c r="A5601" s="81">
        <v>26001260</v>
      </c>
      <c r="B5601" s="80" t="s">
        <v>2910</v>
      </c>
      <c r="C5601" s="82" t="s">
        <v>10782</v>
      </c>
    </row>
    <row r="5602" spans="1:3" s="79" customFormat="1" ht="129" customHeight="1" x14ac:dyDescent="0.2">
      <c r="A5602" s="81">
        <v>26001265</v>
      </c>
      <c r="B5602" s="80" t="s">
        <v>2911</v>
      </c>
      <c r="C5602" s="82" t="s">
        <v>10783</v>
      </c>
    </row>
    <row r="5603" spans="1:3" s="79" customFormat="1" ht="38.85" customHeight="1" x14ac:dyDescent="0.2">
      <c r="A5603" s="81">
        <v>26001270</v>
      </c>
      <c r="B5603" s="80" t="s">
        <v>2912</v>
      </c>
      <c r="C5603" s="82" t="s">
        <v>10784</v>
      </c>
    </row>
    <row r="5604" spans="1:3" s="79" customFormat="1" ht="28.7" customHeight="1" x14ac:dyDescent="0.2">
      <c r="A5604" s="81">
        <v>26001275</v>
      </c>
      <c r="B5604" s="80" t="s">
        <v>2913</v>
      </c>
      <c r="C5604" s="82" t="s">
        <v>10785</v>
      </c>
    </row>
    <row r="5605" spans="1:3" s="79" customFormat="1" ht="49.15" customHeight="1" x14ac:dyDescent="0.2">
      <c r="A5605" s="81">
        <v>26001400</v>
      </c>
      <c r="B5605" s="80" t="s">
        <v>3052</v>
      </c>
      <c r="C5605" s="82" t="s">
        <v>10786</v>
      </c>
    </row>
    <row r="5606" spans="1:3" s="79" customFormat="1" ht="49.15" customHeight="1" x14ac:dyDescent="0.2">
      <c r="A5606" s="81">
        <v>26001500</v>
      </c>
      <c r="B5606" s="80" t="s">
        <v>4102</v>
      </c>
      <c r="C5606" s="81" t="s">
        <v>11310</v>
      </c>
    </row>
    <row r="5607" spans="1:3" s="79" customFormat="1" ht="49.15" customHeight="1" x14ac:dyDescent="0.2">
      <c r="A5607" s="81">
        <v>26001510</v>
      </c>
      <c r="B5607" s="80" t="s">
        <v>4103</v>
      </c>
      <c r="C5607" s="81" t="s">
        <v>11311</v>
      </c>
    </row>
    <row r="5608" spans="1:3" s="79" customFormat="1" ht="38.85" customHeight="1" x14ac:dyDescent="0.2">
      <c r="A5608" s="81">
        <v>26001520</v>
      </c>
      <c r="B5608" s="80" t="s">
        <v>4104</v>
      </c>
      <c r="C5608" s="81" t="s">
        <v>11312</v>
      </c>
    </row>
    <row r="5609" spans="1:3" s="79" customFormat="1" ht="38.85" customHeight="1" x14ac:dyDescent="0.2">
      <c r="A5609" s="81">
        <v>26001530</v>
      </c>
      <c r="B5609" s="80" t="s">
        <v>4105</v>
      </c>
      <c r="C5609" s="81" t="s">
        <v>11313</v>
      </c>
    </row>
    <row r="5610" spans="1:3" s="79" customFormat="1" ht="38.85" customHeight="1" x14ac:dyDescent="0.2">
      <c r="A5610" s="81">
        <v>26002000</v>
      </c>
      <c r="B5610" s="80" t="s">
        <v>3641</v>
      </c>
      <c r="C5610" s="82" t="s">
        <v>10787</v>
      </c>
    </row>
    <row r="5611" spans="1:3" s="79" customFormat="1" ht="38.85" customHeight="1" x14ac:dyDescent="0.2">
      <c r="A5611" s="81">
        <v>26002005</v>
      </c>
      <c r="B5611" s="80" t="s">
        <v>3642</v>
      </c>
      <c r="C5611" s="82" t="s">
        <v>10788</v>
      </c>
    </row>
    <row r="5612" spans="1:3" s="79" customFormat="1" ht="38.85" customHeight="1" x14ac:dyDescent="0.2">
      <c r="A5612" s="81">
        <v>26002010</v>
      </c>
      <c r="B5612" s="80" t="s">
        <v>3675</v>
      </c>
      <c r="C5612" s="82" t="s">
        <v>10789</v>
      </c>
    </row>
    <row r="5613" spans="1:3" s="79" customFormat="1" ht="38.85" customHeight="1" x14ac:dyDescent="0.2">
      <c r="A5613" s="81">
        <v>26002012</v>
      </c>
      <c r="B5613" s="80" t="s">
        <v>3811</v>
      </c>
      <c r="C5613" s="82" t="s">
        <v>10790</v>
      </c>
    </row>
    <row r="5614" spans="1:3" s="79" customFormat="1" ht="38.85" customHeight="1" x14ac:dyDescent="0.2">
      <c r="A5614" s="81">
        <v>26002015</v>
      </c>
      <c r="B5614" s="80" t="s">
        <v>3701</v>
      </c>
      <c r="C5614" s="82" t="s">
        <v>10791</v>
      </c>
    </row>
    <row r="5615" spans="1:3" s="79" customFormat="1" ht="38.85" customHeight="1" x14ac:dyDescent="0.2">
      <c r="A5615" s="81">
        <v>26002020</v>
      </c>
      <c r="B5615" s="80" t="s">
        <v>3730</v>
      </c>
      <c r="C5615" s="82" t="s">
        <v>10787</v>
      </c>
    </row>
    <row r="5616" spans="1:3" s="79" customFormat="1" ht="38.85" customHeight="1" x14ac:dyDescent="0.2">
      <c r="A5616" s="81">
        <v>26002025</v>
      </c>
      <c r="B5616" s="80" t="s">
        <v>3731</v>
      </c>
      <c r="C5616" s="82" t="s">
        <v>10787</v>
      </c>
    </row>
    <row r="5617" spans="1:3" s="79" customFormat="1" ht="38.85" customHeight="1" x14ac:dyDescent="0.2">
      <c r="A5617" s="81">
        <v>26002030</v>
      </c>
      <c r="B5617" s="80" t="s">
        <v>3732</v>
      </c>
      <c r="C5617" s="82" t="s">
        <v>10787</v>
      </c>
    </row>
    <row r="5618" spans="1:3" s="79" customFormat="1" ht="38.85" customHeight="1" x14ac:dyDescent="0.2">
      <c r="A5618" s="81">
        <v>26002035</v>
      </c>
      <c r="B5618" s="80" t="s">
        <v>3733</v>
      </c>
      <c r="C5618" s="82" t="s">
        <v>10787</v>
      </c>
    </row>
    <row r="5619" spans="1:3" s="79" customFormat="1" ht="38.85" customHeight="1" x14ac:dyDescent="0.2">
      <c r="A5619" s="81">
        <v>26002038</v>
      </c>
      <c r="B5619" s="80" t="s">
        <v>4720</v>
      </c>
      <c r="C5619" s="82" t="s">
        <v>10787</v>
      </c>
    </row>
    <row r="5620" spans="1:3" s="79" customFormat="1" ht="38.85" customHeight="1" x14ac:dyDescent="0.2">
      <c r="A5620" s="81">
        <v>26002040</v>
      </c>
      <c r="B5620" s="80" t="s">
        <v>3734</v>
      </c>
      <c r="C5620" s="82" t="s">
        <v>10787</v>
      </c>
    </row>
    <row r="5621" spans="1:3" s="79" customFormat="1" ht="38.85" customHeight="1" x14ac:dyDescent="0.2">
      <c r="A5621" s="81">
        <v>26002045</v>
      </c>
      <c r="B5621" s="80" t="s">
        <v>3735</v>
      </c>
      <c r="C5621" s="82" t="s">
        <v>10787</v>
      </c>
    </row>
    <row r="5622" spans="1:3" s="79" customFormat="1" ht="38.85" customHeight="1" x14ac:dyDescent="0.2">
      <c r="A5622" s="81">
        <v>26002050</v>
      </c>
      <c r="B5622" s="80" t="s">
        <v>3736</v>
      </c>
      <c r="C5622" s="82" t="s">
        <v>10787</v>
      </c>
    </row>
    <row r="5623" spans="1:3" s="79" customFormat="1" ht="38.85" customHeight="1" x14ac:dyDescent="0.2">
      <c r="A5623" s="81">
        <v>26002055</v>
      </c>
      <c r="B5623" s="80" t="s">
        <v>3737</v>
      </c>
      <c r="C5623" s="82" t="s">
        <v>10787</v>
      </c>
    </row>
    <row r="5624" spans="1:3" s="79" customFormat="1" ht="38.85" customHeight="1" x14ac:dyDescent="0.2">
      <c r="A5624" s="81">
        <v>26002060</v>
      </c>
      <c r="B5624" s="80" t="s">
        <v>3738</v>
      </c>
      <c r="C5624" s="82" t="s">
        <v>10787</v>
      </c>
    </row>
    <row r="5625" spans="1:3" s="79" customFormat="1" ht="38.85" customHeight="1" x14ac:dyDescent="0.2">
      <c r="A5625" s="81">
        <v>26002065</v>
      </c>
      <c r="B5625" s="80" t="s">
        <v>3739</v>
      </c>
      <c r="C5625" s="82" t="s">
        <v>10787</v>
      </c>
    </row>
    <row r="5626" spans="1:3" s="79" customFormat="1" ht="38.85" customHeight="1" x14ac:dyDescent="0.2">
      <c r="A5626" s="81">
        <v>26002200</v>
      </c>
      <c r="B5626" s="80" t="s">
        <v>3740</v>
      </c>
      <c r="C5626" s="82" t="s">
        <v>10787</v>
      </c>
    </row>
    <row r="5627" spans="1:3" s="79" customFormat="1" ht="38.85" customHeight="1" x14ac:dyDescent="0.2">
      <c r="A5627" s="81">
        <v>26002205</v>
      </c>
      <c r="B5627" s="80" t="s">
        <v>3741</v>
      </c>
      <c r="C5627" s="82" t="s">
        <v>10787</v>
      </c>
    </row>
    <row r="5628" spans="1:3" s="79" customFormat="1" ht="38.85" customHeight="1" x14ac:dyDescent="0.2">
      <c r="A5628" s="81">
        <v>26002210</v>
      </c>
      <c r="B5628" s="80" t="s">
        <v>3742</v>
      </c>
      <c r="C5628" s="82" t="s">
        <v>10787</v>
      </c>
    </row>
    <row r="5629" spans="1:3" s="79" customFormat="1" ht="38.85" customHeight="1" x14ac:dyDescent="0.2">
      <c r="A5629" s="81">
        <v>26002215</v>
      </c>
      <c r="B5629" s="80" t="s">
        <v>3743</v>
      </c>
      <c r="C5629" s="82" t="s">
        <v>10787</v>
      </c>
    </row>
    <row r="5630" spans="1:3" s="79" customFormat="1" ht="38.85" customHeight="1" x14ac:dyDescent="0.2">
      <c r="A5630" s="81">
        <v>26002220</v>
      </c>
      <c r="B5630" s="80" t="s">
        <v>3744</v>
      </c>
      <c r="C5630" s="82" t="s">
        <v>10787</v>
      </c>
    </row>
    <row r="5631" spans="1:3" s="79" customFormat="1" ht="49.15" customHeight="1" x14ac:dyDescent="0.2">
      <c r="A5631" s="81">
        <v>26002225</v>
      </c>
      <c r="B5631" s="80" t="s">
        <v>3745</v>
      </c>
      <c r="C5631" s="82" t="s">
        <v>10787</v>
      </c>
    </row>
    <row r="5632" spans="1:3" s="79" customFormat="1" ht="68.849999999999994" customHeight="1" x14ac:dyDescent="0.2">
      <c r="A5632" s="81">
        <v>26002230</v>
      </c>
      <c r="B5632" s="80" t="s">
        <v>3746</v>
      </c>
      <c r="C5632" s="82" t="s">
        <v>10787</v>
      </c>
    </row>
    <row r="5633" spans="1:3" s="79" customFormat="1" ht="169.15" customHeight="1" x14ac:dyDescent="0.2">
      <c r="A5633" s="81">
        <v>26002235</v>
      </c>
      <c r="B5633" s="80" t="s">
        <v>3747</v>
      </c>
      <c r="C5633" s="82" t="s">
        <v>10787</v>
      </c>
    </row>
    <row r="5634" spans="1:3" s="79" customFormat="1" ht="68.849999999999994" customHeight="1" x14ac:dyDescent="0.2">
      <c r="A5634" s="81">
        <v>26002240</v>
      </c>
      <c r="B5634" s="80" t="s">
        <v>3748</v>
      </c>
      <c r="C5634" s="82" t="s">
        <v>10787</v>
      </c>
    </row>
    <row r="5635" spans="1:3" s="79" customFormat="1" ht="68.849999999999994" customHeight="1" x14ac:dyDescent="0.2">
      <c r="A5635" s="81">
        <v>26002245</v>
      </c>
      <c r="B5635" s="80" t="s">
        <v>3749</v>
      </c>
      <c r="C5635" s="82" t="s">
        <v>10787</v>
      </c>
    </row>
    <row r="5636" spans="1:3" s="79" customFormat="1" ht="68.849999999999994" customHeight="1" x14ac:dyDescent="0.2">
      <c r="A5636" s="81">
        <v>26002250</v>
      </c>
      <c r="B5636" s="80" t="s">
        <v>3750</v>
      </c>
      <c r="C5636" s="82" t="s">
        <v>10787</v>
      </c>
    </row>
    <row r="5637" spans="1:3" s="79" customFormat="1" ht="68.849999999999994" customHeight="1" x14ac:dyDescent="0.2">
      <c r="A5637" s="81">
        <v>26002255</v>
      </c>
      <c r="B5637" s="80" t="s">
        <v>3751</v>
      </c>
      <c r="C5637" s="82" t="s">
        <v>10787</v>
      </c>
    </row>
    <row r="5638" spans="1:3" s="79" customFormat="1" ht="19.149999999999999" customHeight="1" x14ac:dyDescent="0.2">
      <c r="A5638" s="81">
        <v>26002265</v>
      </c>
      <c r="B5638" s="80" t="s">
        <v>3753</v>
      </c>
      <c r="C5638" s="82" t="s">
        <v>10792</v>
      </c>
    </row>
    <row r="5639" spans="1:3" s="79" customFormat="1" ht="19.149999999999999" customHeight="1" x14ac:dyDescent="0.2">
      <c r="A5639" s="81">
        <v>26002600</v>
      </c>
      <c r="B5639" s="80" t="s">
        <v>11314</v>
      </c>
      <c r="C5639" s="81" t="s">
        <v>11315</v>
      </c>
    </row>
    <row r="5640" spans="1:3" s="79" customFormat="1" ht="118.9" customHeight="1" x14ac:dyDescent="0.2">
      <c r="A5640" s="81">
        <v>26002601</v>
      </c>
      <c r="B5640" s="80" t="s">
        <v>4800</v>
      </c>
      <c r="C5640" s="81" t="s">
        <v>10793</v>
      </c>
    </row>
    <row r="5641" spans="1:3" s="79" customFormat="1" ht="118.9" customHeight="1" x14ac:dyDescent="0.2">
      <c r="A5641" s="81">
        <v>26003000</v>
      </c>
      <c r="B5641" s="80" t="s">
        <v>4207</v>
      </c>
      <c r="C5641" s="82" t="s">
        <v>10794</v>
      </c>
    </row>
    <row r="5642" spans="1:3" s="79" customFormat="1" ht="149.25" customHeight="1" x14ac:dyDescent="0.2">
      <c r="A5642" s="81">
        <v>26003100</v>
      </c>
      <c r="B5642" s="80" t="s">
        <v>4208</v>
      </c>
      <c r="C5642" s="82" t="s">
        <v>10795</v>
      </c>
    </row>
    <row r="5643" spans="1:3" s="79" customFormat="1" ht="19.149999999999999" customHeight="1" x14ac:dyDescent="0.2">
      <c r="A5643" s="81">
        <v>26003200</v>
      </c>
      <c r="B5643" s="80" t="s">
        <v>4209</v>
      </c>
      <c r="C5643" s="82" t="s">
        <v>10796</v>
      </c>
    </row>
    <row r="5644" spans="1:3" s="79" customFormat="1" ht="19.149999999999999" customHeight="1" x14ac:dyDescent="0.2">
      <c r="A5644" s="81">
        <v>26003300</v>
      </c>
      <c r="B5644" s="80" t="s">
        <v>4210</v>
      </c>
      <c r="C5644" s="82" t="s">
        <v>10797</v>
      </c>
    </row>
    <row r="5645" spans="1:3" s="79" customFormat="1" ht="19.149999999999999" customHeight="1" x14ac:dyDescent="0.2">
      <c r="A5645" s="81">
        <v>26010000</v>
      </c>
      <c r="B5645" s="80" t="s">
        <v>4520</v>
      </c>
      <c r="C5645" s="80"/>
    </row>
    <row r="5646" spans="1:3" s="79" customFormat="1" ht="19.149999999999999" customHeight="1" x14ac:dyDescent="0.2">
      <c r="A5646" s="81">
        <v>26010001</v>
      </c>
      <c r="B5646" s="80" t="s">
        <v>4521</v>
      </c>
      <c r="C5646" s="80"/>
    </row>
    <row r="5647" spans="1:3" s="79" customFormat="1" ht="19.149999999999999" customHeight="1" x14ac:dyDescent="0.2">
      <c r="A5647" s="81">
        <v>33000227</v>
      </c>
      <c r="B5647" s="80" t="s">
        <v>3621</v>
      </c>
      <c r="C5647" s="81" t="s">
        <v>10798</v>
      </c>
    </row>
    <row r="5648" spans="1:3" s="79" customFormat="1" ht="19.149999999999999" customHeight="1" x14ac:dyDescent="0.2">
      <c r="A5648" s="81">
        <v>33000228</v>
      </c>
      <c r="B5648" s="80" t="s">
        <v>3622</v>
      </c>
      <c r="C5648" s="81" t="s">
        <v>10799</v>
      </c>
    </row>
    <row r="5649" spans="1:3" s="79" customFormat="1" ht="19.149999999999999" customHeight="1" x14ac:dyDescent="0.2">
      <c r="A5649" s="81">
        <v>33000244</v>
      </c>
      <c r="B5649" s="80" t="s">
        <v>11499</v>
      </c>
      <c r="C5649" s="81" t="s">
        <v>10800</v>
      </c>
    </row>
    <row r="5650" spans="1:3" s="79" customFormat="1" ht="109.35" customHeight="1" x14ac:dyDescent="0.2">
      <c r="A5650" s="81">
        <v>34000070</v>
      </c>
      <c r="B5650" s="80" t="s">
        <v>4016</v>
      </c>
      <c r="C5650" s="80"/>
    </row>
    <row r="5651" spans="1:3" s="79" customFormat="1" ht="19.149999999999999" customHeight="1" x14ac:dyDescent="0.2">
      <c r="A5651" s="81">
        <v>34000071</v>
      </c>
      <c r="B5651" s="80" t="s">
        <v>4017</v>
      </c>
      <c r="C5651" s="80"/>
    </row>
    <row r="5652" spans="1:3" s="79" customFormat="1" ht="78.95" customHeight="1" x14ac:dyDescent="0.2">
      <c r="A5652" s="81">
        <v>34000072</v>
      </c>
      <c r="B5652" s="80" t="s">
        <v>4018</v>
      </c>
      <c r="C5652" s="80"/>
    </row>
    <row r="5653" spans="1:3" s="79" customFormat="1" ht="19.149999999999999" customHeight="1" x14ac:dyDescent="0.2">
      <c r="A5653" s="81">
        <v>34000073</v>
      </c>
      <c r="B5653" s="80" t="s">
        <v>4019</v>
      </c>
      <c r="C5653" s="80"/>
    </row>
    <row r="5654" spans="1:3" s="79" customFormat="1" ht="19.149999999999999" customHeight="1" x14ac:dyDescent="0.2">
      <c r="A5654" s="81">
        <v>34000074</v>
      </c>
      <c r="B5654" s="80" t="s">
        <v>4020</v>
      </c>
      <c r="C5654" s="80"/>
    </row>
    <row r="5655" spans="1:3" s="79" customFormat="1" ht="19.149999999999999" customHeight="1" x14ac:dyDescent="0.2">
      <c r="A5655" s="81">
        <v>34000075</v>
      </c>
      <c r="B5655" s="80" t="s">
        <v>4021</v>
      </c>
      <c r="C5655" s="80"/>
    </row>
    <row r="5656" spans="1:3" s="79" customFormat="1" ht="19.149999999999999" customHeight="1" x14ac:dyDescent="0.2">
      <c r="A5656" s="81">
        <v>34000076</v>
      </c>
      <c r="B5656" s="80" t="s">
        <v>4022</v>
      </c>
      <c r="C5656" s="80"/>
    </row>
    <row r="5657" spans="1:3" s="79" customFormat="1" ht="129" customHeight="1" x14ac:dyDescent="0.2">
      <c r="A5657" s="81">
        <v>34000120</v>
      </c>
      <c r="B5657" s="80" t="s">
        <v>4481</v>
      </c>
      <c r="C5657" s="81" t="s">
        <v>10801</v>
      </c>
    </row>
    <row r="5658" spans="1:3" s="79" customFormat="1" ht="129" customHeight="1" x14ac:dyDescent="0.2">
      <c r="A5658" s="81">
        <v>34000181</v>
      </c>
      <c r="B5658" s="80" t="s">
        <v>4860</v>
      </c>
      <c r="C5658" s="82" t="s">
        <v>10802</v>
      </c>
    </row>
    <row r="5659" spans="1:3" s="79" customFormat="1" ht="19.149999999999999" customHeight="1" x14ac:dyDescent="0.2">
      <c r="A5659" s="81">
        <v>34000190</v>
      </c>
      <c r="B5659" s="80" t="s">
        <v>4927</v>
      </c>
      <c r="C5659" s="82" t="s">
        <v>10803</v>
      </c>
    </row>
    <row r="5660" spans="1:3" s="79" customFormat="1" ht="19.149999999999999" customHeight="1" x14ac:dyDescent="0.2">
      <c r="A5660" s="81">
        <v>34000200</v>
      </c>
      <c r="B5660" s="80" t="s">
        <v>5076</v>
      </c>
      <c r="C5660" s="80"/>
    </row>
    <row r="5661" spans="1:3" s="79" customFormat="1" ht="19.149999999999999" customHeight="1" x14ac:dyDescent="0.2">
      <c r="A5661" s="81">
        <v>34000210</v>
      </c>
      <c r="B5661" s="80" t="s">
        <v>5087</v>
      </c>
      <c r="C5661" s="80" t="s">
        <v>10804</v>
      </c>
    </row>
    <row r="5662" spans="1:3" s="79" customFormat="1" ht="19.149999999999999" customHeight="1" x14ac:dyDescent="0.2">
      <c r="A5662" s="81">
        <v>34000220</v>
      </c>
      <c r="B5662" s="80" t="s">
        <v>5146</v>
      </c>
      <c r="C5662" s="80" t="s">
        <v>219</v>
      </c>
    </row>
    <row r="5663" spans="1:3" s="79" customFormat="1" ht="149.25" customHeight="1" x14ac:dyDescent="0.2">
      <c r="A5663" s="81">
        <v>34000221</v>
      </c>
      <c r="B5663" s="80" t="s">
        <v>5147</v>
      </c>
      <c r="C5663" s="80" t="s">
        <v>219</v>
      </c>
    </row>
    <row r="5664" spans="1:3" s="79" customFormat="1" ht="149.25" customHeight="1" x14ac:dyDescent="0.2">
      <c r="A5664" s="81">
        <v>35000010</v>
      </c>
      <c r="B5664" s="80" t="s">
        <v>3624</v>
      </c>
      <c r="C5664" s="81" t="s">
        <v>10805</v>
      </c>
    </row>
    <row r="5665" spans="1:3" s="79" customFormat="1" ht="149.25" customHeight="1" x14ac:dyDescent="0.2">
      <c r="A5665" s="81">
        <v>35000011</v>
      </c>
      <c r="B5665" s="80" t="s">
        <v>3625</v>
      </c>
      <c r="C5665" s="81" t="s">
        <v>10806</v>
      </c>
    </row>
    <row r="5666" spans="1:3" s="79" customFormat="1" ht="149.25" customHeight="1" x14ac:dyDescent="0.2">
      <c r="A5666" s="81">
        <v>35000054</v>
      </c>
      <c r="B5666" s="80" t="s">
        <v>3637</v>
      </c>
      <c r="C5666" s="80"/>
    </row>
    <row r="5667" spans="1:3" s="79" customFormat="1" ht="149.25" customHeight="1" x14ac:dyDescent="0.2">
      <c r="A5667" s="81">
        <v>35000057</v>
      </c>
      <c r="B5667" s="80" t="s">
        <v>11540</v>
      </c>
      <c r="C5667" s="80"/>
    </row>
    <row r="5668" spans="1:3" s="79" customFormat="1" ht="149.25" customHeight="1" x14ac:dyDescent="0.2">
      <c r="A5668" s="81">
        <v>35000058</v>
      </c>
      <c r="B5668" s="80" t="s">
        <v>11541</v>
      </c>
      <c r="C5668" s="80"/>
    </row>
    <row r="5669" spans="1:3" s="79" customFormat="1" ht="158.85" customHeight="1" x14ac:dyDescent="0.2">
      <c r="A5669" s="81">
        <v>35000060</v>
      </c>
      <c r="B5669" s="80" t="s">
        <v>11542</v>
      </c>
      <c r="C5669" s="80"/>
    </row>
    <row r="5670" spans="1:3" s="79" customFormat="1" ht="149.25" customHeight="1" x14ac:dyDescent="0.2">
      <c r="A5670" s="81">
        <v>35000121</v>
      </c>
      <c r="B5670" s="80" t="s">
        <v>3676</v>
      </c>
      <c r="C5670" s="81" t="s">
        <v>10807</v>
      </c>
    </row>
    <row r="5671" spans="1:3" s="79" customFormat="1" ht="149.25" customHeight="1" x14ac:dyDescent="0.2">
      <c r="A5671" s="81">
        <v>35000122</v>
      </c>
      <c r="B5671" s="80" t="s">
        <v>3677</v>
      </c>
      <c r="C5671" s="81" t="s">
        <v>10808</v>
      </c>
    </row>
    <row r="5672" spans="1:3" s="79" customFormat="1" ht="149.25" customHeight="1" x14ac:dyDescent="0.2">
      <c r="A5672" s="81">
        <v>35000123</v>
      </c>
      <c r="B5672" s="80" t="s">
        <v>3678</v>
      </c>
      <c r="C5672" s="81" t="s">
        <v>10809</v>
      </c>
    </row>
    <row r="5673" spans="1:3" s="79" customFormat="1" ht="149.25" customHeight="1" x14ac:dyDescent="0.2">
      <c r="A5673" s="81">
        <v>35000124</v>
      </c>
      <c r="B5673" s="80" t="s">
        <v>3679</v>
      </c>
      <c r="C5673" s="81" t="s">
        <v>10810</v>
      </c>
    </row>
    <row r="5674" spans="1:3" s="79" customFormat="1" ht="149.25" customHeight="1" x14ac:dyDescent="0.2">
      <c r="A5674" s="81">
        <v>35000125</v>
      </c>
      <c r="B5674" s="80" t="s">
        <v>3680</v>
      </c>
      <c r="C5674" s="81" t="s">
        <v>10811</v>
      </c>
    </row>
    <row r="5675" spans="1:3" s="79" customFormat="1" ht="149.25" customHeight="1" x14ac:dyDescent="0.2">
      <c r="A5675" s="81">
        <v>35000126</v>
      </c>
      <c r="B5675" s="80" t="s">
        <v>3681</v>
      </c>
      <c r="C5675" s="81" t="s">
        <v>10812</v>
      </c>
    </row>
    <row r="5676" spans="1:3" s="79" customFormat="1" ht="149.25" customHeight="1" x14ac:dyDescent="0.2">
      <c r="A5676" s="81">
        <v>35000127</v>
      </c>
      <c r="B5676" s="80" t="s">
        <v>3682</v>
      </c>
      <c r="C5676" s="81" t="s">
        <v>10813</v>
      </c>
    </row>
    <row r="5677" spans="1:3" s="79" customFormat="1" ht="149.25" customHeight="1" x14ac:dyDescent="0.2">
      <c r="A5677" s="81">
        <v>35000128</v>
      </c>
      <c r="B5677" s="80" t="s">
        <v>3683</v>
      </c>
      <c r="C5677" s="81" t="s">
        <v>10814</v>
      </c>
    </row>
    <row r="5678" spans="1:3" s="79" customFormat="1" ht="149.25" customHeight="1" x14ac:dyDescent="0.2">
      <c r="A5678" s="81">
        <v>35000129</v>
      </c>
      <c r="B5678" s="80" t="s">
        <v>3684</v>
      </c>
      <c r="C5678" s="81" t="s">
        <v>10815</v>
      </c>
    </row>
    <row r="5679" spans="1:3" s="79" customFormat="1" ht="149.25" customHeight="1" x14ac:dyDescent="0.2">
      <c r="A5679" s="81">
        <v>35000130</v>
      </c>
      <c r="B5679" s="80" t="s">
        <v>3685</v>
      </c>
      <c r="C5679" s="81" t="s">
        <v>10816</v>
      </c>
    </row>
    <row r="5680" spans="1:3" s="79" customFormat="1" ht="198.95" customHeight="1" x14ac:dyDescent="0.2">
      <c r="A5680" s="81">
        <v>35000131</v>
      </c>
      <c r="B5680" s="80" t="s">
        <v>3686</v>
      </c>
      <c r="C5680" s="81" t="s">
        <v>10817</v>
      </c>
    </row>
    <row r="5681" spans="1:3" s="79" customFormat="1" ht="149.25" customHeight="1" x14ac:dyDescent="0.2">
      <c r="A5681" s="81">
        <v>35000132</v>
      </c>
      <c r="B5681" s="80" t="s">
        <v>3687</v>
      </c>
      <c r="C5681" s="81" t="s">
        <v>10818</v>
      </c>
    </row>
    <row r="5682" spans="1:3" s="79" customFormat="1" ht="149.25" customHeight="1" x14ac:dyDescent="0.2">
      <c r="A5682" s="81">
        <v>35000133</v>
      </c>
      <c r="B5682" s="80" t="s">
        <v>3688</v>
      </c>
      <c r="C5682" s="81" t="s">
        <v>10819</v>
      </c>
    </row>
    <row r="5683" spans="1:3" s="79" customFormat="1" ht="158.85" customHeight="1" x14ac:dyDescent="0.2">
      <c r="A5683" s="81">
        <v>35000135</v>
      </c>
      <c r="B5683" s="80" t="s">
        <v>3689</v>
      </c>
      <c r="C5683" s="81" t="s">
        <v>10820</v>
      </c>
    </row>
    <row r="5684" spans="1:3" s="79" customFormat="1" ht="19.149999999999999" customHeight="1" x14ac:dyDescent="0.2">
      <c r="A5684" s="81">
        <v>35000136</v>
      </c>
      <c r="B5684" s="80" t="s">
        <v>3690</v>
      </c>
      <c r="C5684" s="81" t="s">
        <v>10821</v>
      </c>
    </row>
    <row r="5685" spans="1:3" s="79" customFormat="1" ht="19.149999999999999" customHeight="1" x14ac:dyDescent="0.2">
      <c r="A5685" s="81">
        <v>35000137</v>
      </c>
      <c r="B5685" s="80" t="s">
        <v>3691</v>
      </c>
      <c r="C5685" s="81" t="s">
        <v>10822</v>
      </c>
    </row>
    <row r="5686" spans="1:3" s="79" customFormat="1" ht="149.25" customHeight="1" x14ac:dyDescent="0.2">
      <c r="A5686" s="81">
        <v>35000138</v>
      </c>
      <c r="B5686" s="80" t="s">
        <v>3692</v>
      </c>
      <c r="C5686" s="81" t="s">
        <v>10823</v>
      </c>
    </row>
    <row r="5687" spans="1:3" s="79" customFormat="1" ht="149.25" customHeight="1" x14ac:dyDescent="0.2">
      <c r="A5687" s="81">
        <v>35000140</v>
      </c>
      <c r="B5687" s="80" t="s">
        <v>3693</v>
      </c>
      <c r="C5687" s="81" t="s">
        <v>10824</v>
      </c>
    </row>
    <row r="5688" spans="1:3" s="79" customFormat="1" ht="78.95" customHeight="1" x14ac:dyDescent="0.2">
      <c r="A5688" s="81">
        <v>35000141</v>
      </c>
      <c r="B5688" s="80" t="s">
        <v>3694</v>
      </c>
      <c r="C5688" s="81" t="s">
        <v>10825</v>
      </c>
    </row>
    <row r="5689" spans="1:3" s="79" customFormat="1" ht="89.1" customHeight="1" x14ac:dyDescent="0.2">
      <c r="A5689" s="81">
        <v>35000142</v>
      </c>
      <c r="B5689" s="80" t="s">
        <v>3695</v>
      </c>
      <c r="C5689" s="81" t="s">
        <v>10826</v>
      </c>
    </row>
    <row r="5690" spans="1:3" s="79" customFormat="1" ht="109.35" customHeight="1" x14ac:dyDescent="0.2">
      <c r="A5690" s="81">
        <v>35000143</v>
      </c>
      <c r="B5690" s="80" t="s">
        <v>3696</v>
      </c>
      <c r="C5690" s="81" t="s">
        <v>10827</v>
      </c>
    </row>
    <row r="5691" spans="1:3" s="79" customFormat="1" ht="109.35" customHeight="1" x14ac:dyDescent="0.2">
      <c r="A5691" s="81">
        <v>35000144</v>
      </c>
      <c r="B5691" s="80" t="s">
        <v>3697</v>
      </c>
      <c r="C5691" s="80" t="s">
        <v>10828</v>
      </c>
    </row>
    <row r="5692" spans="1:3" s="79" customFormat="1" ht="109.35" customHeight="1" x14ac:dyDescent="0.2">
      <c r="A5692" s="81">
        <v>35000145</v>
      </c>
      <c r="B5692" s="80" t="s">
        <v>3698</v>
      </c>
      <c r="C5692" s="80" t="s">
        <v>10829</v>
      </c>
    </row>
    <row r="5693" spans="1:3" s="79" customFormat="1" ht="279.39999999999998" customHeight="1" x14ac:dyDescent="0.2">
      <c r="A5693" s="81">
        <v>35000146</v>
      </c>
      <c r="B5693" s="80" t="s">
        <v>3699</v>
      </c>
      <c r="C5693" s="81" t="s">
        <v>10830</v>
      </c>
    </row>
    <row r="5694" spans="1:3" s="79" customFormat="1" ht="89.1" customHeight="1" x14ac:dyDescent="0.2">
      <c r="A5694" s="81">
        <v>35000147</v>
      </c>
      <c r="B5694" s="80" t="s">
        <v>3700</v>
      </c>
      <c r="C5694" s="81" t="s">
        <v>10831</v>
      </c>
    </row>
    <row r="5695" spans="1:3" s="79" customFormat="1" ht="158.85" customHeight="1" x14ac:dyDescent="0.2">
      <c r="A5695" s="81">
        <v>35000160</v>
      </c>
      <c r="B5695" s="80" t="s">
        <v>3831</v>
      </c>
      <c r="C5695" s="81" t="s">
        <v>10832</v>
      </c>
    </row>
    <row r="5696" spans="1:3" s="79" customFormat="1" ht="78.95" customHeight="1" x14ac:dyDescent="0.2">
      <c r="A5696" s="81">
        <v>35000180</v>
      </c>
      <c r="B5696" s="80" t="s">
        <v>3854</v>
      </c>
      <c r="C5696" s="82" t="s">
        <v>10833</v>
      </c>
    </row>
    <row r="5697" spans="1:3" s="79" customFormat="1" ht="59.1" customHeight="1" x14ac:dyDescent="0.2">
      <c r="A5697" s="81">
        <v>35000190</v>
      </c>
      <c r="B5697" s="80" t="s">
        <v>3866</v>
      </c>
      <c r="C5697" s="82" t="s">
        <v>10834</v>
      </c>
    </row>
    <row r="5698" spans="1:3" s="79" customFormat="1" ht="49.15" customHeight="1" x14ac:dyDescent="0.2">
      <c r="A5698" s="81">
        <v>35000191</v>
      </c>
      <c r="B5698" s="80" t="s">
        <v>3867</v>
      </c>
      <c r="C5698" s="82" t="s">
        <v>10835</v>
      </c>
    </row>
    <row r="5699" spans="1:3" s="79" customFormat="1" ht="99.2" customHeight="1" x14ac:dyDescent="0.2">
      <c r="A5699" s="81">
        <v>35000250</v>
      </c>
      <c r="B5699" s="80" t="s">
        <v>4147</v>
      </c>
      <c r="C5699" s="82" t="s">
        <v>10836</v>
      </c>
    </row>
    <row r="5700" spans="1:3" s="79" customFormat="1" ht="139.15" customHeight="1" x14ac:dyDescent="0.2">
      <c r="A5700" s="81">
        <v>35000251</v>
      </c>
      <c r="B5700" s="80" t="s">
        <v>4148</v>
      </c>
      <c r="C5700" s="81" t="s">
        <v>10837</v>
      </c>
    </row>
    <row r="5701" spans="1:3" s="79" customFormat="1" ht="19.149999999999999" customHeight="1" x14ac:dyDescent="0.2">
      <c r="A5701" s="81">
        <v>35000252</v>
      </c>
      <c r="B5701" s="80" t="s">
        <v>4149</v>
      </c>
      <c r="C5701" s="82" t="s">
        <v>10838</v>
      </c>
    </row>
    <row r="5702" spans="1:3" s="79" customFormat="1" ht="28.7" customHeight="1" x14ac:dyDescent="0.2">
      <c r="A5702" s="81">
        <v>35000253</v>
      </c>
      <c r="B5702" s="80" t="s">
        <v>4150</v>
      </c>
      <c r="C5702" s="82" t="s">
        <v>10839</v>
      </c>
    </row>
    <row r="5703" spans="1:3" s="79" customFormat="1" ht="28.7" customHeight="1" x14ac:dyDescent="0.2">
      <c r="A5703" s="81">
        <v>35000254</v>
      </c>
      <c r="B5703" s="80" t="s">
        <v>4151</v>
      </c>
      <c r="C5703" s="82" t="s">
        <v>10840</v>
      </c>
    </row>
    <row r="5704" spans="1:3" s="79" customFormat="1" ht="28.7" customHeight="1" x14ac:dyDescent="0.2">
      <c r="A5704" s="81">
        <v>35000255</v>
      </c>
      <c r="B5704" s="80" t="s">
        <v>4152</v>
      </c>
      <c r="C5704" s="82" t="s">
        <v>10841</v>
      </c>
    </row>
    <row r="5705" spans="1:3" s="79" customFormat="1" ht="38.85" customHeight="1" x14ac:dyDescent="0.2">
      <c r="A5705" s="81">
        <v>35000257</v>
      </c>
      <c r="B5705" s="80" t="s">
        <v>4153</v>
      </c>
      <c r="C5705" s="82" t="s">
        <v>10842</v>
      </c>
    </row>
    <row r="5706" spans="1:3" s="79" customFormat="1" ht="28.7" customHeight="1" x14ac:dyDescent="0.2">
      <c r="A5706" s="81">
        <v>35000258</v>
      </c>
      <c r="B5706" s="80" t="s">
        <v>4154</v>
      </c>
      <c r="C5706" s="82" t="s">
        <v>10843</v>
      </c>
    </row>
    <row r="5707" spans="1:3" s="79" customFormat="1" ht="28.7" customHeight="1" x14ac:dyDescent="0.2">
      <c r="A5707" s="81">
        <v>35000262</v>
      </c>
      <c r="B5707" s="80" t="s">
        <v>4155</v>
      </c>
      <c r="C5707" s="81" t="s">
        <v>10844</v>
      </c>
    </row>
    <row r="5708" spans="1:3" s="79" customFormat="1" ht="28.7" customHeight="1" x14ac:dyDescent="0.2">
      <c r="A5708" s="81">
        <v>35000264</v>
      </c>
      <c r="B5708" s="80" t="s">
        <v>4156</v>
      </c>
      <c r="C5708" s="80" t="s">
        <v>219</v>
      </c>
    </row>
    <row r="5709" spans="1:3" s="79" customFormat="1" ht="28.7" customHeight="1" x14ac:dyDescent="0.2">
      <c r="A5709" s="81">
        <v>35000290</v>
      </c>
      <c r="B5709" s="80" t="s">
        <v>4341</v>
      </c>
      <c r="C5709" s="82" t="s">
        <v>10845</v>
      </c>
    </row>
    <row r="5710" spans="1:3" s="79" customFormat="1" ht="28.7" customHeight="1" x14ac:dyDescent="0.2">
      <c r="A5710" s="81">
        <v>35000301</v>
      </c>
      <c r="B5710" s="80" t="s">
        <v>4357</v>
      </c>
      <c r="C5710" s="82" t="s">
        <v>10846</v>
      </c>
    </row>
    <row r="5711" spans="1:3" s="79" customFormat="1" ht="28.7" customHeight="1" x14ac:dyDescent="0.2">
      <c r="A5711" s="81">
        <v>35000311</v>
      </c>
      <c r="B5711" s="80" t="s">
        <v>4362</v>
      </c>
      <c r="C5711" s="82" t="s">
        <v>10847</v>
      </c>
    </row>
    <row r="5712" spans="1:3" s="79" customFormat="1" ht="28.7" customHeight="1" x14ac:dyDescent="0.2">
      <c r="A5712" s="81">
        <v>35000313</v>
      </c>
      <c r="B5712" s="80" t="s">
        <v>4363</v>
      </c>
      <c r="C5712" s="82" t="s">
        <v>11201</v>
      </c>
    </row>
    <row r="5713" spans="1:3" s="79" customFormat="1" ht="129" customHeight="1" x14ac:dyDescent="0.2">
      <c r="A5713" s="81">
        <v>35000314</v>
      </c>
      <c r="B5713" s="80" t="s">
        <v>4364</v>
      </c>
      <c r="C5713" s="82" t="s">
        <v>11202</v>
      </c>
    </row>
    <row r="5714" spans="1:3" ht="23.25" x14ac:dyDescent="0.25">
      <c r="A5714" s="81">
        <v>35000316</v>
      </c>
      <c r="B5714" s="80" t="s">
        <v>4365</v>
      </c>
      <c r="C5714" s="82" t="s">
        <v>11203</v>
      </c>
    </row>
    <row r="5715" spans="1:3" ht="23.25" x14ac:dyDescent="0.25">
      <c r="A5715" s="81">
        <v>35000318</v>
      </c>
      <c r="B5715" s="80" t="s">
        <v>4366</v>
      </c>
      <c r="C5715" s="82" t="s">
        <v>11204</v>
      </c>
    </row>
    <row r="5716" spans="1:3" ht="23.25" x14ac:dyDescent="0.25">
      <c r="A5716" s="81">
        <v>35000340</v>
      </c>
      <c r="B5716" s="80" t="s">
        <v>4567</v>
      </c>
      <c r="C5716" s="82" t="s">
        <v>10848</v>
      </c>
    </row>
    <row r="5717" spans="1:3" ht="23.25" x14ac:dyDescent="0.25">
      <c r="A5717" s="81">
        <v>35000350</v>
      </c>
      <c r="B5717" s="80" t="s">
        <v>4827</v>
      </c>
      <c r="C5717" s="82" t="s">
        <v>10849</v>
      </c>
    </row>
    <row r="5718" spans="1:3" ht="23.25" x14ac:dyDescent="0.25">
      <c r="A5718" s="81">
        <v>35000351</v>
      </c>
      <c r="B5718" s="80" t="s">
        <v>4828</v>
      </c>
      <c r="C5718" s="82" t="s">
        <v>10849</v>
      </c>
    </row>
    <row r="5719" spans="1:3" ht="23.25" x14ac:dyDescent="0.25">
      <c r="A5719" s="81">
        <v>35000352</v>
      </c>
      <c r="B5719" s="80" t="s">
        <v>4829</v>
      </c>
      <c r="C5719" s="82" t="s">
        <v>10849</v>
      </c>
    </row>
    <row r="5720" spans="1:3" ht="135.75" x14ac:dyDescent="0.25">
      <c r="A5720" s="81">
        <v>35000360</v>
      </c>
      <c r="B5720" s="80" t="s">
        <v>5003</v>
      </c>
      <c r="C5720" s="82" t="s">
        <v>10850</v>
      </c>
    </row>
  </sheetData>
  <autoFilter ref="A1:C1" xr:uid="{00000000-0001-0000-0800-000000000000}"/>
  <mergeCells count="15">
    <mergeCell ref="A5202:A5203"/>
    <mergeCell ref="B5202:B5203"/>
    <mergeCell ref="C5202:C5203"/>
    <mergeCell ref="A3827:A3828"/>
    <mergeCell ref="B3827:B3828"/>
    <mergeCell ref="C3827:C3828"/>
    <mergeCell ref="A4420:A4421"/>
    <mergeCell ref="B4420:B4421"/>
    <mergeCell ref="C4420:C4421"/>
    <mergeCell ref="B601:B602"/>
    <mergeCell ref="C601:C602"/>
    <mergeCell ref="A3803:A3804"/>
    <mergeCell ref="B3803:B3804"/>
    <mergeCell ref="C3803:C3804"/>
    <mergeCell ref="A601:A60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c08a313f-cbb5-4c95-83f8-00328ca08331" ContentTypeId="0x0101" PreviousValue="false"/>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_dlc_DocId xmlns="07b7576f-e512-4d1b-94c7-71a6d6e2e4c1">WJTFTNQKS7RD-1763897219-105814</_dlc_DocId>
    <_dlc_DocIdUrl xmlns="07b7576f-e512-4d1b-94c7-71a6d6e2e4c1">
      <Url>https://alliander.sharepoint.com/teams/VeranderteamLogistiek/_layouts/15/DocIdRedir.aspx?ID=WJTFTNQKS7RD-1763897219-105814</Url>
      <Description>WJTFTNQKS7RD-1763897219-105814</Description>
    </_dlc_DocIdUrl>
    <MediaLengthInSeconds xmlns="a26ec758-4714-4fcd-b664-ef5e975a071d" xsi:nil="true"/>
    <_dlc_DocIdPersistId xmlns="07b7576f-e512-4d1b-94c7-71a6d6e2e4c1">false</_dlc_DocIdPersistId>
    <SharedWithUsers xmlns="07b7576f-e512-4d1b-94c7-71a6d6e2e4c1">
      <UserInfo>
        <DisplayName/>
        <AccountId xsi:nil="true"/>
        <AccountType/>
      </UserInfo>
    </SharedWithUsers>
    <Systeem xmlns="a26ec758-4714-4fcd-b664-ef5e975a071d" xsi:nil="true"/>
    <Status xmlns="a26ec758-4714-4fcd-b664-ef5e975a071d" xsi:nil="true"/>
    <Groep xmlns="a26ec758-4714-4fcd-b664-ef5e975a071d" xsi:nil="true"/>
    <Behandelaar xmlns="a26ec758-4714-4fcd-b664-ef5e975a071d">-</Behandelaar>
    <TaxCatchAll xmlns="07b7576f-e512-4d1b-94c7-71a6d6e2e4c1" xsi:nil="true"/>
    <lcf76f155ced4ddcb4097134ff3c332f xmlns="a26ec758-4714-4fcd-b664-ef5e975a071d">
      <Terms xmlns="http://schemas.microsoft.com/office/infopath/2007/PartnerControls"/>
    </lcf76f155ced4ddcb4097134ff3c332f>
    <Jaar xmlns="a26ec758-4714-4fcd-b664-ef5e975a071d" xsi:nil="true"/>
    <Transactie_x0028_s_x0029_ xmlns="a26ec758-4714-4fcd-b664-ef5e975a071d" xsi:nil="true"/>
    <_Version xmlns="http://schemas.microsoft.com/sharepoint/v3/fields" xsi:nil="true"/>
    <RptReportID xmlns="9271b1d1-b612-447e-93de-d287d951c771" xsi:nil="true"/>
    <_ip_UnifiedCompliancePolicyUIAction xmlns="http://schemas.microsoft.com/sharepoint/v3" xsi:nil="true"/>
    <_ip_UnifiedCompliancePolicyProperties xmlns="http://schemas.microsoft.com/sharepoint/v3"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Document" ma:contentTypeID="0x010100B595AB3F24C9B34CBC0CA2E6B56A2FFD" ma:contentTypeVersion="39" ma:contentTypeDescription="Een nieuw document maken." ma:contentTypeScope="" ma:versionID="1701797b67b5c2271194aef213ca5fd4">
  <xsd:schema xmlns:xsd="http://www.w3.org/2001/XMLSchema" xmlns:xs="http://www.w3.org/2001/XMLSchema" xmlns:p="http://schemas.microsoft.com/office/2006/metadata/properties" xmlns:ns1="http://schemas.microsoft.com/sharepoint/v3" xmlns:ns2="http://schemas.microsoft.com/sharepoint/v3/fields" xmlns:ns3="07b7576f-e512-4d1b-94c7-71a6d6e2e4c1" xmlns:ns4="a26ec758-4714-4fcd-b664-ef5e975a071d" xmlns:ns5="9271b1d1-b612-447e-93de-d287d951c771" targetNamespace="http://schemas.microsoft.com/office/2006/metadata/properties" ma:root="true" ma:fieldsID="455ddb402a73bd68a59755be8b972578" ns1:_="" ns2:_="" ns3:_="" ns4:_="" ns5:_="">
    <xsd:import namespace="http://schemas.microsoft.com/sharepoint/v3"/>
    <xsd:import namespace="http://schemas.microsoft.com/sharepoint/v3/fields"/>
    <xsd:import namespace="07b7576f-e512-4d1b-94c7-71a6d6e2e4c1"/>
    <xsd:import namespace="a26ec758-4714-4fcd-b664-ef5e975a071d"/>
    <xsd:import namespace="9271b1d1-b612-447e-93de-d287d951c771"/>
    <xsd:element name="properties">
      <xsd:complexType>
        <xsd:sequence>
          <xsd:element name="documentManagement">
            <xsd:complexType>
              <xsd:all>
                <xsd:element ref="ns3:_dlc_DocId" minOccurs="0"/>
                <xsd:element ref="ns3:_dlc_DocIdUrl" minOccurs="0"/>
                <xsd:element ref="ns3:_dlc_DocIdPersistId" minOccurs="0"/>
                <xsd:element ref="ns4:MediaServiceMetadata" minOccurs="0"/>
                <xsd:element ref="ns4:MediaServiceFastMetadata" minOccurs="0"/>
                <xsd:element ref="ns4:MediaServiceObjectDetectorVersions" minOccurs="0"/>
                <xsd:element ref="ns4:MediaServiceGenerationTime" minOccurs="0"/>
                <xsd:element ref="ns4:MediaServiceEventHashCode" minOccurs="0"/>
                <xsd:element ref="ns4:MediaLengthInSeconds" minOccurs="0"/>
                <xsd:element ref="ns4:MediaServiceDateTaken" minOccurs="0"/>
                <xsd:element ref="ns3:SharedWithUsers" minOccurs="0"/>
                <xsd:element ref="ns3:SharedWithDetails" minOccurs="0"/>
                <xsd:element ref="ns4:Status" minOccurs="0"/>
                <xsd:element ref="ns4:lcf76f155ced4ddcb4097134ff3c332f" minOccurs="0"/>
                <xsd:element ref="ns3:TaxCatchAll" minOccurs="0"/>
                <xsd:element ref="ns4:MediaServiceLocation" minOccurs="0"/>
                <xsd:element ref="ns4:MediaServiceOCR" minOccurs="0"/>
                <xsd:element ref="ns4:MediaServiceSearchProperties" minOccurs="0"/>
                <xsd:element ref="ns4:Groep" minOccurs="0"/>
                <xsd:element ref="ns4:Jaar" minOccurs="0"/>
                <xsd:element ref="ns4:Behandelaar" minOccurs="0"/>
                <xsd:element ref="ns4:Systeem" minOccurs="0"/>
                <xsd:element ref="ns4:Transactie_x0028_s_x0029_" minOccurs="0"/>
                <xsd:element ref="ns2:_Version" minOccurs="0"/>
                <xsd:element ref="ns5:RptReportID" minOccurs="0"/>
                <xsd:element ref="ns4: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6" nillable="true" ma:displayName="Eigenschappen van het geïntegreerd beleid voor naleving" ma:hidden="true" ma:internalName="_ip_UnifiedCompliancePolicyProperties">
      <xsd:simpleType>
        <xsd:restriction base="dms:Note"/>
      </xsd:simpleType>
    </xsd:element>
    <xsd:element name="_ip_UnifiedCompliancePolicyUIAction" ma:index="37" nillable="true" ma:displayName="Actie van de gebruikersinterface van het geïntegreerd beleid voor naleving"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33" nillable="true" ma:displayName="Versie" ma:format="Dropdown" ma:internalName="_Vers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7b7576f-e512-4d1b-94c7-71a6d6e2e4c1" elementFormDefault="qualified">
    <xsd:import namespace="http://schemas.microsoft.com/office/2006/documentManagement/types"/>
    <xsd:import namespace="http://schemas.microsoft.com/office/infopath/2007/PartnerControls"/>
    <xsd:element name="_dlc_DocId" ma:index="9" nillable="true" ma:displayName="Waarde van de document-id" ma:description="De waarde van de document-id die aan dit item is toegewezen." ma:indexed="true" ma:internalName="_dlc_DocId" ma:readOnly="true">
      <xsd:simpleType>
        <xsd:restriction base="dms:Text"/>
      </xsd:simpleType>
    </xsd:element>
    <xsd:element name="_dlc_DocIdUrl" ma:index="10" nillable="true" ma:displayName="Document-id" ma:description="Permanente koppeling naar dit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Id blijven behouden" ma:description="Id behouden tijdens toevoegen." ma:hidden="true" ma:internalName="_dlc_DocIdPersistId" ma:readOnly="true">
      <xsd:simpleType>
        <xsd:restriction base="dms:Boolean"/>
      </xsd:simpleType>
    </xsd:element>
    <xsd:element name="SharedWithUsers" ma:index="1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Gedeeld met details" ma:internalName="SharedWithDetails" ma:readOnly="true">
      <xsd:simpleType>
        <xsd:restriction base="dms:Note">
          <xsd:maxLength value="255"/>
        </xsd:restriction>
      </xsd:simpleType>
    </xsd:element>
    <xsd:element name="TaxCatchAll" ma:index="24" nillable="true" ma:displayName="Taxonomy Catch All Column" ma:hidden="true" ma:list="{57e389ed-98d4-4b81-bcdc-b706de4cf2b7}" ma:internalName="TaxCatchAll" ma:showField="CatchAllData" ma:web="07b7576f-e512-4d1b-94c7-71a6d6e2e4c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26ec758-4714-4fcd-b664-ef5e975a071d"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Status" ma:index="21" nillable="true" ma:displayName="Status" ma:format="Dropdown" ma:internalName="Status">
      <xsd:simpleType>
        <xsd:restriction base="dms:Choice">
          <xsd:enumeration value="0 Sjabloon"/>
          <xsd:enumeration value="1 Te ontwikkelen"/>
          <xsd:enumeration value="2 Concept"/>
          <xsd:enumeration value="3 Review (nieuw)"/>
          <xsd:enumeration value="4 Review (veroudering)"/>
          <xsd:enumeration value="4a Review (oude lay-out)"/>
          <xsd:enumeration value="5 Gereed"/>
          <xsd:enumeration value="7 Incidentoplossingen"/>
          <xsd:enumeration value="8 Extra kennis"/>
          <xsd:enumeration value="9 Archief"/>
        </xsd:restriction>
      </xsd:simpleType>
    </xsd:element>
    <xsd:element name="lcf76f155ced4ddcb4097134ff3c332f" ma:index="23" nillable="true" ma:taxonomy="true" ma:internalName="lcf76f155ced4ddcb4097134ff3c332f" ma:taxonomyFieldName="MediaServiceImageTags" ma:displayName="Afbeeldingtags" ma:readOnly="false" ma:fieldId="{5cf76f15-5ced-4ddc-b409-7134ff3c332f}" ma:taxonomyMulti="true" ma:sspId="c08a313f-cbb5-4c95-83f8-00328ca08331"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indexed="true" ma:internalName="MediaServiceLocation" ma:readOnly="true">
      <xsd:simpleType>
        <xsd:restriction base="dms:Text"/>
      </xsd:simpleType>
    </xsd:element>
    <xsd:element name="MediaServiceOCR" ma:index="26" nillable="true" ma:displayName="Extracted Text" ma:internalName="MediaServiceOCR" ma:readOnly="true">
      <xsd:simpleType>
        <xsd:restriction base="dms:Note">
          <xsd:maxLength value="255"/>
        </xsd:restriction>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Groep" ma:index="28" nillable="true" ma:displayName="Groep" ma:format="Dropdown" ma:internalName="Groep">
      <xsd:simpleType>
        <xsd:restriction base="dms:Choice">
          <xsd:enumeration value="A - AMA-proces"/>
          <xsd:enumeration value="B - Stamprijzen onderhoud"/>
          <xsd:enumeration value="C - Contract &amp; Prijzen"/>
          <xsd:enumeration value="D - Digitale Catalogus"/>
          <xsd:enumeration value="E - Onderhoudswerk"/>
          <xsd:enumeration value="F Periodiek werk"/>
          <xsd:enumeration value="F a. - Steunpunten Aannemers"/>
          <xsd:enumeration value="G - Veiligheidsbladen"/>
          <xsd:enumeration value="H - IT-werk"/>
          <xsd:enumeration value="I - Data vragen"/>
          <xsd:enumeration value="Keuze 11"/>
        </xsd:restriction>
      </xsd:simpleType>
    </xsd:element>
    <xsd:element name="Jaar" ma:index="29" nillable="true" ma:displayName="Jaar" ma:format="Dropdown" ma:internalName="Jaar">
      <xsd:simpleType>
        <xsd:restriction base="dms:Text">
          <xsd:maxLength value="4"/>
        </xsd:restriction>
      </xsd:simpleType>
    </xsd:element>
    <xsd:element name="Behandelaar" ma:index="30" nillable="true" ma:displayName="Behandelaar" ma:format="Dropdown" ma:internalName="Behandelaar">
      <xsd:simpleType>
        <xsd:restriction base="dms:Choice">
          <xsd:enumeration value="Johan Bultstra"/>
          <xsd:enumeration value="Roland Scheffer"/>
          <xsd:enumeration value="Dennis Roke"/>
          <xsd:enumeration value="Done Savas"/>
          <xsd:enumeration value="Judith Weggemans"/>
          <xsd:enumeration value="-"/>
        </xsd:restriction>
      </xsd:simpleType>
    </xsd:element>
    <xsd:element name="Systeem" ma:index="31" nillable="true" ma:displayName="Systeem" ma:format="Dropdown" ma:internalName="Systeem">
      <xsd:simpleType>
        <xsd:restriction base="dms:Choice">
          <xsd:enumeration value="ECC"/>
          <xsd:enumeration value="Ariba"/>
          <xsd:enumeration value="MDG"/>
          <xsd:enumeration value="S/4"/>
          <xsd:enumeration value="Excel"/>
          <xsd:enumeration value="SRM-MDM catalogus"/>
          <xsd:enumeration value="Werkinstructies"/>
        </xsd:restriction>
      </xsd:simpleType>
    </xsd:element>
    <xsd:element name="Transactie_x0028_s_x0029_" ma:index="32" nillable="true" ma:displayName="Transactie(s)" ma:format="Dropdown" ma:internalName="Transactie_x0028_s_x0029_">
      <xsd:simpleType>
        <xsd:restriction base="dms:Note">
          <xsd:maxLength value="255"/>
        </xsd:restriction>
      </xsd:simpleType>
    </xsd:element>
    <xsd:element name="MediaServiceBillingMetadata" ma:index="3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271b1d1-b612-447e-93de-d287d951c771" elementFormDefault="qualified">
    <xsd:import namespace="http://schemas.microsoft.com/office/2006/documentManagement/types"/>
    <xsd:import namespace="http://schemas.microsoft.com/office/infopath/2007/PartnerControls"/>
    <xsd:element name="RptReportID" ma:index="34" nillable="true" ma:displayName="ReportID" ma:internalName="RptReportID">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8" ma:displayName="Auteur"/>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76B754-555B-4F3E-9CC5-8E4D0FA1DA35}">
  <ds:schemaRefs>
    <ds:schemaRef ds:uri="Microsoft.SharePoint.Taxonomy.ContentTypeSync"/>
  </ds:schemaRefs>
</ds:datastoreItem>
</file>

<file path=customXml/itemProps2.xml><?xml version="1.0" encoding="utf-8"?>
<ds:datastoreItem xmlns:ds="http://schemas.openxmlformats.org/officeDocument/2006/customXml" ds:itemID="{342B2B21-C055-49D8-BBA9-814A3D51BC82}">
  <ds:schemaRefs>
    <ds:schemaRef ds:uri="http://schemas.microsoft.com/sharepoint/events"/>
  </ds:schemaRefs>
</ds:datastoreItem>
</file>

<file path=customXml/itemProps3.xml><?xml version="1.0" encoding="utf-8"?>
<ds:datastoreItem xmlns:ds="http://schemas.openxmlformats.org/officeDocument/2006/customXml" ds:itemID="{B2A62184-72F6-4902-8262-D5D54BEC8E07}">
  <ds:schemaRefs>
    <ds:schemaRef ds:uri="http://schemas.microsoft.com/sharepoint/v3/fields"/>
    <ds:schemaRef ds:uri="http://schemas.microsoft.com/office/2006/documentManagement/types"/>
    <ds:schemaRef ds:uri="http://www.w3.org/XML/1998/namespace"/>
    <ds:schemaRef ds:uri="http://schemas.openxmlformats.org/package/2006/metadata/core-properties"/>
    <ds:schemaRef ds:uri="http://purl.org/dc/dcmitype/"/>
    <ds:schemaRef ds:uri="http://purl.org/dc/terms/"/>
    <ds:schemaRef ds:uri="http://purl.org/dc/elements/1.1/"/>
    <ds:schemaRef ds:uri="http://schemas.microsoft.com/sharepoint/v3"/>
    <ds:schemaRef ds:uri="http://schemas.microsoft.com/office/infopath/2007/PartnerControls"/>
    <ds:schemaRef ds:uri="http://schemas.microsoft.com/office/2006/metadata/properties"/>
    <ds:schemaRef ds:uri="9271b1d1-b612-447e-93de-d287d951c771"/>
    <ds:schemaRef ds:uri="a26ec758-4714-4fcd-b664-ef5e975a071d"/>
    <ds:schemaRef ds:uri="07b7576f-e512-4d1b-94c7-71a6d6e2e4c1"/>
  </ds:schemaRefs>
</ds:datastoreItem>
</file>

<file path=customXml/itemProps4.xml><?xml version="1.0" encoding="utf-8"?>
<ds:datastoreItem xmlns:ds="http://schemas.openxmlformats.org/officeDocument/2006/customXml" ds:itemID="{C71DEB88-0645-42DA-A00D-6E0B55FB2B01}">
  <ds:schemaRefs>
    <ds:schemaRef ds:uri="http://schemas.microsoft.com/sharepoint/v3/contenttype/forms"/>
  </ds:schemaRefs>
</ds:datastoreItem>
</file>

<file path=customXml/itemProps5.xml><?xml version="1.0" encoding="utf-8"?>
<ds:datastoreItem xmlns:ds="http://schemas.openxmlformats.org/officeDocument/2006/customXml" ds:itemID="{50C2BD07-ECF9-49F2-A7F9-9CFE29834B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sharepoint/v3/fields"/>
    <ds:schemaRef ds:uri="07b7576f-e512-4d1b-94c7-71a6d6e2e4c1"/>
    <ds:schemaRef ds:uri="a26ec758-4714-4fcd-b664-ef5e975a071d"/>
    <ds:schemaRef ds:uri="9271b1d1-b612-447e-93de-d287d951c7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97f104b-d7cb-48c8-ac9f-bd87105bafdc}" enabled="0" method="" siteId="{697f104b-d7cb-48c8-ac9f-bd87105bafd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7</vt:i4>
      </vt:variant>
      <vt:variant>
        <vt:lpstr>Benoemde bereiken</vt:lpstr>
      </vt:variant>
      <vt:variant>
        <vt:i4>1</vt:i4>
      </vt:variant>
    </vt:vector>
  </HeadingPairs>
  <TitlesOfParts>
    <vt:vector size="8" baseType="lpstr">
      <vt:lpstr>Aanvulling</vt:lpstr>
      <vt:lpstr>Verbruik</vt:lpstr>
      <vt:lpstr>Prognoses</vt:lpstr>
      <vt:lpstr>Lijst toegestaan</vt:lpstr>
      <vt:lpstr>Lijst verwijderd</vt:lpstr>
      <vt:lpstr>Adres Tel</vt:lpstr>
      <vt:lpstr>Omschrijving Besteltekst</vt:lpstr>
      <vt:lpstr>à14</vt:lpstr>
    </vt:vector>
  </TitlesOfParts>
  <Manager/>
  <Company>Alliander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Gepkens, Rens</dc:creator>
  <cp:keywords/>
  <dc:description/>
  <cp:lastModifiedBy>Roland Scheffer</cp:lastModifiedBy>
  <cp:revision/>
  <dcterms:created xsi:type="dcterms:W3CDTF">2019-10-25T14:03:32Z</dcterms:created>
  <dcterms:modified xsi:type="dcterms:W3CDTF">2026-03-31T04:32:44Z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0x010100B595AB3F24C9B34CBC0CA2E6B56A2FFD</vt:lpwstr>
  </property>
  <property fmtid="{D5CDD505-2E9C-101B-9397-08002B2CF9AE}" pid="3" name="_dlc_DocIdItemGuid">
    <vt:lpwstr>21105c97-6d55-4f71-b6ed-ac6f6b4a5d41</vt:lpwstr>
  </property>
  <property fmtid="{D5CDD505-2E9C-101B-9397-08002B2CF9AE}" pid="4" name="MediaServiceImageTags">
    <vt:lpwstr/>
  </property>
  <property fmtid="{D5CDD505-2E9C-101B-9397-08002B2CF9AE}" pid="5" name="xd_ProgID">
    <vt:lpwstr/>
  </property>
  <property fmtid="{D5CDD505-2E9C-101B-9397-08002B2CF9AE}" pid="6" name="CS-Originele-Naam">
    <vt:lpwstr>Assortimentslijst_ASP v3 augustus 2023 master.xlsx</vt:lpwstr>
  </property>
  <property fmtid="{D5CDD505-2E9C-101B-9397-08002B2CF9AE}" pid="7" name="ComplianceAssetId">
    <vt:lpwstr/>
  </property>
  <property fmtid="{D5CDD505-2E9C-101B-9397-08002B2CF9AE}" pid="8" name="TemplateUrl">
    <vt:lpwstr/>
  </property>
  <property fmtid="{D5CDD505-2E9C-101B-9397-08002B2CF9AE}" pid="9" name="CS-Map">
    <vt:lpwstr>11 Onderhoud lijsten - ASP-proces (UB-transportorders)</vt:lpwstr>
  </property>
  <property fmtid="{D5CDD505-2E9C-101B-9397-08002B2CF9AE}" pid="10" name="Behandelaar">
    <vt:lpwstr>-</vt:lpwstr>
  </property>
  <property fmtid="{D5CDD505-2E9C-101B-9397-08002B2CF9AE}" pid="11" name="_ExtendedDescription">
    <vt:lpwstr/>
  </property>
  <property fmtid="{D5CDD505-2E9C-101B-9397-08002B2CF9AE}" pid="12" name="TriggerFlowInfo">
    <vt:lpwstr/>
  </property>
  <property fmtid="{D5CDD505-2E9C-101B-9397-08002B2CF9AE}" pid="13" name="xd_Signature">
    <vt:bool>false</vt:bool>
  </property>
  <property fmtid="{D5CDD505-2E9C-101B-9397-08002B2CF9AE}" pid="14" name="CS-ObjID">
    <vt:lpwstr>472297114</vt:lpwstr>
  </property>
</Properties>
</file>